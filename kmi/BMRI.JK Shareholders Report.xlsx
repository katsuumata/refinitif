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kmi/"/>
    </mc:Choice>
  </mc:AlternateContent>
  <xr:revisionPtr revIDLastSave="1" documentId="11_544EA0531EE36C20812B5286837D8D89F79C5E54" xr6:coauthVersionLast="47" xr6:coauthVersionMax="47" xr10:uidLastSave="{385A33B0-3437-48F8-AF7A-DFB2D8750003}"/>
  <bookViews>
    <workbookView xWindow="-110" yWindow="-110" windowWidth="22620" windowHeight="13500" xr2:uid="{00000000-000D-0000-FFFF-FFFF00000000}"/>
  </bookViews>
  <sheets>
    <sheet name="Shareholders Report" sheetId="1" r:id="rId1"/>
    <sheet name="Pivot Table 1" sheetId="2" r:id="rId2"/>
  </sheets>
  <definedNames>
    <definedName name="_xlnm._FilterDatabase" localSheetId="0" hidden="1">'Shareholders Report'!$A$5:$CG$792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Tjo8cSrwDNznPW+XJw+zU0ufVCo118s6p/tzpphU2XU="/>
    </ext>
  </extLst>
</workbook>
</file>

<file path=xl/calcChain.xml><?xml version="1.0" encoding="utf-8"?>
<calcChain xmlns="http://schemas.openxmlformats.org/spreadsheetml/2006/main">
  <c r="J4" i="1" l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<sst xmlns="http://schemas.openxmlformats.org/spreadsheetml/2006/main" count="13145" uniqueCount="1046">
  <si>
    <t>Company</t>
  </si>
  <si>
    <t>Bank Mandiri (Persero) Tbk PT</t>
  </si>
  <si>
    <t>RIC</t>
  </si>
  <si>
    <t>BMRI.JK</t>
  </si>
  <si>
    <t>Download Date</t>
  </si>
  <si>
    <t>Shareholders Report</t>
  </si>
  <si>
    <t xml:space="preserve"> 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</si>
  <si>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</si>
  <si>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</si>
  <si>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</si>
  <si>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</si>
  <si>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</si>
  <si>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</si>
  <si>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</si>
  <si>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</si>
  <si>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</si>
  <si>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</si>
  <si>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</si>
  <si>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</si>
  <si>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</si>
  <si>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</si>
  <si>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</si>
  <si>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</si>
  <si>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</si>
  <si>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</si>
  <si>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</si>
  <si>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</si>
  <si>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</si>
  <si>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</si>
  <si>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</si>
  <si>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Indonesia Investment Authority</t>
  </si>
  <si>
    <t>Investment Managers</t>
  </si>
  <si>
    <t>Sovereign Wealth Fund</t>
  </si>
  <si>
    <t>Mixed Style</t>
  </si>
  <si>
    <t>Capital World Investors</t>
  </si>
  <si>
    <t>Aggregate MFs</t>
  </si>
  <si>
    <t>Investment Advisor</t>
  </si>
  <si>
    <t>Growth</t>
  </si>
  <si>
    <t>Los Angeles</t>
  </si>
  <si>
    <t>United States</t>
  </si>
  <si>
    <t>GQG Partners, LLC</t>
  </si>
  <si>
    <t>Core Growth</t>
  </si>
  <si>
    <t>Moderate</t>
  </si>
  <si>
    <t>High</t>
  </si>
  <si>
    <t>Fort Lauderdale</t>
  </si>
  <si>
    <t>The Vanguard Group, Inc.</t>
  </si>
  <si>
    <t>Index</t>
  </si>
  <si>
    <t>Malvern</t>
  </si>
  <si>
    <t>Schroder Investment Management Ltd. (SIM)</t>
  </si>
  <si>
    <t>Investment Advisor/Hedge Fund</t>
  </si>
  <si>
    <t>London</t>
  </si>
  <si>
    <t>United Kingdom</t>
  </si>
  <si>
    <t>APG Asset Management N.V.</t>
  </si>
  <si>
    <t>Pension Fund</t>
  </si>
  <si>
    <t>Heerlen</t>
  </si>
  <si>
    <t>Netherlands</t>
  </si>
  <si>
    <t>Employees Provident Fund Board</t>
  </si>
  <si>
    <t>GARP</t>
  </si>
  <si>
    <t>Kuala Lumpur</t>
  </si>
  <si>
    <t>Malaysia</t>
  </si>
  <si>
    <t>Norges Bank Investment Management (NBIM)</t>
  </si>
  <si>
    <t>Core Value</t>
  </si>
  <si>
    <t>Oslo</t>
  </si>
  <si>
    <t>Norway</t>
  </si>
  <si>
    <t>GIC Private Limited</t>
  </si>
  <si>
    <t>Singapore</t>
  </si>
  <si>
    <t>FIL Investment Management (Singapore) Ltd.</t>
  </si>
  <si>
    <t>Aggressive Growth</t>
  </si>
  <si>
    <t>BlackRock Advisors (UK) Limited</t>
  </si>
  <si>
    <t>BlackRock Asset Management North Asia Limited</t>
  </si>
  <si>
    <t>Central (Hong Kong)</t>
  </si>
  <si>
    <t>Hong Kong</t>
  </si>
  <si>
    <t>BlackRock Institutional Trust Company, N.A.</t>
  </si>
  <si>
    <t>San Francisco</t>
  </si>
  <si>
    <t>Government of People's Republic of China</t>
  </si>
  <si>
    <t>Beijing</t>
  </si>
  <si>
    <t>China (Mainland)</t>
  </si>
  <si>
    <t>Schroder Investment Management (Hong Kong) Ltd.</t>
  </si>
  <si>
    <t>Admiralty (Hong Kong)</t>
  </si>
  <si>
    <t>Harris Associates L.P.</t>
  </si>
  <si>
    <t>Chicago</t>
  </si>
  <si>
    <t>Lazard Asset Management, L.L.C.</t>
  </si>
  <si>
    <t>New York</t>
  </si>
  <si>
    <t>Capital Research Global Investors</t>
  </si>
  <si>
    <t>Geode Capital Management, L.L.C.</t>
  </si>
  <si>
    <t>Boston</t>
  </si>
  <si>
    <t>Badan Penyelenggara Jaminan Sosial Ketenagakerjaan</t>
  </si>
  <si>
    <t>Government of Norway</t>
  </si>
  <si>
    <t>California Public Employees' Retirement System</t>
  </si>
  <si>
    <t>Sacramento</t>
  </si>
  <si>
    <t>Dimensional Fund Advisors, L.P.</t>
  </si>
  <si>
    <t>Deep Value</t>
  </si>
  <si>
    <t>Austin</t>
  </si>
  <si>
    <t>Newton Investment Management Ltd.</t>
  </si>
  <si>
    <t>Union Investment Privatfonds GmbH</t>
  </si>
  <si>
    <t>Frankfurt</t>
  </si>
  <si>
    <t>Germany</t>
  </si>
  <si>
    <t>Vontobel Asset Management AG</t>
  </si>
  <si>
    <t>Zurich</t>
  </si>
  <si>
    <t>Switzerland</t>
  </si>
  <si>
    <t>North of South Capital LLP</t>
  </si>
  <si>
    <t>Hedge Fund</t>
  </si>
  <si>
    <t>GLG Partners LP</t>
  </si>
  <si>
    <t>Fiera Capital (UK) Limited</t>
  </si>
  <si>
    <t>Columbia Threadneedle Management Limited</t>
  </si>
  <si>
    <t>PT Indo Premier Investment Management</t>
  </si>
  <si>
    <t>abrdn Investments Limited</t>
  </si>
  <si>
    <t>Fidelity International</t>
  </si>
  <si>
    <t>Tadworth</t>
  </si>
  <si>
    <t>Charles Schwab Investment Management, Inc.</t>
  </si>
  <si>
    <t>State Street Investment Management (US)</t>
  </si>
  <si>
    <t>State Street Investment Management (UK)</t>
  </si>
  <si>
    <t>Schroder Investment Management (Singapore) Ltd.</t>
  </si>
  <si>
    <t>Manulife Investment Management (North America) Limited</t>
  </si>
  <si>
    <t>Toronto</t>
  </si>
  <si>
    <t>Canada</t>
  </si>
  <si>
    <t>Coronation Fund Managers Limited</t>
  </si>
  <si>
    <t>Cape Town</t>
  </si>
  <si>
    <t>South Africa</t>
  </si>
  <si>
    <t>abrdn Investment Management Limited</t>
  </si>
  <si>
    <t>Edinburgh</t>
  </si>
  <si>
    <t>HSBC Global Asset Management (UK) Limited</t>
  </si>
  <si>
    <t>M&amp;G Investment Management Ltd.</t>
  </si>
  <si>
    <t>Baillie Gifford &amp; Co.</t>
  </si>
  <si>
    <t>Pictet Asset Management Ltd.</t>
  </si>
  <si>
    <t>California State Teachers Retirement System</t>
  </si>
  <si>
    <t>West Sacramento</t>
  </si>
  <si>
    <t>Florida State Board of Administration</t>
  </si>
  <si>
    <t>Tallahassee</t>
  </si>
  <si>
    <t>Public Mutual Berhad</t>
  </si>
  <si>
    <t>T. Rowe Price International Ltd. (Australia)</t>
  </si>
  <si>
    <t>Sydney</t>
  </si>
  <si>
    <t>Australia</t>
  </si>
  <si>
    <t>Aviva Investors Global Services Limited</t>
  </si>
  <si>
    <t>BlackRock Investment Management (UK) Ltd.</t>
  </si>
  <si>
    <t>Redwheel</t>
  </si>
  <si>
    <t>FIL Investment Management (Hong Kong) Limited</t>
  </si>
  <si>
    <t>Robeco Hong Kong Limited</t>
  </si>
  <si>
    <t>Janus Henderson Investors</t>
  </si>
  <si>
    <t>Thompson, Siegel &amp; Walmsley LLC</t>
  </si>
  <si>
    <t>Richmond</t>
  </si>
  <si>
    <t>Antipodes Partners Limited</t>
  </si>
  <si>
    <t>American Century Investment Management, Inc.</t>
  </si>
  <si>
    <t>Kansas City</t>
  </si>
  <si>
    <t>Amundi Asset Management, SAS</t>
  </si>
  <si>
    <t>Paris</t>
  </si>
  <si>
    <t>France</t>
  </si>
  <si>
    <t>Nuveen LLC</t>
  </si>
  <si>
    <t>British Columbia Investment Management Corp.</t>
  </si>
  <si>
    <t>Victoria</t>
  </si>
  <si>
    <t>Goldman Sachs Asset Management International</t>
  </si>
  <si>
    <t>J.P. Morgan Asset Management (Singapore) Limited</t>
  </si>
  <si>
    <t>JP Morgan Asset Management</t>
  </si>
  <si>
    <t>Fidelity Management &amp; Research Company LLC</t>
  </si>
  <si>
    <t>Goldman Sachs Asset Management, L.P.</t>
  </si>
  <si>
    <t>Mellon Investments Corporation</t>
  </si>
  <si>
    <t>JPMorgan Asset Management U.K. Limited</t>
  </si>
  <si>
    <t>Caisse de Depot et Placement du Quebec</t>
  </si>
  <si>
    <t>Montreal</t>
  </si>
  <si>
    <t>Zürcher Kantonalbank (Asset Management)</t>
  </si>
  <si>
    <t>Bank and Trust</t>
  </si>
  <si>
    <t>UBS Asset Management (Switzerland)</t>
  </si>
  <si>
    <t>PGGM Vermogensbeheer B.V.</t>
  </si>
  <si>
    <t>Zeist</t>
  </si>
  <si>
    <t>Wellington Management Company, LLP</t>
  </si>
  <si>
    <t>Northern Trust Global Investments Limited</t>
  </si>
  <si>
    <t>Dimensional Fund Advisors, Ltd.</t>
  </si>
  <si>
    <t>AEGON Investment Management B.V.</t>
  </si>
  <si>
    <t>The Hague</t>
  </si>
  <si>
    <t>DWS Investments UK Limited</t>
  </si>
  <si>
    <t>T. Rowe Price Associates, Inc.</t>
  </si>
  <si>
    <t>Baltimore</t>
  </si>
  <si>
    <t>Nordea Funds Oy</t>
  </si>
  <si>
    <t>Helsinki</t>
  </si>
  <si>
    <t>Finland</t>
  </si>
  <si>
    <t>UBS Asset Management (UK) Ltd.</t>
  </si>
  <si>
    <t>JPMorgan Asset Management (Asia Pacific) Limited</t>
  </si>
  <si>
    <t>Lion Global Investors Limited</t>
  </si>
  <si>
    <t>Newton Investment Management North America, LLC</t>
  </si>
  <si>
    <t>Amundi Japan Ltd.</t>
  </si>
  <si>
    <t>Chiyoda-ku (Tokyo)</t>
  </si>
  <si>
    <t>Japan</t>
  </si>
  <si>
    <t>Old Mutual Investment Group (South Africa) (Pty) Limited</t>
  </si>
  <si>
    <t>Pinelands</t>
  </si>
  <si>
    <t>Baring Asset Management Ltd.</t>
  </si>
  <si>
    <t>Eastspring Investments (Singapore) Limited</t>
  </si>
  <si>
    <t>J O Hambro Capital Management Limited</t>
  </si>
  <si>
    <t>Barings (U.K.) Limited</t>
  </si>
  <si>
    <t>WCM Investment Management</t>
  </si>
  <si>
    <t>Laguna Beach</t>
  </si>
  <si>
    <t>Legal &amp; General Investment Management Ltd.</t>
  </si>
  <si>
    <t>Pacific Asset Management LLP</t>
  </si>
  <si>
    <t>Ashmore Investment Management Limited</t>
  </si>
  <si>
    <t>Carne Global Fund Managers (Ireland) Limited</t>
  </si>
  <si>
    <t>Dublin</t>
  </si>
  <si>
    <t>Ireland</t>
  </si>
  <si>
    <t>Danske Bank Asset Management</t>
  </si>
  <si>
    <t>Lyngby</t>
  </si>
  <si>
    <t>Denmark</t>
  </si>
  <si>
    <t>Value Partners Ltd.</t>
  </si>
  <si>
    <t>Zaini (Zulkifli)</t>
  </si>
  <si>
    <t>Indonesia Insider</t>
  </si>
  <si>
    <t>Individual Investor</t>
  </si>
  <si>
    <t>Storebrand Kapitalforvaltning AS</t>
  </si>
  <si>
    <t>Lysaker</t>
  </si>
  <si>
    <t>Lombard Odier (Singapore) Ltd.</t>
  </si>
  <si>
    <t>Fideuram Asset Management (Ireland) dac</t>
  </si>
  <si>
    <t>Mercer Global Investments Management Ltd</t>
  </si>
  <si>
    <t>BlackRock (Singapore) Limited</t>
  </si>
  <si>
    <t>Altrinsic Global Advisors, LLC</t>
  </si>
  <si>
    <t>Greenwich</t>
  </si>
  <si>
    <t>Swedbank Robur Fonder AB</t>
  </si>
  <si>
    <t>Stockholm</t>
  </si>
  <si>
    <t>Sweden</t>
  </si>
  <si>
    <t>UBS Fund Management (Switzerland) AG</t>
  </si>
  <si>
    <t>Basel</t>
  </si>
  <si>
    <t>Bank Julius Baer &amp; Co Ltd., Singapore Branch</t>
  </si>
  <si>
    <t>Northern Trust Investments, Inc.</t>
  </si>
  <si>
    <t>Standard Life Assurance Limited</t>
  </si>
  <si>
    <t>Insurance Company</t>
  </si>
  <si>
    <t>Robeco Institutional Asset Management B.V.</t>
  </si>
  <si>
    <t>Rotterdam</t>
  </si>
  <si>
    <t>Genesis Investment Management, LLP</t>
  </si>
  <si>
    <t>Handaya (Agus Dwi)</t>
  </si>
  <si>
    <t>CPP Investment Board</t>
  </si>
  <si>
    <t>Junaidi (Darmawan)</t>
  </si>
  <si>
    <t>Askandar (Alexandra)</t>
  </si>
  <si>
    <t>Invesco Capital Management LLC</t>
  </si>
  <si>
    <t>Riduan</t>
  </si>
  <si>
    <t>Deutsche Asset Management Americas</t>
  </si>
  <si>
    <t>Towers Watson Investment Management Limited</t>
  </si>
  <si>
    <t>Vector Asset Management S.A.</t>
  </si>
  <si>
    <t>Luxembourg</t>
  </si>
  <si>
    <t>State Street Investment Management Ireland</t>
  </si>
  <si>
    <t>Invesco Hong Kong Limited</t>
  </si>
  <si>
    <t>HSBC Global Asset Management (Hong Kong) Limited</t>
  </si>
  <si>
    <t>GLG LLC</t>
  </si>
  <si>
    <t>Vanguard Investments Australia Ltd.</t>
  </si>
  <si>
    <t>Melbourne</t>
  </si>
  <si>
    <t>Deka Investment GmbH</t>
  </si>
  <si>
    <t>EFG Asset Management (UK) Limited</t>
  </si>
  <si>
    <t>BlackRock Investment Management, LLC</t>
  </si>
  <si>
    <t>Princeton</t>
  </si>
  <si>
    <t>abrdn Alternative Investments Limited</t>
  </si>
  <si>
    <t>JPMorgan Asset Management (Japan) Limited</t>
  </si>
  <si>
    <t>abrdn Asia Limited</t>
  </si>
  <si>
    <t>Pictet &amp; Cie (Europe) S.A.</t>
  </si>
  <si>
    <t>Prastowo (Sigit)</t>
  </si>
  <si>
    <t>Fourton Rahastoyhtiö Oy</t>
  </si>
  <si>
    <t>Espoo</t>
  </si>
  <si>
    <t>BNP Paribas Asset Management UK Limited</t>
  </si>
  <si>
    <t>Lazard Frères Gestion S.A.S.</t>
  </si>
  <si>
    <t>Utama (Timothy)</t>
  </si>
  <si>
    <t>Sephira Investment Advisors (UK) Limited</t>
  </si>
  <si>
    <t>S-Bank Fund Management Ltd</t>
  </si>
  <si>
    <t>Van Eck Associates Corporation</t>
  </si>
  <si>
    <t>Subari (Toni Eko Boy)</t>
  </si>
  <si>
    <t>Mirae Asset Global Investments (Hong Kong) Limited</t>
  </si>
  <si>
    <t>Causeway Bay (Hong Kong)</t>
  </si>
  <si>
    <t>KLP Kapitalforvaltning AS</t>
  </si>
  <si>
    <t>Mirae Asset Global Investments (USA) LLC</t>
  </si>
  <si>
    <t>DWS Investments Hong Kong Limited</t>
  </si>
  <si>
    <t>Kowloon</t>
  </si>
  <si>
    <t>JPMorgan Asset Management (China) Company Limited.</t>
  </si>
  <si>
    <t>Shanghai</t>
  </si>
  <si>
    <t>Invesco Advisers, Inc.</t>
  </si>
  <si>
    <t>Atlanta</t>
  </si>
  <si>
    <t>Capital International, Inc.</t>
  </si>
  <si>
    <t>Russell Investments Limited</t>
  </si>
  <si>
    <t>DWS Investment GmbH</t>
  </si>
  <si>
    <t>Fidelity Investment Luxembourg S.A.</t>
  </si>
  <si>
    <t>Goldman Sachs Asset Management B.V.</t>
  </si>
  <si>
    <t>SEB Investment Management AB</t>
  </si>
  <si>
    <t>MFS Investment Management</t>
  </si>
  <si>
    <t>Rudianto (Aquarius)</t>
  </si>
  <si>
    <t>FIL Pensions Management</t>
  </si>
  <si>
    <t>Asset Management One Co., Ltd.</t>
  </si>
  <si>
    <t>Inspire Investing</t>
  </si>
  <si>
    <t>Meridian</t>
  </si>
  <si>
    <t>Lansdowne Partners (UK) LLP</t>
  </si>
  <si>
    <t>Handelsbanken Kapitalförvaltning AB</t>
  </si>
  <si>
    <t>Vanguard Global Advisers LLC</t>
  </si>
  <si>
    <t>MFS International Singapore Pte. Ltd</t>
  </si>
  <si>
    <t>PensionDanmark A/S</t>
  </si>
  <si>
    <t>Copenhagen</t>
  </si>
  <si>
    <t>Wellington Management Singapore Pte. Ltd.</t>
  </si>
  <si>
    <t>Pzena Investment Management, LLC</t>
  </si>
  <si>
    <t>Oddo BHF Asset Management GmbH</t>
  </si>
  <si>
    <t>Düsseldorf</t>
  </si>
  <si>
    <t>PIMCO (US)</t>
  </si>
  <si>
    <t>Yield</t>
  </si>
  <si>
    <t>Newport Beach</t>
  </si>
  <si>
    <t>Oaktree Capital Management, L.P.</t>
  </si>
  <si>
    <t>ClearBridge Investment Management Limited</t>
  </si>
  <si>
    <t>Union Investment Luxembourg S.A.</t>
  </si>
  <si>
    <t>Senningerberg</t>
  </si>
  <si>
    <t>PIMCO Asia Limited</t>
  </si>
  <si>
    <t>Hafas (Rohan)</t>
  </si>
  <si>
    <t>DJE Kapital AG</t>
  </si>
  <si>
    <t>Pullach</t>
  </si>
  <si>
    <t>NH-Amundi Asset Management Co., Ltd.</t>
  </si>
  <si>
    <t>Seoul</t>
  </si>
  <si>
    <t>South Korea</t>
  </si>
  <si>
    <t>Eurizon Capital S.A.</t>
  </si>
  <si>
    <t>BMO Asset Management Inc.</t>
  </si>
  <si>
    <t>Mediolanum International Funds Limited</t>
  </si>
  <si>
    <t>Dodge &amp; Cox</t>
  </si>
  <si>
    <t>LBP AM</t>
  </si>
  <si>
    <t>Peregrine Guernsey Ltd</t>
  </si>
  <si>
    <t>St. Peter Port</t>
  </si>
  <si>
    <t>Guernsey</t>
  </si>
  <si>
    <t>AllianceBernstein L.P.</t>
  </si>
  <si>
    <t>Sophus Capital</t>
  </si>
  <si>
    <t>Des Moines</t>
  </si>
  <si>
    <t>BlackRock Fund Advisors</t>
  </si>
  <si>
    <t>Franklin Advisers, Inc.</t>
  </si>
  <si>
    <t>Income Value</t>
  </si>
  <si>
    <t>San Mateo</t>
  </si>
  <si>
    <t>Fitria (Eka)</t>
  </si>
  <si>
    <t>DSM Capital Partners, LLC</t>
  </si>
  <si>
    <t>Palm Beach Gardens</t>
  </si>
  <si>
    <t>Ateh (Muhammad Yusuf)</t>
  </si>
  <si>
    <t>Banque Cantonale Vaudoise</t>
  </si>
  <si>
    <t>Lausanne</t>
  </si>
  <si>
    <t>Margetts Fund Management Limited</t>
  </si>
  <si>
    <t>Birmingham</t>
  </si>
  <si>
    <t>Principal Asset Management Berhad</t>
  </si>
  <si>
    <t>Bank of Singapore Limited</t>
  </si>
  <si>
    <t>GAM Investment Management (Switzerland) AG</t>
  </si>
  <si>
    <t>Parametric Portfolio Associates LLC</t>
  </si>
  <si>
    <t>Seattle</t>
  </si>
  <si>
    <t>FIL Investment Management (Australia) Limited</t>
  </si>
  <si>
    <t>BNP Paribas Asset Management Europe SAS</t>
  </si>
  <si>
    <t>HSBC Global Asset Management (Singapore) Limited</t>
  </si>
  <si>
    <t>Sanlam Investment Management (Pty) Ltd.</t>
  </si>
  <si>
    <t>Bellville</t>
  </si>
  <si>
    <t>UBS Asset Management Switzerland AG</t>
  </si>
  <si>
    <t>Cardano Asset Management NV</t>
  </si>
  <si>
    <t>Keyridge Asset Management Limited</t>
  </si>
  <si>
    <t>DWS International GmbH</t>
  </si>
  <si>
    <t>DNB Asset Management AS</t>
  </si>
  <si>
    <t>Asia Growth Capital Management AB</t>
  </si>
  <si>
    <t>Silaban (Rionald)</t>
  </si>
  <si>
    <t>Assetplus Investment Management Co., Ltd.</t>
  </si>
  <si>
    <t>Gyeonggi-do</t>
  </si>
  <si>
    <t>Yuanta Securities Investment Trust Co., Ltd.</t>
  </si>
  <si>
    <t>Taipei</t>
  </si>
  <si>
    <t>Taiwan</t>
  </si>
  <si>
    <t>J.P. Morgan Investment Management, Inc. (SI)</t>
  </si>
  <si>
    <t>Budimanta (Arif)</t>
  </si>
  <si>
    <t>Utomo (Faried)</t>
  </si>
  <si>
    <t>Nomura Asset Management Co., Ltd.</t>
  </si>
  <si>
    <t>Chuo-ku (Tokyo)</t>
  </si>
  <si>
    <t>BI Asset Management Fondsmæglerselskab A/S</t>
  </si>
  <si>
    <t>Scottish Equity Partners LLP</t>
  </si>
  <si>
    <t>Venture Capital</t>
  </si>
  <si>
    <t>VC/Private Equity</t>
  </si>
  <si>
    <t>Glasgow</t>
  </si>
  <si>
    <t>Capital Investment Trust Corporation</t>
  </si>
  <si>
    <t>Lannebo Kapitalförvaltning AB</t>
  </si>
  <si>
    <t>Fisher Investments</t>
  </si>
  <si>
    <t>Plano</t>
  </si>
  <si>
    <t>Premia Partners Company Limited</t>
  </si>
  <si>
    <t>CI Global Asset Management</t>
  </si>
  <si>
    <t>Ox Capital Management Pty Ltd</t>
  </si>
  <si>
    <t>AllianceBernstein Japan Ltd.</t>
  </si>
  <si>
    <t>Maybank Asset Management Singapore Pte. Ltd.</t>
  </si>
  <si>
    <t>Victory Capital Management Inc.</t>
  </si>
  <si>
    <t>Brooklyn</t>
  </si>
  <si>
    <t>BlackRock Financial Management, Inc.</t>
  </si>
  <si>
    <t>Polen Capital Management, LLC</t>
  </si>
  <si>
    <t>Boca Raton</t>
  </si>
  <si>
    <t>Sumitomo Mitsui Trust Asset Management Co., Ltd.</t>
  </si>
  <si>
    <t>Minato-ku (Tokyo)</t>
  </si>
  <si>
    <t>Columbia Threadneedle Investments (US)</t>
  </si>
  <si>
    <t>OFI Invest Asset Management</t>
  </si>
  <si>
    <t>BNP Paribas Asset Management Belgium S.A.</t>
  </si>
  <si>
    <t>Brussels</t>
  </si>
  <si>
    <t>Belgium</t>
  </si>
  <si>
    <t>UOB Asset Management Ltd.</t>
  </si>
  <si>
    <t>Fullerton Fund Management Company Ltd.</t>
  </si>
  <si>
    <t>Anima SGR S.p.A.</t>
  </si>
  <si>
    <t>Milan</t>
  </si>
  <si>
    <t>Italy</t>
  </si>
  <si>
    <t>SEI Investments Management Corporation</t>
  </si>
  <si>
    <t>Oaks</t>
  </si>
  <si>
    <t>TT International Asset Management Ltd</t>
  </si>
  <si>
    <t>PGIM Investments LLC</t>
  </si>
  <si>
    <t>Newark</t>
  </si>
  <si>
    <t>AHAM Asset Management Berhad</t>
  </si>
  <si>
    <t>RAM Active Investments S.A.</t>
  </si>
  <si>
    <t>Geneva</t>
  </si>
  <si>
    <t>BlackRock (Luxembourg) S.A.</t>
  </si>
  <si>
    <t>Specialty</t>
  </si>
  <si>
    <t>Kenanga Investors Berhad</t>
  </si>
  <si>
    <t>BOCI-Prudential Asset Management Ltd.</t>
  </si>
  <si>
    <t>Schroders IS Limited</t>
  </si>
  <si>
    <t>Assenagon Asset Management S.A.</t>
  </si>
  <si>
    <t>Munich</t>
  </si>
  <si>
    <t>ARCA Fondi SGR S.p.A</t>
  </si>
  <si>
    <t>Lemanik Invest SA</t>
  </si>
  <si>
    <t>Lugano</t>
  </si>
  <si>
    <t>Edinburgh Partners Limited</t>
  </si>
  <si>
    <t>DFA Australia Ltd.</t>
  </si>
  <si>
    <t>Principal Asset Management (S) Pte Ltd</t>
  </si>
  <si>
    <t>Nykredit Bank AS</t>
  </si>
  <si>
    <t>OP Varainhoito Oy</t>
  </si>
  <si>
    <t>First Trust Advisors L.P.</t>
  </si>
  <si>
    <t>Wheaton</t>
  </si>
  <si>
    <t>Matthews International Capital Management, L.L.C.</t>
  </si>
  <si>
    <t>Momentum Global Investment Management Limited</t>
  </si>
  <si>
    <t>Daiwa Asset Management Co., Ltd.</t>
  </si>
  <si>
    <t>Desjardins Global Asset Management</t>
  </si>
  <si>
    <t>Degroof Petercam Asset Management</t>
  </si>
  <si>
    <t>Eurizon Capital SGR S.p.A.</t>
  </si>
  <si>
    <t>Artico Partners AG</t>
  </si>
  <si>
    <t>AmFunds Management Berhad</t>
  </si>
  <si>
    <t>Stefnir hf.</t>
  </si>
  <si>
    <t>Reykjavík</t>
  </si>
  <si>
    <t>Iceland</t>
  </si>
  <si>
    <t>Nomura Asset Management U.S.A. Inc.</t>
  </si>
  <si>
    <t>Sumitomo Mitsui DS Asset Management Company, Limited</t>
  </si>
  <si>
    <t>Azimut Investment Management Singapore Ltd.</t>
  </si>
  <si>
    <t>Seligson &amp; Co Rahastoyhtiö Oyj</t>
  </si>
  <si>
    <t>Mitsubishi UFJ Asset Management Co., Ltd.</t>
  </si>
  <si>
    <t>Harding Loevner LP</t>
  </si>
  <si>
    <t>Bridgewater</t>
  </si>
  <si>
    <t>Fuh Hwa Securities Investment Trust Co., Ltd.</t>
  </si>
  <si>
    <t>Numeric Investors LLC</t>
  </si>
  <si>
    <t>SBI Asset Management Co., Ltd.</t>
  </si>
  <si>
    <t>Man Investments Inc</t>
  </si>
  <si>
    <t>Sabadell Asset Management, S.A., S.G.I.I.C., Sociedad Unipersonal</t>
  </si>
  <si>
    <t>Sant Cugat del Vallés</t>
  </si>
  <si>
    <t>Spain</t>
  </si>
  <si>
    <t>Grantham Mayo Van Otterloo &amp; Co LLC</t>
  </si>
  <si>
    <t>Amundi Ireland Limited</t>
  </si>
  <si>
    <t>ID-Sparinvest A/S</t>
  </si>
  <si>
    <t>Taastrup</t>
  </si>
  <si>
    <t>Sparinvest S.A.</t>
  </si>
  <si>
    <t>CIBC Asset Management Inc.</t>
  </si>
  <si>
    <t>Alquity Investment Management Ltd.</t>
  </si>
  <si>
    <t>T. Rowe Price Investment Management, Inc.</t>
  </si>
  <si>
    <t>Man Investments, Ltd.</t>
  </si>
  <si>
    <t>MLC Asset Management</t>
  </si>
  <si>
    <t>Schroder Investment Management North America Inc.</t>
  </si>
  <si>
    <t>UOB Asset Management (Malaysia) Berhad</t>
  </si>
  <si>
    <t>Avantis Investors_NLE</t>
  </si>
  <si>
    <t>Krane Funds Advisors, LLC</t>
  </si>
  <si>
    <t>DBX Advisors LLC.</t>
  </si>
  <si>
    <t>Barrow Hanley Global Investors</t>
  </si>
  <si>
    <t>Dallas</t>
  </si>
  <si>
    <t>PIMCO Europe Ltd.</t>
  </si>
  <si>
    <t>VI Asset Management Korea Co. Ltd.</t>
  </si>
  <si>
    <t>Banor Capital Limited</t>
  </si>
  <si>
    <t>AXA Investment Managers Asia Limited</t>
  </si>
  <si>
    <t>Quarry Bay</t>
  </si>
  <si>
    <t>Carnegie Fonder AB</t>
  </si>
  <si>
    <t>Sunarto</t>
  </si>
  <si>
    <t>Santa Lucia Asset Management Pte. Ltd.</t>
  </si>
  <si>
    <t>Security Kapitalanlage AG</t>
  </si>
  <si>
    <t>Graz</t>
  </si>
  <si>
    <t>Austria</t>
  </si>
  <si>
    <t>Marlborough Fund Managers Ltd.</t>
  </si>
  <si>
    <t>Bolton</t>
  </si>
  <si>
    <t>Mackenzie Investments</t>
  </si>
  <si>
    <t>TD Asset Management Inc.</t>
  </si>
  <si>
    <t>AIA Investment Management Private Limited</t>
  </si>
  <si>
    <t>Probus Middle East Limited</t>
  </si>
  <si>
    <t>Dubai</t>
  </si>
  <si>
    <t>United Arab Emirates</t>
  </si>
  <si>
    <t>Voya Investment Management LLC</t>
  </si>
  <si>
    <t>Samsung Asset Management Co., Ltd.</t>
  </si>
  <si>
    <t>BBL Asset Management Co., Ltd.</t>
  </si>
  <si>
    <t>Bangkok</t>
  </si>
  <si>
    <t>Thailand</t>
  </si>
  <si>
    <t>Corebridge Financial Inc.</t>
  </si>
  <si>
    <t>Houston</t>
  </si>
  <si>
    <t>FIL Investments (Japan) Limited</t>
  </si>
  <si>
    <t>Global X Investments Canada Inc.</t>
  </si>
  <si>
    <t>Rizaldi (Mochamad)</t>
  </si>
  <si>
    <t>AXA Investment Managers Paris</t>
  </si>
  <si>
    <t>Puteaux</t>
  </si>
  <si>
    <t>Amundi SGR SpA</t>
  </si>
  <si>
    <t>Deutsche Bank (Suisse) SA</t>
  </si>
  <si>
    <t>Nissay Asset Management Corp.</t>
  </si>
  <si>
    <t>PGIM Quantitative Solutions LLC</t>
  </si>
  <si>
    <t>Pictet Asset Management (Europe) SA</t>
  </si>
  <si>
    <t>Priyambodo (Totok)</t>
  </si>
  <si>
    <t>Vontobel Asset Management, Inc.</t>
  </si>
  <si>
    <t>Aviva Investors UK Fund Services Limited</t>
  </si>
  <si>
    <t>CSOP Asset Management Limited</t>
  </si>
  <si>
    <t>SPARX Asia Investment Advisors Limited</t>
  </si>
  <si>
    <t>Wanchai (Hong Kong)</t>
  </si>
  <si>
    <t>Subyantoro (Danis)</t>
  </si>
  <si>
    <t>Morgan Stanley Investment Management Ltd. (UK)</t>
  </si>
  <si>
    <t>Franklin Templeton Portfolio Advisors, Inc</t>
  </si>
  <si>
    <t>PGIM Securities Investment Trust Enterprise</t>
  </si>
  <si>
    <t>Mirae Asset Global Investments Co., Ltd.</t>
  </si>
  <si>
    <t>Sumitomo Mitsui DS Asset Management (Hong Kong) Limited</t>
  </si>
  <si>
    <t>BlackRock Advisors, LLC</t>
  </si>
  <si>
    <t>Amova Asset Management Co., Ltd.</t>
  </si>
  <si>
    <t>Schroder Investment Management (Japan) Ltd.</t>
  </si>
  <si>
    <t>FIL Gestion</t>
  </si>
  <si>
    <t>Anggraini (Novita Widya)</t>
  </si>
  <si>
    <t>Allspring Global Investments, LLC</t>
  </si>
  <si>
    <t>AQR Capital Management, LLC</t>
  </si>
  <si>
    <t>Rizaldi (Ari)</t>
  </si>
  <si>
    <t>BlackRock Investment Management (Australia) Ltd.</t>
  </si>
  <si>
    <t>Shinhan Asset Management Co Ltd</t>
  </si>
  <si>
    <t>Franklin Advisory Services, LLC</t>
  </si>
  <si>
    <t>KB Asset Management Co., Ltd.</t>
  </si>
  <si>
    <t>Panjaitan (Henry)</t>
  </si>
  <si>
    <t>Franklin Templeton Institutional, LLC</t>
  </si>
  <si>
    <t>MLC Investments Limited</t>
  </si>
  <si>
    <t>Saptari</t>
  </si>
  <si>
    <t>State Street Investment Management Australia Ltd.</t>
  </si>
  <si>
    <t>Woori Asset Management Corp.</t>
  </si>
  <si>
    <t>Sanarus Investment Management LLP</t>
  </si>
  <si>
    <t>Morgan Stanley Investment Management (Singapore)</t>
  </si>
  <si>
    <t>State Street Investment Management (Japan)</t>
  </si>
  <si>
    <t>Lord, Abbett &amp; Co. LLC</t>
  </si>
  <si>
    <t>Jersey City</t>
  </si>
  <si>
    <t>One Asset Management Ltd.</t>
  </si>
  <si>
    <t>EFG Asset Management (Hong Kong) Limited</t>
  </si>
  <si>
    <t>Tambunan (Jan Winston)</t>
  </si>
  <si>
    <t>Cathay Securities Investment Trust Co., Ltd.</t>
  </si>
  <si>
    <t>Ping An of China Asset Management (Hong Kong) Co., Ltd.</t>
  </si>
  <si>
    <t>Quaestio Capital Management SGR S.p.A.</t>
  </si>
  <si>
    <t>Morgan Stanley Investment Management Inc. (US)</t>
  </si>
  <si>
    <t>RHB Asset Management Pte. Ltd.</t>
  </si>
  <si>
    <t>Bharata (Tedi)</t>
  </si>
  <si>
    <t>TOBAM</t>
  </si>
  <si>
    <t>Federated Hermes Investment Management Company</t>
  </si>
  <si>
    <t>Pittsburgh</t>
  </si>
  <si>
    <t>Edmond de Rothschild (Suisse) S.A.</t>
  </si>
  <si>
    <t>ICBC Asset Management (Global) Company Limited</t>
  </si>
  <si>
    <t>RBC Global Asset Management Inc.</t>
  </si>
  <si>
    <t>Aditya Birla Sun Life AMC Limited</t>
  </si>
  <si>
    <t>Mumbai</t>
  </si>
  <si>
    <t>India</t>
  </si>
  <si>
    <t>UBS LA MAISON de Gestion SAS</t>
  </si>
  <si>
    <t>AXA Investment Managers Deutschland GmbH</t>
  </si>
  <si>
    <t>Resona Asset Management Co., Ltd.</t>
  </si>
  <si>
    <t>Koto-ku (Tokyo)</t>
  </si>
  <si>
    <t>Acadian Asset Management LLC</t>
  </si>
  <si>
    <t>Aegon Asset Management Ltd</t>
  </si>
  <si>
    <t>Aegon UK plc</t>
  </si>
  <si>
    <t>AFH Wealth Management</t>
  </si>
  <si>
    <t>Worcester(Worcestershire)</t>
  </si>
  <si>
    <t>AGF Investments Inc.</t>
  </si>
  <si>
    <t>AllianceBernstein Hong Kong Ltd.</t>
  </si>
  <si>
    <t>AllianceBernstein Ltd. (Value)</t>
  </si>
  <si>
    <t>Allianz Global Investors Asia Pacific Limited</t>
  </si>
  <si>
    <t>Allianz Global Investors GmbH</t>
  </si>
  <si>
    <t>Amova Asset Management Americas, Inc</t>
  </si>
  <si>
    <t>Amova Asset Management Asia Limited</t>
  </si>
  <si>
    <t>Amova Asset Management UK Limited</t>
  </si>
  <si>
    <t>Amundi (UK)</t>
  </si>
  <si>
    <t>Amundi Hong Kong Limited</t>
  </si>
  <si>
    <t>Arga Investment Management, LP</t>
  </si>
  <si>
    <t>Stamford</t>
  </si>
  <si>
    <t>Asset Plus Fund Management Company Limited</t>
  </si>
  <si>
    <t>Astute Fund Management Berhad</t>
  </si>
  <si>
    <t>Selangor</t>
  </si>
  <si>
    <t>Aubrey Capital Management Ltd.</t>
  </si>
  <si>
    <t>Auris Gestion Privée</t>
  </si>
  <si>
    <t>AWEA Fonds AG</t>
  </si>
  <si>
    <t>Zug</t>
  </si>
  <si>
    <t>Axiom Investors</t>
  </si>
  <si>
    <t>BEA Union Investment Management Limited</t>
  </si>
  <si>
    <t>Boston Partners</t>
  </si>
  <si>
    <t>Brandes Investment Partners, L.P.</t>
  </si>
  <si>
    <t>San Diego</t>
  </si>
  <si>
    <t>CA Indosuez (Switzerland) S.A.</t>
  </si>
  <si>
    <t>Caixabank Asset Management SGIIC, S.A.U.</t>
  </si>
  <si>
    <t>Madrid</t>
  </si>
  <si>
    <t>Caja Ingenieros Gestión, SGIIC, SAU</t>
  </si>
  <si>
    <t>Barcelona</t>
  </si>
  <si>
    <t>Calamos Advisors LLC</t>
  </si>
  <si>
    <t>Naperville</t>
  </si>
  <si>
    <t>Candriam Belgium S.A.</t>
  </si>
  <si>
    <t>Candriam Luxembourg S.A.</t>
  </si>
  <si>
    <t>Strassen</t>
  </si>
  <si>
    <t>Capital Fixed Income Investors</t>
  </si>
  <si>
    <t>Capital International Sarl</t>
  </si>
  <si>
    <t>Causeway Capital Management LLC</t>
  </si>
  <si>
    <t>Columbia Threadneedle Investments (UK)</t>
  </si>
  <si>
    <t>CPR Asset Management</t>
  </si>
  <si>
    <t>Driehaus Capital Management, LLC</t>
  </si>
  <si>
    <t>Eastspring Investments Berhad</t>
  </si>
  <si>
    <t>Edmond de Rothschild Asset Management (France) S.A.</t>
  </si>
  <si>
    <t>Edmond De Rothschild Asset Management (Luxembourg)</t>
  </si>
  <si>
    <t>Epoch Investment Partners, Inc.</t>
  </si>
  <si>
    <t>Eurizon SLJ Capital Limited</t>
  </si>
  <si>
    <t>Fidelity Institutional Asset Management</t>
  </si>
  <si>
    <t>Providence</t>
  </si>
  <si>
    <t>Fidelity Investments Canada ULC</t>
  </si>
  <si>
    <t>Fidelity Management &amp; Research (Hong Kong) Limited</t>
  </si>
  <si>
    <t>GAM (Luxembourg) S.A.</t>
  </si>
  <si>
    <t>Gudme Raaschou Fondsmæglerselskab A/S</t>
  </si>
  <si>
    <t>Hermes Investment Management Ltd.</t>
  </si>
  <si>
    <t>Hong Leong Asset Management Bhd.</t>
  </si>
  <si>
    <t>Indecap AB</t>
  </si>
  <si>
    <t>INVESCO Asset Management Deutschland GmbH</t>
  </si>
  <si>
    <t>Jarislowsky Fraser, Ltd.</t>
  </si>
  <si>
    <t>Jennison Associates LLC</t>
  </si>
  <si>
    <t>Jyske Invest Fund Management A/S</t>
  </si>
  <si>
    <t>Silkeborg</t>
  </si>
  <si>
    <t>Kasikorn Asset Management Co., Ltd.</t>
  </si>
  <si>
    <t>Keppler Asset Management, Inc.</t>
  </si>
  <si>
    <t>Lansförsäkringar Fondförvaltning AB</t>
  </si>
  <si>
    <t>Lazard Asset Management Limited</t>
  </si>
  <si>
    <t>Liontrust Investment Partners LLP</t>
  </si>
  <si>
    <t>Lombard Odier Asset Management (Europe) Ltd</t>
  </si>
  <si>
    <t>Macquarie Investment Management</t>
  </si>
  <si>
    <t>Philadelphia</t>
  </si>
  <si>
    <t>Manulife Asset Management (Taiwan) Co., Ltd</t>
  </si>
  <si>
    <t>Manulife Investment Management (Hong Kong) Limited</t>
  </si>
  <si>
    <t>Manulife Investment Management (M) Berhad</t>
  </si>
  <si>
    <t>Midas International Asset Management Ltd.</t>
  </si>
  <si>
    <t>NFJ Investment Group, LLC</t>
  </si>
  <si>
    <t>Ninety One UK Limited</t>
  </si>
  <si>
    <t>Nippon Life Global Investors Singapore Limited</t>
  </si>
  <si>
    <t>Nomura Asset Management Singapore Ltd.</t>
  </si>
  <si>
    <t>Nomura Asset Management Taiwan Limited</t>
  </si>
  <si>
    <t>Optimix Vermogensbeheer N.V.</t>
  </si>
  <si>
    <t>Amsterdam</t>
  </si>
  <si>
    <t>Origin Asset Management LLP</t>
  </si>
  <si>
    <t>Osmosis Investment Management LLP</t>
  </si>
  <si>
    <t>Ostrum Asset Management Asia Limited</t>
  </si>
  <si>
    <t>Pendal Group Limited</t>
  </si>
  <si>
    <t>Penserra Capital Management LLC</t>
  </si>
  <si>
    <t>Perinvest (UK) Ltd.</t>
  </si>
  <si>
    <t>Phillip Capital Management Sdn. Bhd.</t>
  </si>
  <si>
    <t>PineBridge Investments (Taiwan)</t>
  </si>
  <si>
    <t>PineBridge Investments Asia Limited</t>
  </si>
  <si>
    <t>Principal Global Investors (Equity)</t>
  </si>
  <si>
    <t>Putnam Investment Management, L.L.C.</t>
  </si>
  <si>
    <t>Putnam Investments Canada ULC</t>
  </si>
  <si>
    <t>Vancouver</t>
  </si>
  <si>
    <t>Rayliant Global Advisors Limited</t>
  </si>
  <si>
    <t>Research Affiliates, LLC</t>
  </si>
  <si>
    <t>RHB Asset Management Sdn. Bhd.</t>
  </si>
  <si>
    <t>RWC Asset Advisors (US) LLC</t>
  </si>
  <si>
    <t>Miami</t>
  </si>
  <si>
    <t>Scottish Widows Unit Trust Managers Ltd</t>
  </si>
  <si>
    <t>Segall Bryant &amp; Hamill, LLC</t>
  </si>
  <si>
    <t>Strive Asset Management LLC</t>
  </si>
  <si>
    <t>Swiss Rock Asset Management AG</t>
  </si>
  <si>
    <t>T. Rowe Price International Ltd</t>
  </si>
  <si>
    <t>T. Rowe Price Singapore Private Ltd.</t>
  </si>
  <si>
    <t>Thrivent Asset Management, LLC</t>
  </si>
  <si>
    <t>Minneapolis</t>
  </si>
  <si>
    <t>UBS Asset Management (Americas) LLC</t>
  </si>
  <si>
    <t>UBS Asset Management (Hong Kong) Limited</t>
  </si>
  <si>
    <t>UBS Asset Management (Japan) Ltd.</t>
  </si>
  <si>
    <t>UBS Asset Management (Singapore) Ltd.</t>
  </si>
  <si>
    <t>Unigestion</t>
  </si>
  <si>
    <t>Universal-Investment-Gesellschaft mbH</t>
  </si>
  <si>
    <t>Vident Investment Advisory, LLC</t>
  </si>
  <si>
    <t>Alpharetta</t>
  </si>
  <si>
    <t>Virtus Investment Advisers, Inc.</t>
  </si>
  <si>
    <t>Hartford</t>
  </si>
  <si>
    <t>Vontobel Asset Management S.A.</t>
  </si>
  <si>
    <t>William Blair Investment Management, LLC</t>
  </si>
  <si>
    <t>Wilmington Trust Investment Management LLC</t>
  </si>
  <si>
    <t>1832 Asset Management L.P.</t>
  </si>
  <si>
    <t>ABN AMRO Investment Solutions (AAIS)</t>
  </si>
  <si>
    <t>Adasina Social Capital</t>
  </si>
  <si>
    <t>Adiperdana (Ardan)</t>
  </si>
  <si>
    <t>Advisory Research, Inc.</t>
  </si>
  <si>
    <t>AGF International Advisors Company Ltd.</t>
  </si>
  <si>
    <t>AJO, LP</t>
  </si>
  <si>
    <t>Aletti Gestielle SGR S.p.A._NLE</t>
  </si>
  <si>
    <t>AllianceBernstein Ltd. (Growth)</t>
  </si>
  <si>
    <t>Allianz Global Investors Japan Co., Ltd.</t>
  </si>
  <si>
    <t>Allianz Global Investors Taiwan Ltd.</t>
  </si>
  <si>
    <t>Allianz Global Investors U.S. LLC_NLE</t>
  </si>
  <si>
    <t>AMF Tjänstepension AB</t>
  </si>
  <si>
    <t>Amundi Asset Management Singapore Ltd.</t>
  </si>
  <si>
    <t>Amundi Asset Management US, Inc._NLE</t>
  </si>
  <si>
    <t>Amundi Austria GmbH</t>
  </si>
  <si>
    <t>Vienna</t>
  </si>
  <si>
    <t>Amundi Deutschland GmbH</t>
  </si>
  <si>
    <t>Amundi Luxembourg S.A.</t>
  </si>
  <si>
    <t>Analytic Investors, LLC_NLE</t>
  </si>
  <si>
    <t>Argonaut Capital Partners LLP</t>
  </si>
  <si>
    <t>Arianto (Sulaiman Arif)</t>
  </si>
  <si>
    <t>Arrow Investment Advisors, LLC</t>
  </si>
  <si>
    <t>Olney</t>
  </si>
  <si>
    <t>Arrowstreet Capital, Limited Partnership</t>
  </si>
  <si>
    <t>Artisan Partners Limited Partnership</t>
  </si>
  <si>
    <t>Milwaukee</t>
  </si>
  <si>
    <t>Ashmore Equities Investment Management (US) LLC_NLE</t>
  </si>
  <si>
    <t>Arlington</t>
  </si>
  <si>
    <t>Askolani</t>
  </si>
  <si>
    <t>Asset Management One Singapore Pte. Ltd.</t>
  </si>
  <si>
    <t>Asset Management One USA Inc.</t>
  </si>
  <si>
    <t>AXA Investment Managers UK Ltd.</t>
  </si>
  <si>
    <t>Baddrudin (Ahmad Siddik)</t>
  </si>
  <si>
    <t>Banca del Sempione SA</t>
  </si>
  <si>
    <t>Bank Julius Bär &amp; Co. AG</t>
  </si>
  <si>
    <t>Bank Vontobel AG (Private Banking)</t>
  </si>
  <si>
    <t>Bankinter, S.A. (Madrid)</t>
  </si>
  <si>
    <t>Banque Degroof Petercam Luxembourg S.A.</t>
  </si>
  <si>
    <t>Banque Lombard Odier &amp; Cie SA</t>
  </si>
  <si>
    <t>Bantleon Invest AG</t>
  </si>
  <si>
    <t>Hanover</t>
  </si>
  <si>
    <t>Baring Asset Management (Asia) Limited</t>
  </si>
  <si>
    <t>Baron Capital Management, Inc.</t>
  </si>
  <si>
    <t>Berenberg Bank (Asset Management)</t>
  </si>
  <si>
    <t>Hamburg</t>
  </si>
  <si>
    <t>Berner Kantonalbank AG</t>
  </si>
  <si>
    <t>Berne</t>
  </si>
  <si>
    <t>BlackRock Asset Management Canada Limited</t>
  </si>
  <si>
    <t>BlackRock Asset Management Ireland Limited</t>
  </si>
  <si>
    <t>BlackRock Japan Co., Ltd.</t>
  </si>
  <si>
    <t>BNP Paribas Asset Management Asia Limited</t>
  </si>
  <si>
    <t>BNP Paribas Asset Management Nederland N.V.</t>
  </si>
  <si>
    <t>BNP Paribas Asset Management USA, Inc.</t>
  </si>
  <si>
    <t>BNY Mellon Asset Management</t>
  </si>
  <si>
    <t>BNY Mellon Serviços Financeiros DTVM S.A.</t>
  </si>
  <si>
    <t>Rio de Janeiro</t>
  </si>
  <si>
    <t>Brazil</t>
  </si>
  <si>
    <t>BOS Wealth Management Malaysia Berhad</t>
  </si>
  <si>
    <t>Petaling Jaya</t>
  </si>
  <si>
    <t>Bosera Asset Management Co., Ltd.</t>
  </si>
  <si>
    <t>Shenzhen</t>
  </si>
  <si>
    <t>Botswana Insurance Fund Management</t>
  </si>
  <si>
    <t>Gaborone</t>
  </si>
  <si>
    <t>Botswana</t>
  </si>
  <si>
    <t>BPI Gestão de Activos - S.G.F.I.M., S.A.</t>
  </si>
  <si>
    <t>Lisbon</t>
  </si>
  <si>
    <t>Portugal</t>
  </si>
  <si>
    <t>Brand New Day Bank N.V.</t>
  </si>
  <si>
    <t>Momentum</t>
  </si>
  <si>
    <t>CA Indosuez Wealth (Group)</t>
  </si>
  <si>
    <t>Callan LLC</t>
  </si>
  <si>
    <t>Calvert Research and Management</t>
  </si>
  <si>
    <t>Bethesda</t>
  </si>
  <si>
    <t>Capital Asset Management Co., Ltd.</t>
  </si>
  <si>
    <t>Capital Guardian Trust Company_NLE</t>
  </si>
  <si>
    <t>Capital International Ltd.</t>
  </si>
  <si>
    <t>CBR Investment AG_NLE</t>
  </si>
  <si>
    <t>Balzers</t>
  </si>
  <si>
    <t>Liechtenstein</t>
  </si>
  <si>
    <t>CCB Principal Asset Management Co., Ltd.</t>
  </si>
  <si>
    <t>Ceresio Investors</t>
  </si>
  <si>
    <t>Champlain Investment Partners, LLC</t>
  </si>
  <si>
    <t>13F</t>
  </si>
  <si>
    <t>Burlington</t>
  </si>
  <si>
    <t>Chiron Investment Management LLC</t>
  </si>
  <si>
    <t>City National Rochdale, LLC</t>
  </si>
  <si>
    <t>Columbia Threadneedle (EM) Investments Limited</t>
  </si>
  <si>
    <t>Compass Efficient Model Portfolios, LLC_NLE</t>
  </si>
  <si>
    <t>Brentwood</t>
  </si>
  <si>
    <t>Conning Asia Pacific Limited</t>
  </si>
  <si>
    <t>Connor, Clark &amp; Lunn Investment Management Ltd.</t>
  </si>
  <si>
    <t>Continuous Capital, LLC</t>
  </si>
  <si>
    <t>Irving</t>
  </si>
  <si>
    <t>Covéa Finance S.A.S.</t>
  </si>
  <si>
    <t>Credit Suisse (Luxembourg) S.A.</t>
  </si>
  <si>
    <t>Credit Suisse (Schweiz) AG_NLE</t>
  </si>
  <si>
    <t>Credit Suisse Asset Management (Schweiz) AG_NLE</t>
  </si>
  <si>
    <t>Credit Suisse Asset Management, LLC (US)_NLE</t>
  </si>
  <si>
    <t>Credit Suisse Private Banking (Singapore)</t>
  </si>
  <si>
    <t>Daiwa Asset Management (Singapore) Ltd.</t>
  </si>
  <si>
    <t>Danske Bank Group Treasury</t>
  </si>
  <si>
    <t>Danske Capital Finland Oy</t>
  </si>
  <si>
    <t>Danske Invest Management Company S.A.</t>
  </si>
  <si>
    <t>DB Platinum Advisors_NLE</t>
  </si>
  <si>
    <t>Degroof Petercam Asset Services SA</t>
  </si>
  <si>
    <t>Deka International S.A.</t>
  </si>
  <si>
    <t>Findel</t>
  </si>
  <si>
    <t>Denker Capital (Pty) Ltd</t>
  </si>
  <si>
    <t>Deutsche Bank Luxembourg S.A.</t>
  </si>
  <si>
    <t>Dimensional Fund Advisors Canada ULC</t>
  </si>
  <si>
    <t>DNB Asset Management (Asia) Limited_NLE</t>
  </si>
  <si>
    <t>Dorval Asset Management</t>
  </si>
  <si>
    <t>DuPont Capital Management Corporation</t>
  </si>
  <si>
    <t>Wilmington</t>
  </si>
  <si>
    <t>E Fund Management Co. Ltd.</t>
  </si>
  <si>
    <t>Guangzhou</t>
  </si>
  <si>
    <t>East Capital Asset Management AB</t>
  </si>
  <si>
    <t>Eaton Vance Management</t>
  </si>
  <si>
    <t>Edmond de Rothschild (Europe)</t>
  </si>
  <si>
    <t>Eightstone Oclaner Pte Ltd</t>
  </si>
  <si>
    <t>Emerging Global Advisors, LLC_NLE</t>
  </si>
  <si>
    <t>Enhanced Investment Products Limited</t>
  </si>
  <si>
    <t>Erste Asset Management GmbH</t>
  </si>
  <si>
    <t>ERSTE-SPARINVEST Kapitalanlagegesellschaft mbH_NLE</t>
  </si>
  <si>
    <t>Exchange Traded Concepts, LLC</t>
  </si>
  <si>
    <t>Oklahoma City</t>
  </si>
  <si>
    <t>Federated Hermes Global Investment Management Corp.</t>
  </si>
  <si>
    <t>Feynman Asset Management Co., Ltd.</t>
  </si>
  <si>
    <t>Fiera Capital Corporation</t>
  </si>
  <si>
    <t>FinEx Capital Management LLP</t>
  </si>
  <si>
    <t>First Sentier Investments (U.K.) Ltd</t>
  </si>
  <si>
    <t>First Sentier Investors (Hong Kong) Limited</t>
  </si>
  <si>
    <t>First Sentier Investors (Singapore)</t>
  </si>
  <si>
    <t>Foord Asset Management (Pty) Limited</t>
  </si>
  <si>
    <t>Forward Management, LLC_NLE</t>
  </si>
  <si>
    <t>Franklin Templeton Asset Management (India) Pvt. Ltd.</t>
  </si>
  <si>
    <t>Chennai</t>
  </si>
  <si>
    <t>Franklin Templeton Investments (Asia) Ltd.</t>
  </si>
  <si>
    <t>Frans (Rico Usthavia)</t>
  </si>
  <si>
    <t>Fukoku Capital Management Inc.</t>
  </si>
  <si>
    <t>Första AP-Fonden</t>
  </si>
  <si>
    <t>GAM (Hong Kong) Ltd.</t>
  </si>
  <si>
    <t>GAM Capital Management (Switzerland) AG</t>
  </si>
  <si>
    <t>GAM International Management Ltd.</t>
  </si>
  <si>
    <t>GAM Investment Management Lugano S.A._NLE</t>
  </si>
  <si>
    <t>GaveKal Capital Limited</t>
  </si>
  <si>
    <t>GE Asset Management Inc._NLE</t>
  </si>
  <si>
    <t>Geneva Advisors, LLC_NLE</t>
  </si>
  <si>
    <t>GHP Arbitrium AG</t>
  </si>
  <si>
    <t>Global Index Advisors, Inc._NLE</t>
  </si>
  <si>
    <t>Marietta</t>
  </si>
  <si>
    <t>Global X Management Company LLC_NLE</t>
  </si>
  <si>
    <t>Glovista Investments LLC</t>
  </si>
  <si>
    <t>GNB Gestão de Ativos</t>
  </si>
  <si>
    <t>Goldman Sachs Asset Management (Singapore) Pte. Ltd.</t>
  </si>
  <si>
    <t>Goldman Sachs Investment Management (Singapore) Ltd</t>
  </si>
  <si>
    <t>Graubündner Kantonalbank</t>
  </si>
  <si>
    <t>Chur</t>
  </si>
  <si>
    <t>Groupama Asset Management</t>
  </si>
  <si>
    <t>Gunardi (Hery)</t>
  </si>
  <si>
    <t>GW&amp;K Investment Management, LLC</t>
  </si>
  <si>
    <t>Hamon Investment Group Pte. Ltd.</t>
  </si>
  <si>
    <t>Hansberger Growth Investors, LP_NLE</t>
  </si>
  <si>
    <t>Madison</t>
  </si>
  <si>
    <t>Hanwha Asset Management Co., Ltd.</t>
  </si>
  <si>
    <t>Henderson Rowe Limited</t>
  </si>
  <si>
    <t>Hexavest Inc._NLE</t>
  </si>
  <si>
    <t>Highstreet Asset Management Inc.</t>
  </si>
  <si>
    <t>HSBC Global Asset Management (France) S.A.</t>
  </si>
  <si>
    <t>HSBC Global Asset Management (Taiwan) Limited</t>
  </si>
  <si>
    <t>HSBC Investment Funds (Luxembourg) S.A.</t>
  </si>
  <si>
    <t>IKC Fonder AB</t>
  </si>
  <si>
    <t>Malmö</t>
  </si>
  <si>
    <t>Index Management Solutions, LLC_NLE</t>
  </si>
  <si>
    <t>Indriati (Susana Indah K.)</t>
  </si>
  <si>
    <t>Indus Capital Partners, LLC</t>
  </si>
  <si>
    <t>INTECH Investment Management LLC</t>
  </si>
  <si>
    <t>West Palm Beach</t>
  </si>
  <si>
    <t>Intesa Sanpaolo Private Bank Suisse Morval SA_NLE</t>
  </si>
  <si>
    <t>INVESCO Asset Management Limited</t>
  </si>
  <si>
    <t>Henley-on-Thames</t>
  </si>
  <si>
    <t>Irawan (Panji)</t>
  </si>
  <si>
    <t>Ireland Strategic Investment Fund</t>
  </si>
  <si>
    <t>Ironbark Asset Management (Fund Services) Limited</t>
  </si>
  <si>
    <t>IST Investmentstiftung</t>
  </si>
  <si>
    <t>Ivy Investment Management Company_NLE</t>
  </si>
  <si>
    <t>Overland Park</t>
  </si>
  <si>
    <t>Jana Investment Advisers Pty Ltd.</t>
  </si>
  <si>
    <t>JOM Fund Management Ltd_NLE</t>
  </si>
  <si>
    <t>JPMorgan Asset Management (Taiwan) Limited</t>
  </si>
  <si>
    <t>Jupiter Asset Management Ltd.</t>
  </si>
  <si>
    <t>KBC Asset Management N.V.</t>
  </si>
  <si>
    <t>KBC Fund Management Limited</t>
  </si>
  <si>
    <t>KGI Securities Investment Trust Company Ltd.</t>
  </si>
  <si>
    <t>Kiwoom Asset Management Co., Ltd.</t>
  </si>
  <si>
    <t>Kokusai Asset Management Co., Ltd._NLE</t>
  </si>
  <si>
    <t>Legato Capital Management LLC</t>
  </si>
  <si>
    <t>Leith Wheeler Investment Counsel Ltd.</t>
  </si>
  <si>
    <t>Leuthold Weeden Capital Management</t>
  </si>
  <si>
    <t>LGT Capital Partners Ltd.</t>
  </si>
  <si>
    <t>Pfäffikon</t>
  </si>
  <si>
    <t>Lincoln Investment Advisors Corporation</t>
  </si>
  <si>
    <t>Radnor</t>
  </si>
  <si>
    <t>LMCG Investments, LLC</t>
  </si>
  <si>
    <t>Lyxor Asset Management_NLE</t>
  </si>
  <si>
    <t>Lyxor Funds Solutions S.A._NLE</t>
  </si>
  <si>
    <t>Mackenzie Investments Asia Limited</t>
  </si>
  <si>
    <t>Macquarie Investment Management Austria Kapitalanlage AG</t>
  </si>
  <si>
    <t>Mansartis</t>
  </si>
  <si>
    <t>Mansury (Pahala Nugraha)</t>
  </si>
  <si>
    <t>Manulife Investment Management (Europe) Limited (Sibling)</t>
  </si>
  <si>
    <t>Manulife Investment Management (Ireland) Ltd</t>
  </si>
  <si>
    <t>Marathon-London</t>
  </si>
  <si>
    <t>Marlborough International Management Limited</t>
  </si>
  <si>
    <t>Massachusetts Mutual Life Insurance Company</t>
  </si>
  <si>
    <t>Springfield</t>
  </si>
  <si>
    <t>McKinley Capital Management, LLC</t>
  </si>
  <si>
    <t>Anchorage</t>
  </si>
  <si>
    <t>Mediolanum Asset Management Limited_NLE</t>
  </si>
  <si>
    <t>Merian Global Investors (UK) Limited_NLE</t>
  </si>
  <si>
    <t>Metagestion, S.G.I.I.C., S.A.U.</t>
  </si>
  <si>
    <t>Metisq Capital Pty Ltd_NLE</t>
  </si>
  <si>
    <t>Metzler Asset Management GmbH</t>
  </si>
  <si>
    <t>MFC Asset Management PCL</t>
  </si>
  <si>
    <t>MFS Institutional Advisors, Inc</t>
  </si>
  <si>
    <t>Milliman Financial Risk Management, LLC</t>
  </si>
  <si>
    <t>Milltrust International Group</t>
  </si>
  <si>
    <t>Mirabaud Asset Management Limited</t>
  </si>
  <si>
    <t>Mizuho Bank, Ltd.</t>
  </si>
  <si>
    <t>Mondrian Investment Partners Ltd.</t>
  </si>
  <si>
    <t>Multi Asset Global Investments Co., Ltd.</t>
  </si>
  <si>
    <t>National Bank Trust</t>
  </si>
  <si>
    <t>Nely (Nawal)</t>
  </si>
  <si>
    <t>Neuberger Berman Asset Management Ireland Ltd</t>
  </si>
  <si>
    <t>Neuberger Berman, LLC</t>
  </si>
  <si>
    <t>Niche Asset Management Limited</t>
  </si>
  <si>
    <t>NNIP Asset Management B.V._NLE</t>
  </si>
  <si>
    <t>Nomura Asset Management Europe KVG mbH</t>
  </si>
  <si>
    <t>Nordea Investment Management AB (Denmark)_NLE</t>
  </si>
  <si>
    <t>Northern Trust Fund Managers (Ireland) Limited</t>
  </si>
  <si>
    <t>Northern Trust Global Investments</t>
  </si>
  <si>
    <t>NS Partners Ltd.</t>
  </si>
  <si>
    <t>Nuveen Asset Management, LLC</t>
  </si>
  <si>
    <t>Octopus Investments Limited</t>
  </si>
  <si>
    <t>Old Mutual Customised Solutions (Pty) Ltd</t>
  </si>
  <si>
    <t>OppenheimerFunds, Inc._NLE</t>
  </si>
  <si>
    <t>Ossiam</t>
  </si>
  <si>
    <t>Overlook Investments Limited</t>
  </si>
  <si>
    <t>PanAgora Asset Management Inc.</t>
  </si>
  <si>
    <t>Phoenix Asset Management Partners Ltd.</t>
  </si>
  <si>
    <t>Pictet Asset Management (Singapore) Pte. Ltd.</t>
  </si>
  <si>
    <t>PineBridge Investments LLC</t>
  </si>
  <si>
    <t>PineStone Asset Management Inc.</t>
  </si>
  <si>
    <t>Pioneer Investments Austria GmbH_NLE</t>
  </si>
  <si>
    <t>PMG Investment Solutions AG</t>
  </si>
  <si>
    <t>Polar Capital LLP</t>
  </si>
  <si>
    <t>Polen Capital HK Limited</t>
  </si>
  <si>
    <t>PPM America, Inc.</t>
  </si>
  <si>
    <t>Pramerica SGR S.p.A._NLE</t>
  </si>
  <si>
    <t>Prastomiyono (Ogi)</t>
  </si>
  <si>
    <t>Praude Asset Management Ltd.</t>
  </si>
  <si>
    <t>St. Julians</t>
  </si>
  <si>
    <t>Malta</t>
  </si>
  <si>
    <t>Principal Asset Management Company (Asia) Ltd.</t>
  </si>
  <si>
    <t>Principal Global Investors (Hong Kong) Limited</t>
  </si>
  <si>
    <t>Principal Management Corporation_NLE</t>
  </si>
  <si>
    <t>Holding Company</t>
  </si>
  <si>
    <t>Prisma Investment GmbH</t>
  </si>
  <si>
    <t>Pro-Financial Asset Management, Inc.</t>
  </si>
  <si>
    <t>ProFund Advisors LLC</t>
  </si>
  <si>
    <t>ProShare Advisors LLC</t>
  </si>
  <si>
    <t>Prudential Assurance Co., Ltd.</t>
  </si>
  <si>
    <t>Prudential Capital Group</t>
  </si>
  <si>
    <t>Prusik Investment Management LLP</t>
  </si>
  <si>
    <t>PT AXA Mandiri Financial Services</t>
  </si>
  <si>
    <t>PT Ciptadana Asset Management</t>
  </si>
  <si>
    <t>PT Mandiri Manajemen Investasi</t>
  </si>
  <si>
    <t>PT Prudential Life Assurance</t>
  </si>
  <si>
    <t>Corporation</t>
  </si>
  <si>
    <t>PT Schroder Investment Management Indonesia</t>
  </si>
  <si>
    <t>Putro (Imam Apriyanto)</t>
  </si>
  <si>
    <t>QS Investors, LLC_NLE</t>
  </si>
  <si>
    <t>Quilter Investors Limited</t>
  </si>
  <si>
    <t>Southampton</t>
  </si>
  <si>
    <t>Radin Capital Partners Inc._NLE</t>
  </si>
  <si>
    <t>Raiffeisen Kapitalanlage-Gesellschaft mbH</t>
  </si>
  <si>
    <t>RBC Global Asset Management (UK) Limited</t>
  </si>
  <si>
    <t>RBC Indigo Asset Management Inc._NLE</t>
  </si>
  <si>
    <t>Resona Bank, Ltd.</t>
  </si>
  <si>
    <t>Ringturm Kapitalanlagegesellschaft mbH_NLE</t>
  </si>
  <si>
    <t>Riverfront Investment Group, LLC</t>
  </si>
  <si>
    <t>Royal London Asset Management (CIS) Limited_NLE</t>
  </si>
  <si>
    <t>Royal London Asset Management Ltd.</t>
  </si>
  <si>
    <t>Russell Investments Japan Co., Ltd.</t>
  </si>
  <si>
    <t>Salient Partners, L.P._NLE</t>
  </si>
  <si>
    <t>Sally (Kartini)</t>
  </si>
  <si>
    <t>Samarang Asset Management S.A.</t>
  </si>
  <si>
    <t>Samsung Asset Management (Hong Kong) Limited</t>
  </si>
  <si>
    <t>Santander Asset Management UK Limited</t>
  </si>
  <si>
    <t>Sarasin &amp; Partners LLP</t>
  </si>
  <si>
    <t>Saudi Central Bank</t>
  </si>
  <si>
    <t>Riyadh</t>
  </si>
  <si>
    <t>Saudi Arabia</t>
  </si>
  <si>
    <t>Schroder Investment Management (Australia) Ltd.</t>
  </si>
  <si>
    <t>Schroder Investment Trust Management Company (Korea) Ltd.</t>
  </si>
  <si>
    <t>Scottish Mutual Investment Managers Ltd._NLE</t>
  </si>
  <si>
    <t>SEI Investments Canada</t>
  </si>
  <si>
    <t>Sella SGR S.p.A.</t>
  </si>
  <si>
    <t>Sempione SIM SpA</t>
  </si>
  <si>
    <t>Senhouse Capital LLP_NLE</t>
  </si>
  <si>
    <t>Sensible Asset Management Hong Kong Limited</t>
  </si>
  <si>
    <t>Shinko Asset Management Co., Ltd._NLE</t>
  </si>
  <si>
    <t>Shânti Asset Management_NLE</t>
  </si>
  <si>
    <t>Simatupang (Donsuwan)</t>
  </si>
  <si>
    <t>SinoPac Securities Investment Trust Co., Ltd.</t>
  </si>
  <si>
    <t>Sjunde AP-fonden</t>
  </si>
  <si>
    <t>Skandia Fonder AB</t>
  </si>
  <si>
    <t>SPX Capital</t>
  </si>
  <si>
    <t>St. James's Place Wealth Management Plc</t>
  </si>
  <si>
    <t>Gloucester</t>
  </si>
  <si>
    <t>STANLIB Asset Management Ltd.</t>
  </si>
  <si>
    <t>Johannesburg</t>
  </si>
  <si>
    <t>State of Wisconsin Investment Board</t>
  </si>
  <si>
    <t>State Street Investment Management (Canada)</t>
  </si>
  <si>
    <t>State Street Investment Management France S.A.</t>
  </si>
  <si>
    <t>La Défense</t>
  </si>
  <si>
    <t>Stichting Depositary APG Emerging Markets Equity Pool</t>
  </si>
  <si>
    <t>Stonehage Fleming Investment Management Limited</t>
  </si>
  <si>
    <t>Sumitomo Mitsui Trust Bank, Limited</t>
  </si>
  <si>
    <t>Sunbridge Capital Partners, LLC</t>
  </si>
  <si>
    <t>Swisscanto Fondsleitung AG</t>
  </si>
  <si>
    <t>Sydbank</t>
  </si>
  <si>
    <t>sAabenraa</t>
  </si>
  <si>
    <t>Sydinvest</t>
  </si>
  <si>
    <t>Aabenraa</t>
  </si>
  <si>
    <t>Symmetry Partners, LLC.</t>
  </si>
  <si>
    <t>T&amp;D Asset Management Co., Ltd.</t>
  </si>
  <si>
    <t>T. Rowe Price Hong Kong Limited</t>
  </si>
  <si>
    <t>TA Investment Management Bhd.</t>
  </si>
  <si>
    <t>Tardi</t>
  </si>
  <si>
    <t>TCW Asset Management Company LLC</t>
  </si>
  <si>
    <t>Templeton Asset Management Ltd.</t>
  </si>
  <si>
    <t>Thames River Capital LLP_NLE</t>
  </si>
  <si>
    <t>The Capital Group Companies, Inc.</t>
  </si>
  <si>
    <t>THEAM_NLE</t>
  </si>
  <si>
    <t>Thomas White International, Ltd._NLE</t>
  </si>
  <si>
    <t>Thornburg Investment Management, Inc.</t>
  </si>
  <si>
    <t>Santa Fe</t>
  </si>
  <si>
    <t>TIFF Advisory Services, Inc.</t>
  </si>
  <si>
    <t>Tokio Marine Asset Management International Pte. Ltd.</t>
  </si>
  <si>
    <t>Tredje AP Fonden</t>
  </si>
  <si>
    <t>Trilogy Global Advisors, LP</t>
  </si>
  <si>
    <t>Tumilaar (Royke)</t>
  </si>
  <si>
    <t>U.S. Global Investors, Inc.</t>
  </si>
  <si>
    <t>San Antonio</t>
  </si>
  <si>
    <t>UBS Asset Management (Europe) S.A.</t>
  </si>
  <si>
    <t>Uni-President Assets Management Corp.</t>
  </si>
  <si>
    <t>Union Bancaire Privée, UBP SA</t>
  </si>
  <si>
    <t>Union Investment Austria GmbH</t>
  </si>
  <si>
    <t>Vaughan Nelson Investment Management, L.P.</t>
  </si>
  <si>
    <t>Velanne Asset Management Limited_NLE</t>
  </si>
  <si>
    <t>W1M Investment Management Limited</t>
  </si>
  <si>
    <t>Wallberg Invest S.A.</t>
  </si>
  <si>
    <t>Walter Scott &amp; Partners Ltd.</t>
  </si>
  <si>
    <t>Wellington Management Japan Pte Ltd</t>
  </si>
  <si>
    <t>Tokyo</t>
  </si>
  <si>
    <t>Westwood International Advisors, Inc.</t>
  </si>
  <si>
    <t>Widyopramono (R.)</t>
  </si>
  <si>
    <t>William Blair &amp; Company, L.L.C. (Research)</t>
  </si>
  <si>
    <t>Brokerage Firms</t>
  </si>
  <si>
    <t>Research Firm</t>
  </si>
  <si>
    <t>Broker-Dealer</t>
  </si>
  <si>
    <t>Wilmington Trust Investment Advisors, Inc.</t>
  </si>
  <si>
    <t>Wirjoatmodjo (Kartika)</t>
  </si>
  <si>
    <t>WisdomTree Asset Management, Inc.</t>
  </si>
  <si>
    <t>Xact Kapitalforvaltning AB_NLE</t>
  </si>
  <si>
    <t>York Capital Management L P.</t>
  </si>
  <si>
    <t>Zantke &amp; Cie. Asset Management GmbH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</si>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</sst>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0.00%;\-#0.00%;0%"/>
    <numFmt numFmtId="166" formatCode="#,##0.00;\-#,##0.00;0"/>
    <numFmt numFmtId="167" formatCode="\+#,##0.00;\-#,##0.00;0"/>
  </numFmts>
  <fonts count="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color rgb="FFCCCCCC"/>
      <name val="Calibri"/>
    </font>
    <font>
      <sz val="9"/>
      <color rgb="FFF5475B"/>
      <name val="Calibri"/>
    </font>
    <font>
      <sz val="9"/>
      <color rgb="FF39C4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898989"/>
      </left>
      <right style="thin">
        <color rgb="FF898989"/>
      </right>
      <top style="thin">
        <color rgb="FF898989"/>
      </top>
      <bottom/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 style="thin">
        <color rgb="FF898989"/>
      </right>
      <top/>
      <bottom style="thin">
        <color rgb="FF898989"/>
      </bottom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5" fillId="0" borderId="0" xfId="0" applyFont="1" applyAlignment="1"/>
    <xf numFmtId="165" fontId="5" fillId="0" borderId="0" xfId="0" applyNumberFormat="1" applyFont="1" applyAlignment="1"/>
    <xf numFmtId="166" fontId="5" fillId="0" borderId="0" xfId="0" applyNumberFormat="1" applyFont="1" applyAlignment="1"/>
    <xf numFmtId="167" fontId="6" fillId="0" borderId="0" xfId="0" applyNumberFormat="1" applyFont="1" applyAlignment="1"/>
    <xf numFmtId="167" fontId="7" fillId="0" borderId="0" xfId="0" applyNumberFormat="1" applyFont="1" applyAlignment="1"/>
    <xf numFmtId="167" fontId="8" fillId="0" borderId="0" xfId="0" applyNumberFormat="1" applyFont="1" applyAlignment="1"/>
    <xf numFmtId="164" fontId="5" fillId="0" borderId="0" xfId="0" applyNumberFormat="1" applyFont="1" applyAlignment="1"/>
    <xf numFmtId="0" fontId="3" fillId="2" borderId="3" xfId="0" applyFont="1" applyFill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3" fillId="2" borderId="2" xfId="0" applyFont="1" applyFill="1" applyBorder="1" applyAlignment="1">
      <alignment horizontal="left" vertical="center" wrapText="1"/>
    </xf>
    <xf numFmtId="0" fontId="4" fillId="0" borderId="6" xfId="0" applyFont="1" applyBorder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hiya TM" refreshedDate="45991.817969444448" refreshedVersion="8" recordCount="787" xr:uid="{00000000-000A-0000-FFFF-FFFF00000000}">
  <cacheSource type="worksheet">
    <worksheetSource ref="A5:CG792" sheet="Shareholders Report"/>
  </cacheSource>
  <cacheFields count="85">
    <cacheField name="Shareholders Report" numFmtId="0">
      <sharedItems containsBlank="1" containsMixedTypes="1" containsNumber="1" containsInteger="1" minValue="1" maxValue="785"/>
    </cacheField>
    <cacheField name=" " numFmtId="0">
      <sharedItems containsBlank="1"/>
    </cacheField>
    <cacheField name=" 2" numFmtId="0">
      <sharedItems containsBlank="1" containsMixedTypes="1" containsNumber="1" minValue="0" maxValue="0.52525299999999997"/>
    </cacheField>
    <cacheField name=" 3" numFmtId="0">
      <sharedItems containsDate="1" containsString="0" containsBlank="1" containsMixedTypes="1" minDate="1899-12-31T00:00:00" maxDate="1900-01-08T17:45:03"/>
    </cacheField>
    <cacheField name=" 4" numFmtId="0">
      <sharedItems containsDate="1" containsString="0" containsBlank="1" containsMixedTypes="1" minDate="1899-12-31T00:00:00" maxDate="1900-01-08T17:45:03"/>
    </cacheField>
    <cacheField name=" 5" numFmtId="0">
      <sharedItems containsDate="1" containsString="0" containsBlank="1" containsMixedTypes="1" minDate="1899-12-31T00:00:00" maxDate="1900-01-08T17:45:03"/>
    </cacheField>
    <cacheField name=" 6" numFmtId="0">
      <sharedItems containsDate="1" containsString="0" containsBlank="1" containsMixedTypes="1" minDate="1899-12-31T00:00:00" maxDate="1900-01-08T17:45:03"/>
    </cacheField>
    <cacheField name=" 7" numFmtId="0">
      <sharedItems containsDate="1" containsString="0" containsBlank="1" containsMixedTypes="1" minDate="1899-12-31T00:00:00" maxDate="1899-12-30T00:00:00"/>
    </cacheField>
    <cacheField name=" 8" numFmtId="0">
      <sharedItems containsDate="1" containsString="0" containsBlank="1" containsMixedTypes="1" minDate="1899-12-31T00:00:00" maxDate="1899-12-30T00:00:00"/>
    </cacheField>
    <cacheField name=" 9" numFmtId="0">
      <sharedItems containsDate="1" containsString="0" containsBlank="1" containsMixedTypes="1" minDate="1899-12-31T00:00:00" maxDate="1899-12-30T00:00:00"/>
    </cacheField>
    <cacheField name=" 10" numFmtId="0">
      <sharedItems containsDate="1" containsString="0" containsBlank="1" containsMixedTypes="1" minDate="1899-12-31T00:00:00" maxDate="1899-12-30T00:00:00"/>
    </cacheField>
    <cacheField name=" 11" numFmtId="0">
      <sharedItems containsDate="1" containsString="0" containsBlank="1" containsMixedTypes="1" minDate="1899-12-31T00:00:00" maxDate="1899-12-30T00:00:00"/>
    </cacheField>
    <cacheField name=" 12" numFmtId="0">
      <sharedItems containsDate="1" containsString="0" containsBlank="1" containsMixedTypes="1" minDate="1899-12-31T00:00:00" maxDate="1899-12-30T00:00:00"/>
    </cacheField>
    <cacheField name=" 13" numFmtId="0">
      <sharedItems containsBlank="1" containsMixedTypes="1" containsNumber="1" containsInteger="1" minValue="0" maxValue="48533333334"/>
    </cacheField>
    <cacheField name=" 14" numFmtId="0">
      <sharedItems containsDate="1" containsString="0" containsBlank="1" containsMixedTypes="1" minDate="1899-12-31T00:00:00" maxDate="1900-01-06T09:39:06"/>
    </cacheField>
    <cacheField name=" 15" numFmtId="0">
      <sharedItems containsDate="1" containsString="0" containsBlank="1" containsMixedTypes="1" minDate="1899-12-31T00:00:00" maxDate="1900-01-06T09:39:06"/>
    </cacheField>
    <cacheField name=" 16" numFmtId="0">
      <sharedItems containsDate="1" containsString="0" containsBlank="1" containsMixedTypes="1" minDate="1899-12-31T00:00:00" maxDate="1900-01-06T09:39:06"/>
    </cacheField>
    <cacheField name=" 17" numFmtId="0">
      <sharedItems containsDate="1" containsString="0" containsBlank="1" containsMixedTypes="1" minDate="1899-12-31T00:00:00" maxDate="1900-01-06T09:39:06"/>
    </cacheField>
    <cacheField name=" 18" numFmtId="0">
      <sharedItems containsDate="1" containsString="0" containsBlank="1" containsMixedTypes="1" minDate="1899-12-31T00:00:00" maxDate="1899-12-31T19:43:06"/>
    </cacheField>
    <cacheField name=" 19" numFmtId="0">
      <sharedItems containsDate="1" containsString="0" containsBlank="1" containsMixedTypes="1" minDate="1899-12-31T00:00:00" maxDate="1899-12-31T19:43:06"/>
    </cacheField>
    <cacheField name=" 20" numFmtId="0">
      <sharedItems containsDate="1" containsString="0" containsBlank="1" containsMixedTypes="1" minDate="1899-12-31T00:00:00" maxDate="1899-12-31T19:43:06"/>
    </cacheField>
    <cacheField name=" 21" numFmtId="0">
      <sharedItems containsDate="1" containsString="0" containsBlank="1" containsMixedTypes="1" minDate="1899-12-31T00:00:00" maxDate="1899-12-31T19:43:06"/>
    </cacheField>
    <cacheField name=" 22" numFmtId="0">
      <sharedItems containsDate="1" containsString="0" containsBlank="1" containsMixedTypes="1" minDate="1899-12-31T00:00:00" maxDate="1899-12-31T19:43:06"/>
    </cacheField>
    <cacheField name=" 23" numFmtId="0">
      <sharedItems containsDate="1" containsString="0" containsBlank="1" containsMixedTypes="1" minDate="1899-12-31T00:00:00" maxDate="1899-12-31T19:43:06"/>
    </cacheField>
    <cacheField name=" 24" numFmtId="0">
      <sharedItems containsBlank="1" containsMixedTypes="1" containsNumber="1" containsInteger="1" minValue="-458881000" maxValue="759362117"/>
    </cacheField>
    <cacheField name=" 25" numFmtId="0">
      <sharedItems containsDate="1" containsString="0" containsBlank="1" containsMixedTypes="1" minDate="1900-01-09T01:29:13" maxDate="1900-01-09T04:31:05"/>
    </cacheField>
    <cacheField name=" 26" numFmtId="0">
      <sharedItems containsDate="1" containsString="0" containsBlank="1" containsMixedTypes="1" minDate="1900-01-02T23:18:13" maxDate="1900-01-06T15:02:05"/>
    </cacheField>
    <cacheField name=" 27" numFmtId="0">
      <sharedItems containsDate="1" containsString="0" containsBlank="1" containsMixedTypes="1" minDate="1900-01-08T18:13:13" maxDate="1900-01-04T07:19:05"/>
    </cacheField>
    <cacheField name=" 28" numFmtId="0">
      <sharedItems containsDate="1" containsString="0" containsBlank="1" containsMixedTypes="1" minDate="1900-01-08T20:14:13" maxDate="1900-01-08T20:12:05"/>
    </cacheField>
    <cacheField name=" 29" numFmtId="0">
      <sharedItems containsDate="1" containsString="0" containsBlank="1" containsMixedTypes="1" minDate="1900-01-03T18:18:13" maxDate="1900-01-08T14:23:05"/>
    </cacheField>
    <cacheField name=" 30" numFmtId="0">
      <sharedItems containsDate="1" containsString="0" containsBlank="1" containsMixedTypes="1" minDate="1900-01-04T14:42:13" maxDate="1900-01-06T02:35:05"/>
    </cacheField>
    <cacheField name=" 31" numFmtId="0">
      <sharedItems containsDate="1" containsString="0" containsBlank="1" containsMixedTypes="1" minDate="1900-01-08T07:31:13" maxDate="1900-01-07T13:17:05"/>
    </cacheField>
    <cacheField name=" 32" numFmtId="0">
      <sharedItems containsDate="1" containsString="0" containsBlank="1" containsMixedTypes="1" minDate="1900-01-08T00:02:13" maxDate="1899-12-31T13:09:05"/>
    </cacheField>
    <cacheField name=" 33" numFmtId="0">
      <sharedItems containsDate="1" containsString="0" containsBlank="1" containsMixedTypes="1" minDate="1900-01-05T21:35:13" maxDate="1900-01-09T08:26:05"/>
    </cacheField>
    <cacheField name=" 34" numFmtId="0">
      <sharedItems containsDate="1" containsString="0" containsBlank="1" containsMixedTypes="1" minDate="1900-01-03T23:09:13" maxDate="1900-01-10T04:32:05"/>
    </cacheField>
    <cacheField name=" 35" numFmtId="0">
      <sharedItems containsBlank="1" containsMixedTypes="1" containsNumber="1" minValue="0" maxValue="213482596553495"/>
    </cacheField>
    <cacheField name=" 36" numFmtId="0">
      <sharedItems containsDate="1" containsString="0" containsBlank="1" containsMixedTypes="1" minDate="1899-12-31T00:00:00" maxDate="1900-01-04T03:00:06"/>
    </cacheField>
    <cacheField name=" 37" numFmtId="0">
      <sharedItems containsDate="1" containsString="0" containsBlank="1" containsMixedTypes="1" minDate="1899-12-31T00:00:00" maxDate="1899-12-30T00:00:00"/>
    </cacheField>
    <cacheField name=" 38" numFmtId="0">
      <sharedItems containsDate="1" containsString="0" containsBlank="1" containsMixedTypes="1" minDate="1899-12-31T00:00:00" maxDate="1899-12-30T00:00:00"/>
    </cacheField>
    <cacheField name=" 39" numFmtId="0">
      <sharedItems containsDate="1" containsString="0" containsBlank="1" containsMixedTypes="1" minDate="1899-12-31T00:00:00" maxDate="1899-12-30T00:00:00"/>
    </cacheField>
    <cacheField name=" 40" numFmtId="0">
      <sharedItems containsDate="1" containsString="0" containsBlank="1" containsMixedTypes="1" minDate="1899-12-31T00:00:00" maxDate="1899-12-30T00:00:00"/>
    </cacheField>
    <cacheField name=" 41" numFmtId="0">
      <sharedItems containsDate="1" containsString="0" containsBlank="1" containsMixedTypes="1" minDate="1899-12-31T00:00:00" maxDate="1899-12-30T00:00:00"/>
    </cacheField>
    <cacheField name=" 42" numFmtId="0">
      <sharedItems containsDate="1" containsString="0" containsBlank="1" containsMixedTypes="1" minDate="1899-12-31T00:00:00" maxDate="9653-11-06T02:52:06"/>
    </cacheField>
    <cacheField name=" 43" numFmtId="0">
      <sharedItems containsDate="1" containsString="0" containsBlank="1" containsMixedTypes="1" minDate="1899-12-31T00:00:00" maxDate="1900-01-05T02:54:06"/>
    </cacheField>
    <cacheField name=" 44" numFmtId="0">
      <sharedItems containsDate="1" containsString="0" containsBlank="1" containsMixedTypes="1" minDate="1899-12-31T00:00:00" maxDate="1900-01-04T15:47:06"/>
    </cacheField>
    <cacheField name=" 45" numFmtId="0">
      <sharedItems containsDate="1" containsString="0" containsBlank="1" containsMixedTypes="1" minDate="1899-12-31T00:00:00" maxDate="1900-01-04T23:42:06"/>
    </cacheField>
    <cacheField name=" 46" numFmtId="0">
      <sharedItems containsDate="1" containsBlank="1" containsMixedTypes="1" minDate="2024-02-29T00:00:00" maxDate="2025-10-01T00:00:00"/>
    </cacheField>
    <cacheField name=" 47" numFmtId="0">
      <sharedItems containsNonDate="0" containsDate="1" containsString="0" containsBlank="1" minDate="2023-03-31T00:00:00" maxDate="2025-01-01T00:00:00"/>
    </cacheField>
    <cacheField name=" 48" numFmtId="0">
      <sharedItems containsNonDate="0" containsDate="1" containsString="0" containsBlank="1" minDate="2022-03-31T00:00:00" maxDate="2024-01-01T00:00:00"/>
    </cacheField>
    <cacheField name=" 49" numFmtId="0">
      <sharedItems containsNonDate="0" containsDate="1" containsString="0" containsBlank="1" minDate="2021-03-31T00:00:00" maxDate="2023-01-01T00:00:00"/>
    </cacheField>
    <cacheField name=" 50" numFmtId="0">
      <sharedItems containsNonDate="0" containsDate="1" containsString="0" containsBlank="1" minDate="2020-03-31T00:00:00" maxDate="2022-01-01T00:00:00"/>
    </cacheField>
    <cacheField name=" 51" numFmtId="0">
      <sharedItems containsNonDate="0" containsDate="1" containsString="0" containsBlank="1" minDate="2019-03-31T00:00:00" maxDate="2021-01-01T00:00:00"/>
    </cacheField>
    <cacheField name=" 52" numFmtId="0">
      <sharedItems containsNonDate="0" containsDate="1" containsString="0" containsBlank="1" minDate="2018-05-31T00:00:00" maxDate="2020-01-01T00:00:00"/>
    </cacheField>
    <cacheField name=" 53" numFmtId="0">
      <sharedItems containsNonDate="0" containsDate="1" containsString="0" containsBlank="1" minDate="2017-03-31T00:00:00" maxDate="2019-01-01T00:00:00"/>
    </cacheField>
    <cacheField name=" 54" numFmtId="0">
      <sharedItems containsNonDate="0" containsDate="1" containsString="0" containsBlank="1" minDate="2016-03-31T00:00:00" maxDate="2018-01-01T00:00:00"/>
    </cacheField>
    <cacheField name=" 55" numFmtId="0">
      <sharedItems containsNonDate="0" containsDate="1" containsString="0" containsBlank="1" minDate="2015-03-31T00:00:00" maxDate="2017-01-01T00:00:00"/>
    </cacheField>
    <cacheField name=" 56" numFmtId="0">
      <sharedItems containsNonDate="0" containsDate="1" containsString="0" containsBlank="1" minDate="2014-03-31T00:00:00" maxDate="2016-01-01T00:00:00"/>
    </cacheField>
    <cacheField name=" 57" numFmtId="0">
      <sharedItems containsBlank="1"/>
    </cacheField>
    <cacheField name=" 58" numFmtId="0">
      <sharedItems containsDate="1" containsBlank="1" containsMixedTypes="1" minDate="2024-12-31T00:00:00" maxDate="2025-01-01T00:00:00"/>
    </cacheField>
    <cacheField name=" 59" numFmtId="0">
      <sharedItems containsDate="1" containsBlank="1" containsMixedTypes="1" minDate="2023-12-31T00:00:00" maxDate="2024-01-01T00:00:00"/>
    </cacheField>
    <cacheField name=" 60" numFmtId="0">
      <sharedItems containsDate="1" containsBlank="1" containsMixedTypes="1" minDate="2022-12-31T00:00:00" maxDate="2023-01-01T00:00:00"/>
    </cacheField>
    <cacheField name=" 61" numFmtId="0">
      <sharedItems containsDate="1" containsBlank="1" containsMixedTypes="1" minDate="2021-12-31T00:00:00" maxDate="2022-01-01T00:00:00"/>
    </cacheField>
    <cacheField name=" 62" numFmtId="0">
      <sharedItems containsDate="1" containsBlank="1" containsMixedTypes="1" minDate="2020-12-31T00:00:00" maxDate="2021-01-01T00:00:00"/>
    </cacheField>
    <cacheField name=" 63" numFmtId="0">
      <sharedItems containsDate="1" containsBlank="1" containsMixedTypes="1" minDate="2019-12-31T00:00:00" maxDate="2020-01-01T00:00:00"/>
    </cacheField>
    <cacheField name=" 64" numFmtId="0">
      <sharedItems containsDate="1" containsBlank="1" containsMixedTypes="1" minDate="2018-12-31T00:00:00" maxDate="2019-01-01T00:00:00"/>
    </cacheField>
    <cacheField name=" 65" numFmtId="0">
      <sharedItems containsDate="1" containsBlank="1" containsMixedTypes="1" minDate="2017-12-31T00:00:00" maxDate="2018-01-01T00:00:00"/>
    </cacheField>
    <cacheField name=" 66" numFmtId="0">
      <sharedItems containsDate="1" containsBlank="1" containsMixedTypes="1" minDate="2016-12-31T00:00:00" maxDate="2017-01-01T00:00:00"/>
    </cacheField>
    <cacheField name=" 67" numFmtId="0">
      <sharedItems containsDate="1" containsBlank="1" containsMixedTypes="1" minDate="2015-12-31T00:00:00" maxDate="2016-01-01T00:00:00"/>
    </cacheField>
    <cacheField name=" 68" numFmtId="0">
      <sharedItems containsBlank="1"/>
    </cacheField>
    <cacheField name=" 69" numFmtId="0">
      <sharedItems containsBlank="1"/>
    </cacheField>
    <cacheField name=" 70" numFmtId="0">
      <sharedItems containsBlank="1" containsMixedTypes="1" containsNumber="1" minValue="0" maxValue="1.4730963925651901E+17"/>
    </cacheField>
    <cacheField name=" 71" numFmtId="0">
      <sharedItems containsBlank="1"/>
    </cacheField>
    <cacheField name=" 72" numFmtId="0">
      <sharedItems containsBlank="1"/>
    </cacheField>
    <cacheField name=" 73" numFmtId="0">
      <sharedItems containsDate="1" containsBlank="1" containsMixedTypes="1" minDate="2024-12-31T00:00:00" maxDate="2025-01-01T00:00:00"/>
    </cacheField>
    <cacheField name=" 74" numFmtId="0">
      <sharedItems containsDate="1" containsBlank="1" containsMixedTypes="1" minDate="2023-12-31T00:00:00" maxDate="2024-01-01T00:00:00"/>
    </cacheField>
    <cacheField name=" 75" numFmtId="0">
      <sharedItems containsDate="1" containsBlank="1" containsMixedTypes="1" minDate="2022-12-31T00:00:00" maxDate="2023-01-01T00:00:00"/>
    </cacheField>
    <cacheField name=" 76" numFmtId="0">
      <sharedItems containsDate="1" containsBlank="1" containsMixedTypes="1" minDate="2021-12-31T00:00:00" maxDate="2022-01-01T00:00:00"/>
    </cacheField>
    <cacheField name=" 77" numFmtId="0">
      <sharedItems containsDate="1" containsBlank="1" containsMixedTypes="1" minDate="2020-12-31T00:00:00" maxDate="2021-01-01T00:00:00"/>
    </cacheField>
    <cacheField name=" 78" numFmtId="0">
      <sharedItems containsDate="1" containsBlank="1" containsMixedTypes="1" minDate="2019-12-31T00:00:00" maxDate="2020-01-01T00:00:00"/>
    </cacheField>
    <cacheField name=" 79" numFmtId="0">
      <sharedItems containsDate="1" containsBlank="1" containsMixedTypes="1" minDate="2018-12-31T00:00:00" maxDate="2019-01-01T00:00:00"/>
    </cacheField>
    <cacheField name=" 80" numFmtId="0">
      <sharedItems containsDate="1" containsBlank="1" containsMixedTypes="1" minDate="2017-12-31T00:00:00" maxDate="2018-01-01T00:00:00"/>
    </cacheField>
    <cacheField name=" 81" numFmtId="0">
      <sharedItems containsDate="1" containsBlank="1" containsMixedTypes="1" minDate="2016-12-31T00:00:00" maxDate="2017-01-01T00:00:00"/>
    </cacheField>
    <cacheField name=" 82" numFmtId="0">
      <sharedItems containsDate="1" containsBlank="1" containsMixedTypes="1" minDate="2015-12-31T00:00:00" maxDate="2016-01-01T00:00:00"/>
    </cacheField>
    <cacheField name=" 83" numFmtId="0">
      <sharedItems containsBlank="1"/>
    </cacheField>
    <cacheField name=" 84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s v="#"/>
    <s v="Investor Name"/>
    <s v="% Outstanding"/>
    <m/>
    <m/>
    <m/>
    <m/>
    <m/>
    <m/>
    <m/>
    <m/>
    <m/>
    <m/>
    <s v="Position "/>
    <m/>
    <m/>
    <m/>
    <m/>
    <m/>
    <m/>
    <m/>
    <m/>
    <m/>
    <m/>
    <s v="Position Change "/>
    <m/>
    <m/>
    <m/>
    <m/>
    <m/>
    <m/>
    <m/>
    <m/>
    <m/>
    <m/>
    <s v="Value (IDR)"/>
    <m/>
    <m/>
    <m/>
    <m/>
    <m/>
    <m/>
    <m/>
    <m/>
    <m/>
    <m/>
    <s v="Filing Date"/>
    <m/>
    <m/>
    <m/>
    <m/>
    <m/>
    <m/>
    <m/>
    <m/>
    <m/>
    <m/>
    <s v="Filing Source"/>
    <m/>
    <m/>
    <m/>
    <m/>
    <m/>
    <m/>
    <m/>
    <m/>
    <m/>
    <m/>
    <s v="Investor Type"/>
    <s v="Investor Sub-Type"/>
    <s v="Equity Assets (IDR)"/>
    <s v="Investment Style"/>
    <s v="Turnover"/>
    <m/>
    <m/>
    <m/>
    <m/>
    <m/>
    <m/>
    <m/>
    <m/>
    <m/>
    <m/>
    <s v="City"/>
    <s v="Country/Region"/>
  </r>
  <r>
    <m/>
    <m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m/>
    <m/>
    <m/>
    <m/>
    <s v="Most Recent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m/>
    <m/>
  </r>
  <r>
    <n v="1"/>
    <s v="Government of the Republic of Indonesia"/>
    <n v="0.52525299999999997"/>
    <n v="0.52525299999999997"/>
    <n v="0.52525299999999997"/>
    <n v="0.52525299999999997"/>
    <n v="0.52525299999999997"/>
    <n v="0.60606099999999996"/>
    <n v="0.60606099999999996"/>
    <n v="0.60606099999999996"/>
    <n v="0.60606099999999996"/>
    <n v="0.60606099999999996"/>
    <n v="0.60606099999999996"/>
    <n v="48533333334"/>
    <n v="48533333334"/>
    <n v="48533333334"/>
    <n v="48533333334"/>
    <n v="48533333334"/>
    <n v="56000000000"/>
    <n v="56000000000"/>
    <n v="55999999998"/>
    <n v="55999999998"/>
    <n v="55999999996"/>
    <n v="55999999996"/>
    <n v="0"/>
    <n v="0"/>
    <n v="0"/>
    <n v="0"/>
    <n v="-7466666666"/>
    <n v="0"/>
    <n v="2"/>
    <n v="0"/>
    <n v="2"/>
    <n v="0"/>
    <n v="0"/>
    <n v="213482596553495"/>
    <n v="275953973752837"/>
    <n v="293626666443827"/>
    <n v="240846666854830"/>
    <n v="170294076445680"/>
    <n v="177099999804000"/>
    <n v="214282471447520"/>
    <n v="203946238415169"/>
    <n v="224000000024617"/>
    <n v="162050000074712"/>
    <n v="129546988463764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Shareholder Report"/>
    <s v="Shareholder Report"/>
    <s v="Shareholder Report"/>
    <s v="Shareholder Report"/>
    <s v="Shareholder Report"/>
    <s v="Shareholder Report"/>
    <s v="Shareholder Report"/>
    <s v="Shareholder Report"/>
    <s v="Shareholder Report"/>
    <s v="Shareholder Report"/>
    <s v="Shareholder Report"/>
    <s v="Strategic Entities"/>
    <s v="Government Agency"/>
    <n v="874258961820817"/>
    <m/>
    <s v="Low"/>
    <s v="Low"/>
    <s v="Low"/>
    <s v="Low"/>
    <s v="Low"/>
    <s v="Low"/>
    <s v="Low"/>
    <s v="Low"/>
    <s v="Low"/>
    <s v="Low"/>
    <s v="Low"/>
    <s v="Jakarta"/>
    <s v="Indonesia"/>
  </r>
  <r>
    <n v="2"/>
    <s v="Indonesia Investment Authority"/>
    <n v="8.0808000000000005E-2"/>
    <n v="8.0808000000000005E-2"/>
    <n v="8.0808000000000005E-2"/>
    <n v="8.0808000000000005E-2"/>
    <n v="8.0808000000000005E-2"/>
    <m/>
    <m/>
    <m/>
    <m/>
    <m/>
    <m/>
    <n v="7466666666"/>
    <n v="7466666666"/>
    <n v="7466666666"/>
    <n v="7466666666"/>
    <n v="7466666666"/>
    <m/>
    <m/>
    <m/>
    <m/>
    <m/>
    <m/>
    <n v="0"/>
    <n v="0"/>
    <n v="0"/>
    <n v="0"/>
    <n v="7466666666"/>
    <m/>
    <m/>
    <m/>
    <m/>
    <m/>
    <m/>
    <n v="32843476389385.199"/>
    <n v="42454457496042.703"/>
    <n v="45173333294372.703"/>
    <n v="37053333358390.297"/>
    <n v="26199088681320"/>
    <m/>
    <m/>
    <m/>
    <m/>
    <m/>
    <m/>
    <d v="2025-09-30T00:00:00"/>
    <d v="2024-12-31T00:00:00"/>
    <d v="2023-12-31T00:00:00"/>
    <d v="2022-12-31T00:00:00"/>
    <d v="2021-12-31T00:00:00"/>
    <m/>
    <m/>
    <m/>
    <m/>
    <m/>
    <m/>
    <s v="Shareholder Report"/>
    <s v="Shareholder Report"/>
    <s v="Shareholder Report"/>
    <s v="Shareholder Report"/>
    <s v="Shareholder Report"/>
    <m/>
    <m/>
    <m/>
    <m/>
    <m/>
    <m/>
    <s v="Investment Managers"/>
    <s v="Sovereign Wealth Fund"/>
    <n v="62269439366074.797"/>
    <s v="Mixed Style"/>
    <s v="Low"/>
    <s v="Low"/>
    <s v="Low"/>
    <s v="Low"/>
    <m/>
    <m/>
    <m/>
    <m/>
    <m/>
    <m/>
    <m/>
    <s v="Jakarta"/>
    <s v="Indonesia"/>
  </r>
  <r>
    <n v="3"/>
    <s v="Capital World Investors"/>
    <n v="2.2837E-2"/>
    <n v="2.2837E-2"/>
    <n v="9.1459999999999996E-3"/>
    <n v="6.2059999999999997E-3"/>
    <n v="2.3900000000000002E-3"/>
    <n v="3.3899999999999998E-3"/>
    <n v="4.1899999999999999E-4"/>
    <m/>
    <m/>
    <n v="0"/>
    <n v="0"/>
    <n v="2110129302"/>
    <n v="2110129302"/>
    <n v="845083222"/>
    <n v="573458106"/>
    <n v="220808506"/>
    <n v="313280400"/>
    <n v="38745600"/>
    <m/>
    <m/>
    <n v="0"/>
    <n v="0"/>
    <n v="0"/>
    <n v="1265046080"/>
    <n v="271625116"/>
    <n v="352649600"/>
    <n v="-92471894"/>
    <n v="274534800"/>
    <n v="38745600"/>
    <m/>
    <m/>
    <n v="0"/>
    <n v="0"/>
    <n v="11997910014043.4"/>
    <n v="11997910014043.4"/>
    <n v="5112753489139.75"/>
    <n v="2845785853214.1499"/>
    <n v="774774325567.5"/>
    <n v="990749263935.59998"/>
    <n v="148258980847.60001"/>
    <m/>
    <m/>
    <n v="0"/>
    <n v="0"/>
    <d v="2024-12-31T00:00:00"/>
    <d v="2024-12-31T00:00:00"/>
    <d v="2023-12-31T00:00:00"/>
    <d v="2022-12-31T00:00:00"/>
    <d v="2021-12-31T00:00:00"/>
    <d v="2020-12-31T00:00:00"/>
    <d v="2019-12-31T00:00:00"/>
    <m/>
    <m/>
    <d v="2015-09-30T00:00:00"/>
    <d v="2015-09-30T00:00:00"/>
    <s v="Shareholder Report"/>
    <s v="Shareholder Report"/>
    <s v="Aggregate MFs"/>
    <s v="Aggregate MFs"/>
    <s v="Aggregate MFs"/>
    <s v="Aggregate MFs"/>
    <s v="Aggregate MFs"/>
    <m/>
    <m/>
    <s v="Aggregate MFs"/>
    <s v="Aggregate MFs"/>
    <s v="Investment Managers"/>
    <s v="Investment Advisor"/>
    <n v="1.53841403820417E+16"/>
    <s v="Growth"/>
    <s v="Low"/>
    <s v="Low"/>
    <s v="Low"/>
    <s v="Low"/>
    <s v="Low"/>
    <s v="Low"/>
    <s v="Low"/>
    <m/>
    <m/>
    <s v="Low"/>
    <s v="Low"/>
    <s v="Los Angeles"/>
    <s v="United States"/>
  </r>
  <r>
    <n v="4"/>
    <s v="GQG Partners, LLC"/>
    <n v="1.7519E-2"/>
    <n v="1.7519E-2"/>
    <n v="9.4479999999999998E-3"/>
    <n v="6.7609999999999996E-3"/>
    <m/>
    <m/>
    <m/>
    <m/>
    <m/>
    <m/>
    <m/>
    <n v="1618795724"/>
    <n v="1618795724"/>
    <n v="873025974"/>
    <n v="624754674"/>
    <m/>
    <m/>
    <m/>
    <m/>
    <m/>
    <m/>
    <m/>
    <n v="0"/>
    <n v="745769750"/>
    <n v="248271300"/>
    <n v="624754674"/>
    <m/>
    <m/>
    <m/>
    <m/>
    <m/>
    <m/>
    <m/>
    <n v="9204253696338.5996"/>
    <n v="9204253696338.5996"/>
    <n v="5281807138610.7998"/>
    <n v="3100345072090.75"/>
    <m/>
    <m/>
    <m/>
    <m/>
    <m/>
    <m/>
    <m/>
    <d v="2024-12-31T00:00:00"/>
    <d v="2024-12-31T00:00:00"/>
    <d v="2023-12-31T00:00:00"/>
    <d v="2022-12-31T00:00:00"/>
    <m/>
    <m/>
    <m/>
    <m/>
    <m/>
    <m/>
    <m/>
    <s v="Shareholder Report"/>
    <s v="Shareholder Report"/>
    <s v="Shareholder Report"/>
    <s v="Shareholder Report"/>
    <m/>
    <m/>
    <m/>
    <m/>
    <m/>
    <m/>
    <m/>
    <s v="Investment Managers"/>
    <s v="Investment Advisor"/>
    <n v="2439897429225090"/>
    <s v="Core Growth"/>
    <s v="Low"/>
    <s v="Moderate"/>
    <s v="Moderate"/>
    <s v="High"/>
    <m/>
    <m/>
    <m/>
    <m/>
    <m/>
    <m/>
    <m/>
    <s v="Fort Lauderdale"/>
    <s v="United States"/>
  </r>
  <r>
    <n v="5"/>
    <s v="The Vanguard Group, Inc."/>
    <n v="1.6249E-2"/>
    <n v="1.6249E-2"/>
    <n v="1.6123999999999999E-2"/>
    <n v="1.5520000000000001E-2"/>
    <n v="1.5821000000000002E-2"/>
    <n v="1.1091E-2"/>
    <n v="1.2367E-2"/>
    <n v="1.4012999999999999E-2"/>
    <n v="1.3844E-2"/>
    <n v="1.1828999999999999E-2"/>
    <n v="1.1065E-2"/>
    <n v="1501390536"/>
    <n v="1501390536"/>
    <n v="1489812536"/>
    <n v="1434087808"/>
    <n v="1461887334"/>
    <n v="1024812556"/>
    <n v="1142671116"/>
    <n v="1294772956"/>
    <n v="1279217880"/>
    <n v="1093034392"/>
    <n v="1022373592"/>
    <n v="0"/>
    <n v="11578000"/>
    <n v="55724728"/>
    <n v="-27799526"/>
    <n v="437074778"/>
    <n v="-117858560"/>
    <n v="-152101840"/>
    <n v="15555076"/>
    <n v="186183488"/>
    <n v="70660800"/>
    <n v="-10765200"/>
    <n v="8536703665369.5996"/>
    <n v="8536703665369.5996"/>
    <n v="9013365835840.6992"/>
    <n v="7116660752662.4502"/>
    <n v="5129479809165"/>
    <n v="3240969704762.3999"/>
    <n v="4372399835495.6001"/>
    <n v="4715429892568.75"/>
    <n v="5116871520802.2998"/>
    <n v="3162968273595.2998"/>
    <n v="2365096784555.3999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Shareholder Report"/>
    <s v="Shareholder Report"/>
    <s v="Shareholder Report"/>
    <s v="Shareholder Report"/>
    <s v="Shareholder Report"/>
    <s v="Shareholder Report"/>
    <s v="Shareholder Report"/>
    <s v="Aggregate MFs"/>
    <s v="Aggregate MFs"/>
    <s v="Aggregate MFs"/>
    <s v="Aggregate MFs"/>
    <s v="Investment Managers"/>
    <s v="Investment Advisor"/>
    <n v="1.4730963925651901E+17"/>
    <s v="Index"/>
    <s v="Low"/>
    <s v="Low"/>
    <s v="Low"/>
    <s v="Low"/>
    <s v="Low"/>
    <s v="Low"/>
    <s v="Low"/>
    <s v="Low"/>
    <s v="Low"/>
    <s v="Low"/>
    <s v="Low"/>
    <s v="Malvern"/>
    <s v="United States"/>
  </r>
  <r>
    <n v="6"/>
    <s v="Schroder Investment Management Ltd. (SIM)"/>
    <n v="1.0129000000000001E-2"/>
    <n v="1.0129000000000001E-2"/>
    <n v="1.1429999999999999E-2"/>
    <n v="1.2685E-2"/>
    <n v="9.6749999999999996E-3"/>
    <n v="1.513E-3"/>
    <n v="9.0899999999999998E-4"/>
    <n v="1.4450000000000001E-3"/>
    <n v="4.0700000000000003E-4"/>
    <n v="1.717E-3"/>
    <n v="1.1310000000000001E-3"/>
    <n v="935959400"/>
    <n v="935959400"/>
    <n v="1056088400"/>
    <n v="1172139200"/>
    <n v="893984718"/>
    <n v="139801764"/>
    <n v="83993000"/>
    <n v="133551872"/>
    <n v="37625200"/>
    <n v="158628000"/>
    <n v="104498800"/>
    <n v="0"/>
    <n v="-120129000"/>
    <n v="-116050800"/>
    <n v="278154482"/>
    <n v="754182954"/>
    <n v="55808764"/>
    <n v="-49558872"/>
    <n v="95926672"/>
    <n v="-121002800"/>
    <n v="54129200"/>
    <n v="-16299200"/>
    <n v="5321738647572.9004"/>
    <n v="5321738647572.9004"/>
    <n v="6389334815053.9502"/>
    <n v="5816740784516.75"/>
    <n v="3136819407367.5"/>
    <n v="442123078129.20001"/>
    <n v="321396921880.40002"/>
    <n v="486382177312.5"/>
    <n v="150500800033.89999"/>
    <n v="459029775290.40002"/>
    <n v="241741157858.10001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Shareholder Report"/>
    <s v="Shareholder Report"/>
    <s v="Shareholder Report"/>
    <s v="Shareholder Report"/>
    <s v="Aggregate MFs"/>
    <s v="Aggregate MFs"/>
    <s v="Aggregate MFs"/>
    <s v="Aggregate MFs"/>
    <s v="Aggregate MFs"/>
    <s v="Aggregate MFs"/>
    <s v="Aggregate MFs"/>
    <s v="Investment Managers"/>
    <s v="Investment Advisor/Hedge Fund"/>
    <n v="3080126203929300"/>
    <s v="Core Growth"/>
    <s v="Low"/>
    <s v="Low"/>
    <s v="Low"/>
    <s v="Moderate"/>
    <s v="Moderate"/>
    <s v="Moderate"/>
    <s v="Low"/>
    <s v="Low"/>
    <s v="Low"/>
    <s v="Moderate"/>
    <s v="Moderate"/>
    <s v="London"/>
    <s v="United Kingdom"/>
  </r>
  <r>
    <n v="7"/>
    <s v="APG Asset Management N.V."/>
    <n v="9.7400000000000004E-3"/>
    <n v="1.5219999999999999E-3"/>
    <n v="7.0200000000000002E-3"/>
    <n v="6.5030000000000001E-3"/>
    <n v="7.8440000000000003E-3"/>
    <n v="5.64E-3"/>
    <n v="7.3489999999999996E-3"/>
    <n v="5.8300000000000001E-3"/>
    <n v="2.9919999999999999E-3"/>
    <n v="1.6119999999999999E-3"/>
    <n v="1.6119999999999999E-3"/>
    <n v="899980638"/>
    <n v="140618521"/>
    <n v="648677629"/>
    <n v="600899564"/>
    <n v="724783952"/>
    <n v="521176580"/>
    <n v="679024804"/>
    <n v="538703024"/>
    <n v="276476148"/>
    <n v="148972972"/>
    <n v="148972972"/>
    <n v="759362117"/>
    <n v="-508059108"/>
    <n v="47778065"/>
    <n v="-123884388"/>
    <n v="203607372"/>
    <n v="-157848224"/>
    <n v="140321780"/>
    <n v="262226876"/>
    <n v="127503176"/>
    <n v="0"/>
    <n v="-57554908"/>
    <n v="4674252377390.75"/>
    <n v="799537904981.09998"/>
    <n v="3924499652371.3501"/>
    <n v="2981964088644.75"/>
    <n v="2543126656410"/>
    <n v="1289912036319.3999"/>
    <n v="2598269878178.3999"/>
    <n v="1961900988712.5"/>
    <n v="808692732900.87"/>
    <n v="344624997932.25"/>
    <n v="344624997932.25"/>
    <d v="2025-03-31T00:00:00"/>
    <d v="2024-12-31T00:00:00"/>
    <d v="2023-12-31T00:00:00"/>
    <d v="2022-12-31T00:00:00"/>
    <d v="2021-12-31T00:00:00"/>
    <d v="2020-06-30T00:00:00"/>
    <d v="2019-12-31T00:00:00"/>
    <d v="2018-12-31T00:00:00"/>
    <d v="2017-03-31T00:00:00"/>
    <d v="2015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2206633037369480"/>
    <s v="Core Growth"/>
    <s v="Low"/>
    <s v="Low"/>
    <s v="Low"/>
    <s v="Low"/>
    <s v="Low"/>
    <s v="Low"/>
    <s v="Low"/>
    <s v="Low"/>
    <s v="Low"/>
    <s v="Low"/>
    <s v="Low"/>
    <s v="Heerlen"/>
    <s v="Netherlands"/>
  </r>
  <r>
    <n v="8"/>
    <s v="Employees Provident Fund Board"/>
    <n v="9.1109999999999993E-3"/>
    <n v="9.1109999999999993E-3"/>
    <n v="5.1260000000000003E-3"/>
    <n v="6.9670000000000001E-3"/>
    <n v="3.9139999999999999E-3"/>
    <n v="8.463E-3"/>
    <n v="8.5190000000000005E-3"/>
    <m/>
    <m/>
    <m/>
    <m/>
    <n v="841881400"/>
    <n v="841881400"/>
    <n v="473609000"/>
    <n v="643723400"/>
    <n v="361670030"/>
    <n v="781949630"/>
    <n v="787129630"/>
    <m/>
    <m/>
    <m/>
    <m/>
    <n v="0"/>
    <n v="368272400"/>
    <n v="-170114400"/>
    <n v="282053370"/>
    <n v="-420279600"/>
    <n v="-5180000"/>
    <n v="787129630"/>
    <m/>
    <m/>
    <m/>
    <m/>
    <n v="4786823854871.5"/>
    <n v="4786823854871.5"/>
    <n v="2865334447807.2002"/>
    <n v="3194477374878.8999"/>
    <n v="1269030159427.5"/>
    <n v="2472915702160.7998"/>
    <n v="3011930044045.2002"/>
    <m/>
    <m/>
    <m/>
    <m/>
    <d v="2024-12-31T00:00:00"/>
    <d v="2024-12-31T00:00:00"/>
    <d v="2023-12-31T00:00:00"/>
    <d v="2022-12-31T00:00:00"/>
    <d v="2021-12-31T00:00:00"/>
    <d v="2020-12-31T00:00:00"/>
    <d v="2019-12-31T00:00:00"/>
    <m/>
    <m/>
    <m/>
    <m/>
    <s v="Shareholder Report"/>
    <s v="Shareholder Report"/>
    <s v="Shareholder Report"/>
    <s v="Shareholder Report"/>
    <s v="Shareholder Report"/>
    <s v="Shareholder Report"/>
    <s v="Shareholder Report"/>
    <m/>
    <m/>
    <m/>
    <m/>
    <s v="Investment Managers"/>
    <s v="Pension Fund"/>
    <n v="867519996071542"/>
    <s v="GARP"/>
    <s v="Low"/>
    <s v="Low"/>
    <s v="Low"/>
    <s v="Low"/>
    <s v="Low"/>
    <s v="Low"/>
    <s v="Low"/>
    <m/>
    <m/>
    <m/>
    <m/>
    <s v="Kuala Lumpur"/>
    <s v="Malaysia"/>
  </r>
  <r>
    <n v="9"/>
    <s v="Norges Bank Investment Management (NBIM)"/>
    <n v="8.097E-3"/>
    <n v="6.3550000000000004E-3"/>
    <n v="5.6759999999999996E-3"/>
    <n v="5.5170000000000002E-3"/>
    <n v="2.696E-3"/>
    <n v="7.3689999999999997E-3"/>
    <n v="6.1159999999999999E-3"/>
    <n v="6.6620000000000004E-3"/>
    <n v="1.1157E-2"/>
    <n v="8.1679999999999999E-3"/>
    <n v="8.4030000000000007E-3"/>
    <n v="748192814"/>
    <n v="587219199"/>
    <n v="524456575"/>
    <n v="509772328"/>
    <n v="249134448"/>
    <n v="680888658"/>
    <n v="565081190"/>
    <n v="615574856"/>
    <n v="1030881632"/>
    <n v="754762756"/>
    <n v="776396756"/>
    <n v="160973615"/>
    <n v="62762624"/>
    <n v="14684247"/>
    <n v="260637880"/>
    <n v="-431754210"/>
    <n v="115807468"/>
    <n v="-50493666"/>
    <n v="-415306776"/>
    <n v="276118876"/>
    <n v="-21634000"/>
    <n v="-291401500"/>
    <n v="3658168194075"/>
    <n v="3338848999190.7998"/>
    <n v="3172962276369.25"/>
    <n v="2529745179605.6001"/>
    <n v="874164575482.5"/>
    <n v="2153310378523.2"/>
    <n v="2162267749352.8"/>
    <n v="2241860291943.75"/>
    <n v="4123526528579.8501"/>
    <n v="2184094726394.1001"/>
    <n v="1796068957198.8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Sovereign Wealth Fund"/>
    <n v="2.30676479405298E+16"/>
    <s v="Core Value"/>
    <s v="Low"/>
    <s v="Low"/>
    <s v="Low"/>
    <s v="Low"/>
    <s v="Low"/>
    <s v="Low"/>
    <s v="Low"/>
    <s v="Low"/>
    <s v="Low"/>
    <s v="Low"/>
    <s v="Low"/>
    <s v="Oslo"/>
    <s v="Norway"/>
  </r>
  <r>
    <n v="10"/>
    <s v="GIC Private Limited"/>
    <n v="7.9959999999999996E-3"/>
    <n v="7.9959999999999996E-3"/>
    <n v="9.3729999999999994E-3"/>
    <n v="1.1795999999999999E-2"/>
    <n v="3.6640000000000002E-3"/>
    <n v="4.7710000000000001E-3"/>
    <n v="1.1795999999999999E-2"/>
    <m/>
    <m/>
    <m/>
    <m/>
    <n v="738856528"/>
    <n v="738856528"/>
    <n v="866033828"/>
    <n v="1089981828"/>
    <n v="338589428"/>
    <n v="440873352"/>
    <n v="1089916092"/>
    <m/>
    <m/>
    <m/>
    <m/>
    <n v="0"/>
    <n v="-127177300"/>
    <n v="-223948000"/>
    <n v="751392400"/>
    <n v="-102283924"/>
    <n v="-649042740"/>
    <n v="1089916092"/>
    <m/>
    <m/>
    <m/>
    <m/>
    <n v="4201038357111.7998"/>
    <n v="4201038357111.7998"/>
    <n v="5239504655388"/>
    <n v="5409034825598.7998"/>
    <n v="1188044792557.5"/>
    <n v="1394261974216.8"/>
    <n v="4170534176143.6001"/>
    <m/>
    <m/>
    <m/>
    <m/>
    <d v="2024-12-31T00:00:00"/>
    <d v="2024-12-31T00:00:00"/>
    <d v="2023-12-31T00:00:00"/>
    <d v="2022-12-31T00:00:00"/>
    <d v="2021-12-31T00:00:00"/>
    <d v="2020-12-31T00:00:00"/>
    <d v="2019-12-31T00:00:00"/>
    <m/>
    <m/>
    <m/>
    <m/>
    <s v="Shareholder Report"/>
    <s v="Shareholder Report"/>
    <s v="Shareholder Report"/>
    <s v="Shareholder Report"/>
    <s v="Shareholder Report"/>
    <s v="Shareholder Report"/>
    <s v="Shareholder Report"/>
    <m/>
    <m/>
    <m/>
    <m/>
    <s v="Investment Managers"/>
    <s v="Sovereign Wealth Fund"/>
    <n v="1896425150807240"/>
    <s v="Core Value"/>
    <s v="Low"/>
    <s v="Low"/>
    <s v="Low"/>
    <s v="Low"/>
    <s v="Low"/>
    <s v="Low"/>
    <s v="Low"/>
    <m/>
    <m/>
    <m/>
    <m/>
    <s v="Singapore"/>
    <s v="Singapore"/>
  </r>
  <r>
    <n v="11"/>
    <s v="FIL Investment Management (Singapore) Ltd."/>
    <n v="4.7699999999999999E-3"/>
    <n v="2.3649999999999999E-3"/>
    <n v="2.568E-3"/>
    <n v="8.1400000000000005E-4"/>
    <m/>
    <m/>
    <m/>
    <m/>
    <m/>
    <n v="3.4280000000000001E-3"/>
    <n v="3.4280000000000001E-3"/>
    <n v="440737150"/>
    <n v="218540031"/>
    <n v="237253457"/>
    <n v="75208650"/>
    <m/>
    <m/>
    <m/>
    <m/>
    <m/>
    <n v="316772040"/>
    <n v="316772040"/>
    <n v="222197119"/>
    <n v="-18713426"/>
    <n v="162044807"/>
    <n v="75208650"/>
    <m/>
    <m/>
    <m/>
    <m/>
    <m/>
    <n v="0"/>
    <n v="0"/>
    <n v="1938661631370.8"/>
    <n v="1242589079192.5"/>
    <n v="1435383413787.3501"/>
    <n v="373222925916.5"/>
    <m/>
    <m/>
    <m/>
    <m/>
    <m/>
    <n v="851324858121.59998"/>
    <n v="851324858121.59998"/>
    <d v="2025-09-30T00:00:00"/>
    <d v="2024-12-31T00:00:00"/>
    <d v="2023-12-31T00:00:00"/>
    <d v="2022-12-31T00:00:00"/>
    <m/>
    <m/>
    <m/>
    <m/>
    <m/>
    <d v="2015-04-20T00:00:00"/>
    <d v="2015-04-20T00:00:00"/>
    <s v="Aggregate MFs"/>
    <s v="Aggregate MFs"/>
    <s v="Aggregate MFs"/>
    <s v="Aggregate MFs"/>
    <m/>
    <m/>
    <m/>
    <m/>
    <m/>
    <s v="Aggregate MFs"/>
    <s v="Aggregate MFs"/>
    <s v="Investment Managers"/>
    <s v="Investment Advisor"/>
    <n v="373234029114289"/>
    <s v="Aggressive Growth"/>
    <s v="Low"/>
    <s v="Moderate"/>
    <s v="Moderate"/>
    <s v="Moderate"/>
    <m/>
    <m/>
    <m/>
    <m/>
    <m/>
    <s v="Low"/>
    <s v="Moderate"/>
    <s v="Singapore"/>
    <s v="Singapore"/>
  </r>
  <r>
    <n v="12"/>
    <s v="BlackRock Advisors (UK) Limited"/>
    <n v="3.6410000000000001E-3"/>
    <n v="2.6879999999999999E-3"/>
    <n v="2.4780000000000002E-3"/>
    <m/>
    <m/>
    <m/>
    <m/>
    <m/>
    <m/>
    <m/>
    <m/>
    <n v="336406206"/>
    <n v="248413506"/>
    <n v="229011306"/>
    <m/>
    <m/>
    <m/>
    <m/>
    <m/>
    <m/>
    <m/>
    <m/>
    <n v="87992700"/>
    <n v="19402200"/>
    <n v="229011306"/>
    <m/>
    <m/>
    <m/>
    <m/>
    <m/>
    <m/>
    <m/>
    <m/>
    <n v="1479743207863.2"/>
    <n v="1412445620491.8999"/>
    <n v="1385518400223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6302740322591360"/>
    <s v="Index"/>
    <s v="Low"/>
    <s v="Low"/>
    <s v="Low"/>
    <m/>
    <m/>
    <m/>
    <m/>
    <m/>
    <m/>
    <m/>
    <m/>
    <s v="London"/>
    <s v="United Kingdom"/>
  </r>
  <r>
    <n v="13"/>
    <s v="BlackRock Asset Management North Asia Limited"/>
    <n v="3.5669999999999999E-3"/>
    <n v="2.9999999999999997E-4"/>
    <n v="3.8299999999999999E-4"/>
    <n v="5.9599999999999996E-4"/>
    <n v="9.1E-4"/>
    <n v="5.5360000000000001E-3"/>
    <n v="3.908E-3"/>
    <n v="7.5960000000000003E-3"/>
    <n v="8.1000000000000004E-5"/>
    <n v="6.9999999999999994E-5"/>
    <n v="5.0000000000000004E-6"/>
    <n v="329631600"/>
    <n v="27700600"/>
    <n v="35355600"/>
    <n v="55072364"/>
    <n v="84102844"/>
    <n v="511493556"/>
    <n v="361142052"/>
    <n v="701911560"/>
    <n v="7444212"/>
    <n v="6487820"/>
    <n v="462824"/>
    <n v="301931000"/>
    <n v="-7655000"/>
    <n v="-19716764"/>
    <n v="-29030480"/>
    <n v="-427390712"/>
    <n v="150351504"/>
    <n v="-340769508"/>
    <n v="694467348"/>
    <n v="956392"/>
    <n v="6024996"/>
    <n v="-135176"/>
    <n v="1611680588563.5"/>
    <n v="157501867623"/>
    <n v="213901379884.5"/>
    <n v="273296606511.5"/>
    <n v="295100607337.5"/>
    <n v="1617598369062"/>
    <n v="1381900204424.8"/>
    <n v="2556289685112.5"/>
    <n v="29776847971.450001"/>
    <n v="18774129179.700001"/>
    <n v="1070668819.2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36692198581281"/>
    <s v="Index"/>
    <s v="Moderate"/>
    <s v="High"/>
    <s v="Moderate"/>
    <s v="Moderate"/>
    <s v="Moderate"/>
    <s v="Moderate"/>
    <s v="Moderate"/>
    <s v="Moderate"/>
    <s v="Moderate"/>
    <s v="Moderate"/>
    <s v="Moderate"/>
    <s v="Central (Hong Kong)"/>
    <s v="Hong Kong"/>
  </r>
  <r>
    <n v="14"/>
    <s v="BlackRock Institutional Trust Company, N.A."/>
    <n v="3.5279999999999999E-3"/>
    <n v="3.5279999999999999E-3"/>
    <n v="6.5519999999999997E-3"/>
    <n v="3.5400000000000002E-3"/>
    <n v="3.4480000000000001E-3"/>
    <n v="4.5750000000000001E-3"/>
    <n v="3.5569999999999998E-3"/>
    <n v="9.1959999999999993E-3"/>
    <n v="8.6130000000000009E-3"/>
    <n v="7.5380000000000004E-3"/>
    <n v="6.1330000000000004E-3"/>
    <n v="326024000"/>
    <n v="326024000"/>
    <n v="605360162"/>
    <n v="327063000"/>
    <n v="318639600"/>
    <n v="422774200"/>
    <n v="328701400"/>
    <n v="849750976"/>
    <n v="795843568"/>
    <n v="696507968"/>
    <n v="566689968"/>
    <n v="0"/>
    <n v="-279336162"/>
    <n v="278297162"/>
    <n v="8423400"/>
    <n v="-104134600"/>
    <n v="94072800"/>
    <n v="-521049576"/>
    <n v="53907408"/>
    <n v="99335600"/>
    <n v="129818000"/>
    <n v="-85807152"/>
    <n v="1853728399761.8999"/>
    <n v="1853728399761.8999"/>
    <n v="3662428977221.7998"/>
    <n v="1623050138768.8501"/>
    <n v="1118044706085"/>
    <n v="1337023405972.8"/>
    <n v="1257766935039.2"/>
    <n v="3094705627656.25"/>
    <n v="3183374272407.3501"/>
    <n v="2015519933427.3"/>
    <n v="1310946049207.5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Shareholder Report"/>
    <s v="Shareholder Report"/>
    <s v="Shareholder Report"/>
    <s v="Shareholder Report"/>
    <s v="Shareholder Report"/>
    <s v="Shareholder Report"/>
    <s v="Shareholder Report"/>
    <s v="Aggregate MFs"/>
    <s v="Aggregate MFs"/>
    <s v="Aggregate MFs"/>
    <s v="Aggregate MFs"/>
    <s v="Investment Managers"/>
    <s v="Investment Advisor"/>
    <n v="7.6161297397108096E+16"/>
    <s v="Index"/>
    <s v="Low"/>
    <s v="Low"/>
    <s v="Low"/>
    <s v="Low"/>
    <s v="Low"/>
    <s v="Low"/>
    <s v="Low"/>
    <s v="Low"/>
    <s v="Low"/>
    <s v="Low"/>
    <s v="Low"/>
    <s v="San Francisco"/>
    <s v="United States"/>
  </r>
  <r>
    <n v="15"/>
    <s v="Government of People's Republic of China"/>
    <n v="3.4940000000000001E-3"/>
    <n v="3.4940000000000001E-3"/>
    <n v="3.4359999999999998E-3"/>
    <n v="3.3779999999999999E-3"/>
    <n v="3.375E-3"/>
    <n v="3.4659999999999999E-3"/>
    <m/>
    <m/>
    <m/>
    <m/>
    <m/>
    <n v="322860400"/>
    <n v="322860400"/>
    <n v="317453100"/>
    <n v="312173000"/>
    <n v="311812400"/>
    <n v="320299200"/>
    <m/>
    <m/>
    <m/>
    <m/>
    <m/>
    <n v="0"/>
    <n v="5407300"/>
    <n v="5280100"/>
    <n v="360600"/>
    <n v="-8486800"/>
    <n v="320299200"/>
    <m/>
    <m/>
    <m/>
    <m/>
    <m/>
    <n v="1835740597777.5"/>
    <n v="1835740597777.5"/>
    <n v="1920591253540.1001"/>
    <n v="1549158513729.2"/>
    <n v="1094089382205"/>
    <n v="1012946218923.6"/>
    <m/>
    <m/>
    <m/>
    <m/>
    <m/>
    <d v="2024-12-31T00:00:00"/>
    <d v="2024-12-31T00:00:00"/>
    <d v="2023-12-31T00:00:00"/>
    <d v="2022-12-31T00:00:00"/>
    <d v="2021-12-31T00:00:00"/>
    <d v="2020-12-31T00:00:00"/>
    <m/>
    <m/>
    <m/>
    <m/>
    <m/>
    <s v="Shareholder Report"/>
    <s v="Shareholder Report"/>
    <s v="Shareholder Report"/>
    <s v="Shareholder Report"/>
    <s v="Shareholder Report"/>
    <s v="Shareholder Report"/>
    <m/>
    <m/>
    <m/>
    <m/>
    <m/>
    <s v="Strategic Entities"/>
    <s v="Government Agency"/>
    <n v="63716910079671.602"/>
    <m/>
    <s v="Low"/>
    <s v="Low"/>
    <s v="Low"/>
    <s v="Low"/>
    <s v="Low"/>
    <s v="Low"/>
    <m/>
    <m/>
    <m/>
    <m/>
    <m/>
    <s v="Beijing"/>
    <s v="China (Mainland)"/>
  </r>
  <r>
    <n v="16"/>
    <s v="Schroder Investment Management (Hong Kong) Ltd."/>
    <n v="3.4889999999999999E-3"/>
    <n v="5.7060000000000001E-3"/>
    <n v="7.9080000000000001E-3"/>
    <n v="8.2489999999999994E-3"/>
    <n v="4.2129999999999997E-3"/>
    <n v="3.846E-3"/>
    <n v="3.5739999999999999E-3"/>
    <n v="3.124E-3"/>
    <n v="5.3300000000000005E-4"/>
    <n v="3.6200000000000002E-4"/>
    <n v="0"/>
    <n v="322351600"/>
    <n v="527269900"/>
    <n v="730706700"/>
    <n v="762227000"/>
    <n v="389238400"/>
    <n v="355386816"/>
    <n v="330202800"/>
    <n v="288685800"/>
    <n v="49271200"/>
    <n v="33432000"/>
    <n v="0"/>
    <n v="-204918300"/>
    <n v="-203436800"/>
    <n v="-31520300"/>
    <n v="372988600"/>
    <n v="33851584"/>
    <n v="25184016"/>
    <n v="41517000"/>
    <n v="239414600"/>
    <n v="15839200"/>
    <n v="33432000"/>
    <n v="-27140584"/>
    <n v="1417921495277"/>
    <n v="2997985387626.3999"/>
    <n v="4420775531549.7002"/>
    <n v="3782551490342.8999"/>
    <n v="1365762235860"/>
    <n v="1123910804343.6001"/>
    <n v="1263512001120"/>
    <n v="1051363982068.75"/>
    <n v="197084800071.29999"/>
    <n v="96743850105"/>
    <n v="0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363771997080188"/>
    <s v="GARP"/>
    <s v="Moderate"/>
    <s v="Moderate"/>
    <s v="Low"/>
    <s v="Low"/>
    <s v="Moderate"/>
    <s v="Moderate"/>
    <s v="Low"/>
    <s v="Moderate"/>
    <s v="Moderate"/>
    <s v="Low"/>
    <s v="Moderate"/>
    <s v="Admiralty (Hong Kong)"/>
    <s v="Hong Kong"/>
  </r>
  <r>
    <n v="17"/>
    <s v="Harris Associates L.P."/>
    <n v="3.2650000000000001E-3"/>
    <n v="3.2650000000000001E-3"/>
    <n v="9.8700000000000003E-4"/>
    <n v="7.9830000000000005E-3"/>
    <n v="7.9830000000000005E-3"/>
    <n v="6.7869999999999996E-3"/>
    <n v="1.0107E-2"/>
    <n v="3.0020999999999999E-2"/>
    <n v="3.0925000000000001E-2"/>
    <n v="2.5833999999999999E-2"/>
    <n v="4.0753999999999999E-2"/>
    <n v="301640700"/>
    <n v="301640700"/>
    <n v="91188900"/>
    <n v="737672400"/>
    <n v="737672400"/>
    <n v="627112400"/>
    <n v="933879000"/>
    <n v="2773903312"/>
    <n v="2857515320"/>
    <n v="2387066400"/>
    <n v="3765670000"/>
    <n v="0"/>
    <n v="210451800"/>
    <n v="-646483500"/>
    <n v="0"/>
    <n v="110560000"/>
    <n v="-306766600"/>
    <n v="-1840024312"/>
    <n v="-83612008"/>
    <n v="470448920"/>
    <n v="-1378603600"/>
    <n v="1338307200"/>
    <n v="1715088251532.1001"/>
    <n v="1715088251532.1001"/>
    <n v="551692844551.5"/>
    <n v="2588349726810"/>
    <n v="2588349726810"/>
    <n v="1983242962771.2"/>
    <n v="3573462502704"/>
    <n v="10102270468400"/>
    <n v="11430061281704.6"/>
    <n v="6907573398701.0996"/>
    <n v="8711271572950.7998"/>
    <d v="2024-12-31T00:00:00"/>
    <d v="2024-12-31T00:00:00"/>
    <d v="2023-12-31T00:00:00"/>
    <d v="2021-12-31T00:00:00"/>
    <d v="2021-12-31T00:00:00"/>
    <d v="2020-12-31T00:00:00"/>
    <d v="2019-12-31T00:00:00"/>
    <d v="2018-12-31T00:00:00"/>
    <d v="2017-12-31T00:00:00"/>
    <d v="2016-12-31T00:00:00"/>
    <d v="2015-12-31T00:00:00"/>
    <s v="Shareholder Report"/>
    <s v="Shareholder Report"/>
    <s v="Aggregate MFs"/>
    <s v="Shareholder Report"/>
    <s v="Shareholder Report"/>
    <s v="Shareholder Report"/>
    <s v="Shareholder Report"/>
    <s v="Aggregate MFs"/>
    <s v="Aggregate MFs"/>
    <s v="Aggregate MFs"/>
    <s v="Aggregate MFs"/>
    <s v="Investment Managers"/>
    <s v="Investment Advisor/Hedge Fund"/>
    <n v="1483467553409090"/>
    <s v="Core Value"/>
    <s v="Low"/>
    <s v="Low"/>
    <s v="Low"/>
    <s v="Low"/>
    <s v="Low"/>
    <s v="Low"/>
    <s v="Low"/>
    <s v="Low"/>
    <s v="Low"/>
    <s v="Low"/>
    <s v="Low"/>
    <s v="Chicago"/>
    <s v="United States"/>
  </r>
  <r>
    <n v="18"/>
    <s v="Lazard Asset Management, L.L.C."/>
    <n v="3.1960000000000001E-3"/>
    <n v="3.8670000000000002E-3"/>
    <n v="5.1219999999999998E-3"/>
    <n v="5.7369999999999999E-3"/>
    <n v="1.0758E-2"/>
    <n v="3.8040000000000001E-3"/>
    <n v="5.7390000000000002E-3"/>
    <n v="1.2024999999999999E-2"/>
    <n v="1.3844E-2"/>
    <n v="1.426E-2"/>
    <n v="1.5001E-2"/>
    <n v="295343874"/>
    <n v="357279975"/>
    <n v="473272916"/>
    <n v="530143090"/>
    <n v="994024246"/>
    <n v="351463684"/>
    <n v="530259684"/>
    <n v="1111087172"/>
    <n v="1279144324"/>
    <n v="1317584356"/>
    <n v="1386121416"/>
    <n v="-61936101"/>
    <n v="-115992941"/>
    <n v="-56870174"/>
    <n v="-463881156"/>
    <n v="642560562"/>
    <n v="-178796000"/>
    <n v="-580827488"/>
    <n v="-168057152"/>
    <n v="-38440032"/>
    <n v="-68537060"/>
    <n v="-76811600"/>
    <n v="1299123154462"/>
    <n v="2031445649258.3999"/>
    <n v="2863301139634.6001"/>
    <n v="2630835086112.2002"/>
    <n v="3487838755485"/>
    <n v="1111503899376"/>
    <n v="2029024207053.6001"/>
    <n v="4046465165868.75"/>
    <n v="5116577296766.2002"/>
    <n v="3812759732252.7002"/>
    <n v="3206568841112.1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Shareholder Report"/>
    <s v="Shareholder Report"/>
    <s v="Aggregate MFs"/>
    <s v="Aggregate MFs"/>
    <s v="Aggregate MFs"/>
    <s v="Aggregate MFs"/>
    <s v="Investment Managers"/>
    <s v="Investment Advisor/Hedge Fund"/>
    <n v="1994512977608660"/>
    <s v="Core Value"/>
    <s v="Low"/>
    <s v="Moderate"/>
    <s v="Low"/>
    <s v="Low"/>
    <s v="Low"/>
    <s v="Low"/>
    <s v="Low"/>
    <s v="Low"/>
    <s v="Low"/>
    <s v="Low"/>
    <s v="Low"/>
    <s v="New York"/>
    <s v="United States"/>
  </r>
  <r>
    <n v="19"/>
    <s v="Capital Research Global Investors"/>
    <n v="3.1909999999999998E-3"/>
    <n v="3.1909999999999998E-3"/>
    <n v="1.439E-2"/>
    <n v="1.0467000000000001E-2"/>
    <n v="7.0029999999999997E-3"/>
    <n v="9.7310000000000001E-3"/>
    <n v="4.1899999999999999E-4"/>
    <m/>
    <m/>
    <m/>
    <m/>
    <n v="294880000"/>
    <n v="294880000"/>
    <n v="1329681000"/>
    <n v="967122400"/>
    <n v="647120106"/>
    <n v="899122200"/>
    <n v="38745600"/>
    <m/>
    <m/>
    <m/>
    <m/>
    <n v="0"/>
    <n v="-1034801000"/>
    <n v="362558600"/>
    <n v="320002294"/>
    <n v="-252002094"/>
    <n v="860376600"/>
    <n v="38745600"/>
    <m/>
    <m/>
    <m/>
    <m/>
    <n v="1676647825129.3999"/>
    <n v="1676647825129.3999"/>
    <n v="8044570043790.9004"/>
    <n v="4799344913666.0498"/>
    <n v="2270619247230"/>
    <n v="2843473954417.2002"/>
    <n v="148258980847.60001"/>
    <m/>
    <m/>
    <m/>
    <m/>
    <d v="2024-12-31T00:00:00"/>
    <d v="2024-12-31T00:00:00"/>
    <d v="2023-12-31T00:00:00"/>
    <d v="2022-12-31T00:00:00"/>
    <d v="2021-12-31T00:00:00"/>
    <d v="2020-12-31T00:00:00"/>
    <d v="2019-12-31T00:00:00"/>
    <m/>
    <m/>
    <m/>
    <m/>
    <s v="Shareholder Report"/>
    <s v="Shareholder Report"/>
    <s v="Shareholder Report"/>
    <s v="Shareholder Report"/>
    <s v="Aggregate MFs"/>
    <s v="Aggregate MFs"/>
    <s v="Aggregate MFs"/>
    <m/>
    <m/>
    <m/>
    <m/>
    <s v="Investment Managers"/>
    <s v="Investment Advisor"/>
    <n v="2.29311457257694E+16"/>
    <s v="Growth"/>
    <s v="Low"/>
    <s v="Low"/>
    <s v="Low"/>
    <s v="Low"/>
    <s v="Moderate"/>
    <s v="Low"/>
    <s v="Low"/>
    <m/>
    <m/>
    <m/>
    <m/>
    <s v="Los Angeles"/>
    <s v="United States"/>
  </r>
  <r>
    <n v="20"/>
    <s v="Geode Capital Management, L.L.C."/>
    <n v="3.1020000000000002E-3"/>
    <n v="2.039E-3"/>
    <n v="1.804E-3"/>
    <n v="1.596E-3"/>
    <n v="1.4549999999999999E-3"/>
    <n v="1.0809999999999999E-3"/>
    <n v="9.3800000000000003E-4"/>
    <n v="7.1900000000000002E-4"/>
    <n v="5.3700000000000004E-4"/>
    <n v="4.0700000000000003E-4"/>
    <n v="1.56E-4"/>
    <n v="286593818"/>
    <n v="188359216"/>
    <n v="166721294"/>
    <n v="147505596"/>
    <n v="134456400"/>
    <n v="99895196"/>
    <n v="86629596"/>
    <n v="66475596"/>
    <n v="49619196"/>
    <n v="37618796"/>
    <n v="14456800"/>
    <n v="98234602"/>
    <n v="21637922"/>
    <n v="19215698"/>
    <n v="13049196"/>
    <n v="34561204"/>
    <n v="13265600"/>
    <n v="20154000"/>
    <n v="16856400"/>
    <n v="12000400"/>
    <n v="23161996"/>
    <n v="179600"/>
    <n v="1260634459267.3999"/>
    <n v="1070985044183.5"/>
    <n v="1008663827898.3"/>
    <n v="731996520681.25"/>
    <n v="471781492957.5"/>
    <n v="315918556948.79999"/>
    <n v="331485784484.40002"/>
    <n v="242097281250"/>
    <n v="198476784076.54999"/>
    <n v="108859390957.8"/>
    <n v="33443480405.2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.75419178655827E+16"/>
    <s v="Index"/>
    <s v="Low"/>
    <s v="Low"/>
    <s v="Low"/>
    <s v="Low"/>
    <s v="Low"/>
    <s v="Low"/>
    <s v="Low"/>
    <s v="Low"/>
    <s v="Low"/>
    <s v="Low"/>
    <s v="Low"/>
    <s v="Boston"/>
    <s v="United States"/>
  </r>
  <r>
    <n v="21"/>
    <s v="Badan Penyelenggara Jaminan Sosial Ketenagakerjaan"/>
    <n v="3.0590000000000001E-3"/>
    <n v="3.0590000000000001E-3"/>
    <m/>
    <m/>
    <n v="1.4067E-2"/>
    <n v="1.8565999999999999E-2"/>
    <n v="1.6386000000000001E-2"/>
    <m/>
    <m/>
    <m/>
    <m/>
    <n v="282684524"/>
    <n v="282684524"/>
    <m/>
    <m/>
    <n v="1299774624"/>
    <n v="1715517824"/>
    <n v="1514090224"/>
    <m/>
    <m/>
    <m/>
    <m/>
    <n v="0"/>
    <n v="282684524"/>
    <m/>
    <m/>
    <n v="-415743200"/>
    <n v="201427600"/>
    <n v="1514090224"/>
    <m/>
    <m/>
    <m/>
    <m/>
    <n v="1607305996851.8"/>
    <n v="1607305996851.8"/>
    <m/>
    <m/>
    <n v="4560657675405"/>
    <n v="5425325112402"/>
    <n v="5793624914216.4004"/>
    <m/>
    <m/>
    <m/>
    <m/>
    <d v="2024-12-31T00:00:00"/>
    <d v="2024-12-31T00:00:00"/>
    <m/>
    <m/>
    <d v="2021-12-31T00:00:00"/>
    <d v="2020-12-31T00:00:00"/>
    <d v="2019-12-31T00:00:00"/>
    <m/>
    <m/>
    <m/>
    <m/>
    <s v="Shareholder Report"/>
    <s v="Shareholder Report"/>
    <m/>
    <m/>
    <s v="Shareholder Report"/>
    <s v="Shareholder Report"/>
    <s v="Shareholder Report"/>
    <m/>
    <m/>
    <m/>
    <m/>
    <s v="Strategic Entities"/>
    <s v="Government Agency"/>
    <n v="36860876891743.203"/>
    <m/>
    <s v="Low"/>
    <s v="Low"/>
    <m/>
    <m/>
    <s v="Low"/>
    <s v="Low"/>
    <s v="Moderate"/>
    <m/>
    <m/>
    <m/>
    <m/>
    <s v="Jakarta"/>
    <s v="Indonesia"/>
  </r>
  <r>
    <n v="22"/>
    <s v="Government of Norway"/>
    <n v="2.9650000000000002E-3"/>
    <n v="2.9650000000000002E-3"/>
    <m/>
    <m/>
    <m/>
    <m/>
    <m/>
    <m/>
    <m/>
    <m/>
    <m/>
    <n v="273979935"/>
    <n v="273979935"/>
    <m/>
    <m/>
    <m/>
    <m/>
    <m/>
    <m/>
    <m/>
    <m/>
    <m/>
    <n v="0"/>
    <n v="273979935"/>
    <m/>
    <m/>
    <m/>
    <m/>
    <m/>
    <m/>
    <m/>
    <m/>
    <m/>
    <n v="1557812880264.7"/>
    <n v="1557812880264.7"/>
    <m/>
    <m/>
    <m/>
    <m/>
    <m/>
    <m/>
    <m/>
    <m/>
    <m/>
    <d v="2024-12-31T00:00:00"/>
    <d v="2024-12-31T00:00:00"/>
    <m/>
    <m/>
    <m/>
    <m/>
    <m/>
    <m/>
    <m/>
    <m/>
    <m/>
    <s v="Shareholder Report"/>
    <s v="Shareholder Report"/>
    <m/>
    <m/>
    <m/>
    <m/>
    <m/>
    <m/>
    <m/>
    <m/>
    <m/>
    <s v="Strategic Entities"/>
    <s v="Government Agency"/>
    <n v="1431628616703120"/>
    <m/>
    <s v="Low"/>
    <s v="Low"/>
    <m/>
    <m/>
    <m/>
    <m/>
    <m/>
    <m/>
    <m/>
    <m/>
    <m/>
    <s v="Oslo"/>
    <s v="Norway"/>
  </r>
  <r>
    <n v="23"/>
    <s v="California Public Employees' Retirement System"/>
    <n v="2.5739999999999999E-3"/>
    <n v="2.5739999999999999E-3"/>
    <n v="2.8180000000000002E-3"/>
    <n v="7.5199999999999996E-4"/>
    <n v="8.7200000000000005E-4"/>
    <n v="9.4600000000000001E-4"/>
    <n v="3.8E-3"/>
    <n v="2.6919999999999999E-3"/>
    <n v="0"/>
    <n v="2.7859999999999998E-3"/>
    <m/>
    <n v="237799292"/>
    <n v="237799292"/>
    <n v="260421590"/>
    <n v="69502044"/>
    <n v="80614444"/>
    <n v="87368644"/>
    <n v="351117152"/>
    <n v="248758012"/>
    <n v="0"/>
    <n v="257380436"/>
    <m/>
    <n v="0"/>
    <n v="-22622298"/>
    <n v="190919546"/>
    <n v="-11112400"/>
    <n v="-6754200"/>
    <n v="-263748508"/>
    <n v="102359140"/>
    <n v="248758012"/>
    <n v="-257380436"/>
    <n v="257380436"/>
    <m/>
    <n v="1462465646787.3999"/>
    <n v="1462465646787.3999"/>
    <n v="1354192268189.8"/>
    <n v="275401849037.40002"/>
    <n v="237812609589.75"/>
    <n v="216237393989.79999"/>
    <n v="1408857572548.75"/>
    <n v="851996190544.5"/>
    <n v="0"/>
    <n v="612887163314.5"/>
    <m/>
    <d v="2024-06-30T00:00:00"/>
    <d v="2024-06-30T00:00:00"/>
    <d v="2023-06-30T00:00:00"/>
    <d v="2022-06-30T00:00:00"/>
    <d v="2021-06-30T00:00:00"/>
    <d v="2020-06-30T00:00:00"/>
    <d v="2019-06-30T00:00:00"/>
    <d v="2018-06-30T00:00:00"/>
    <d v="2017-06-30T00:00:00"/>
    <d v="2016-06-30T00:00:00"/>
    <m/>
    <s v="Shareholder Report"/>
    <s v="Shareholder Report"/>
    <s v="Shareholder Report"/>
    <s v="Shareholder Report"/>
    <s v="Shareholder Report"/>
    <s v="Shareholder Report"/>
    <s v="Shareholder Report"/>
    <s v="Shareholder Report"/>
    <s v="Shareholder Report"/>
    <s v="Shareholder Report"/>
    <m/>
    <s v="Investment Managers"/>
    <s v="Pension Fund"/>
    <n v="3889939034264650"/>
    <s v="Index"/>
    <s v="Low"/>
    <s v="Low"/>
    <s v="Low"/>
    <s v="Low"/>
    <s v="Low"/>
    <s v="Low"/>
    <s v="Low"/>
    <s v="Low"/>
    <s v="Low"/>
    <s v="Low"/>
    <m/>
    <s v="Sacramento"/>
    <s v="United States"/>
  </r>
  <r>
    <n v="24"/>
    <s v="Dimensional Fund Advisors, L.P."/>
    <n v="2.415E-3"/>
    <n v="2.4420000000000002E-3"/>
    <n v="2.5660000000000001E-3"/>
    <n v="2.8410000000000002E-3"/>
    <n v="2.349E-3"/>
    <n v="3.65E-3"/>
    <n v="5.241E-3"/>
    <n v="4.1260000000000003E-3"/>
    <n v="6.2049999999999996E-3"/>
    <n v="6.8979999999999996E-3"/>
    <n v="5.5900000000000004E-3"/>
    <n v="223133264"/>
    <n v="225613864"/>
    <n v="237083088"/>
    <n v="262499252"/>
    <n v="217037968"/>
    <n v="337291968"/>
    <n v="484266568"/>
    <n v="381215368"/>
    <n v="573309700"/>
    <n v="637332364"/>
    <n v="516558632"/>
    <n v="-2480600"/>
    <n v="-11469224"/>
    <n v="-25416164"/>
    <n v="45461284"/>
    <n v="-120254000"/>
    <n v="-146974600"/>
    <n v="103051200"/>
    <n v="-192094332"/>
    <n v="-64022664"/>
    <n v="120773732"/>
    <n v="5630000"/>
    <n v="981491797512.80005"/>
    <n v="1282809937626.5"/>
    <n v="1434352681281.45"/>
    <n v="1302652538999.8999"/>
    <n v="761544237255"/>
    <n v="1066685847598.8"/>
    <n v="1853032804100.3999"/>
    <n v="1388347148787.5"/>
    <n v="2293238800267.5"/>
    <n v="1844280529306.5"/>
    <n v="1194975270505.35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.07704281935956E+16"/>
    <s v="Deep Value"/>
    <s v="Low"/>
    <s v="Low"/>
    <s v="Low"/>
    <s v="Low"/>
    <s v="Low"/>
    <s v="Low"/>
    <s v="Low"/>
    <s v="Low"/>
    <s v="Low"/>
    <s v="Low"/>
    <s v="Low"/>
    <s v="Austin"/>
    <s v="United States"/>
  </r>
  <r>
    <n v="25"/>
    <s v="Newton Investment Management Ltd."/>
    <n v="2.317E-3"/>
    <n v="3.2799999999999999E-3"/>
    <n v="4.5970000000000004E-3"/>
    <n v="3.1229999999999999E-3"/>
    <m/>
    <m/>
    <m/>
    <m/>
    <m/>
    <m/>
    <m/>
    <n v="214051700"/>
    <n v="303031300"/>
    <n v="424754000"/>
    <n v="288606800"/>
    <m/>
    <m/>
    <m/>
    <m/>
    <m/>
    <m/>
    <m/>
    <n v="-88979600"/>
    <n v="-121722700"/>
    <n v="136147200"/>
    <n v="288606800"/>
    <m/>
    <m/>
    <m/>
    <m/>
    <m/>
    <m/>
    <m/>
    <n v="941544904830.59998"/>
    <n v="1722995015262.5"/>
    <n v="2569761698011.3501"/>
    <n v="1432211246092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427287883584552"/>
    <s v="Core Growth"/>
    <s v="Low"/>
    <s v="Moderate"/>
    <s v="Low"/>
    <s v="Moderate"/>
    <m/>
    <m/>
    <m/>
    <m/>
    <m/>
    <m/>
    <m/>
    <s v="London"/>
    <s v="United Kingdom"/>
  </r>
  <r>
    <n v="26"/>
    <s v="Union Investment Privatfonds GmbH"/>
    <n v="2.2269999999999998E-3"/>
    <n v="1.554E-3"/>
    <m/>
    <m/>
    <n v="0"/>
    <n v="0"/>
    <n v="1.95E-4"/>
    <n v="0"/>
    <n v="1.0399999999999999E-4"/>
    <n v="3.1199999999999999E-4"/>
    <n v="2.0799999999999999E-4"/>
    <n v="205775671"/>
    <n v="143591129"/>
    <m/>
    <m/>
    <n v="0"/>
    <n v="0"/>
    <n v="18000000"/>
    <n v="0"/>
    <n v="9600000"/>
    <n v="28800000"/>
    <n v="19200000"/>
    <n v="62184542"/>
    <n v="143591129"/>
    <m/>
    <m/>
    <n v="0"/>
    <n v="-18000000"/>
    <n v="18000000"/>
    <n v="-9600000"/>
    <n v="-19200000"/>
    <n v="9600000"/>
    <n v="0"/>
    <n v="1006106982910.8"/>
    <n v="816439752318.69995"/>
    <m/>
    <m/>
    <n v="0"/>
    <n v="0"/>
    <n v="68876508721.199997"/>
    <n v="0"/>
    <n v="38400000049"/>
    <n v="83340000062.699997"/>
    <n v="44416110333.599998"/>
    <d v="2025-06-30T00:00:00"/>
    <d v="2024-12-31T00:00:00"/>
    <m/>
    <m/>
    <d v="2020-09-30T00:00:00"/>
    <d v="2020-09-30T00:00:00"/>
    <d v="2019-12-31T00:00:00"/>
    <d v="2018-12-31T00:00:00"/>
    <d v="2017-12-31T00:00:00"/>
    <d v="2016-12-31T00:00:00"/>
    <d v="2015-12-31T00:00:00"/>
    <s v="Aggregate MFs"/>
    <s v="Aggregate MFs"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2215732617046810"/>
    <s v="Core Growth"/>
    <m/>
    <s v="Moderate"/>
    <m/>
    <m/>
    <s v="Moderate"/>
    <s v="Moderate"/>
    <s v="Moderate"/>
    <s v="Moderate"/>
    <s v="Low"/>
    <s v="Low"/>
    <s v="Low"/>
    <s v="Frankfurt"/>
    <s v="Germany"/>
  </r>
  <r>
    <n v="27"/>
    <s v="Vontobel Asset Management AG"/>
    <n v="1.983E-3"/>
    <n v="2.2650000000000001E-3"/>
    <n v="3.5829999999999998E-3"/>
    <n v="5.5030000000000001E-3"/>
    <n v="1.1096999999999999E-2"/>
    <m/>
    <m/>
    <m/>
    <m/>
    <m/>
    <m/>
    <n v="183204250"/>
    <n v="209320845"/>
    <n v="331043548"/>
    <n v="508449148"/>
    <n v="1025372600"/>
    <m/>
    <m/>
    <m/>
    <m/>
    <m/>
    <m/>
    <n v="-26116595"/>
    <n v="-121722703"/>
    <n v="-177405600"/>
    <n v="-516923452"/>
    <n v="1025372600"/>
    <m/>
    <m/>
    <m/>
    <m/>
    <m/>
    <m/>
    <n v="874245859167.44995"/>
    <n v="1190170033595.1001"/>
    <n v="2002813463787.1001"/>
    <n v="2523178898820.7998"/>
    <n v="3597834064447.5"/>
    <m/>
    <m/>
    <m/>
    <m/>
    <m/>
    <m/>
    <d v="2025-08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/Hedge Fund"/>
    <n v="430475467468736"/>
    <s v="GARP"/>
    <s v="Low"/>
    <s v="Moderate"/>
    <s v="Low"/>
    <s v="Low"/>
    <s v="Moderate"/>
    <m/>
    <m/>
    <m/>
    <m/>
    <m/>
    <m/>
    <s v="Zurich"/>
    <s v="Switzerland"/>
  </r>
  <r>
    <n v="28"/>
    <s v="North of South Capital LLP"/>
    <n v="1.6720000000000001E-3"/>
    <n v="8.7200000000000005E-4"/>
    <m/>
    <m/>
    <m/>
    <m/>
    <m/>
    <m/>
    <m/>
    <m/>
    <m/>
    <n v="154448139"/>
    <n v="80554400"/>
    <m/>
    <m/>
    <m/>
    <m/>
    <m/>
    <m/>
    <m/>
    <m/>
    <m/>
    <n v="73893739"/>
    <n v="80554400"/>
    <m/>
    <m/>
    <m/>
    <m/>
    <m/>
    <m/>
    <m/>
    <m/>
    <m/>
    <n v="679367920589.40002"/>
    <n v="458021431047.29999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51514580341462.797"/>
    <s v="Hedge Fund"/>
    <s v="Moderate"/>
    <s v="High"/>
    <m/>
    <m/>
    <m/>
    <m/>
    <m/>
    <m/>
    <m/>
    <m/>
    <m/>
    <s v="London"/>
    <s v="United Kingdom"/>
  </r>
  <r>
    <n v="29"/>
    <s v="GLG Partners LP"/>
    <n v="1.596E-3"/>
    <n v="1.06E-4"/>
    <n v="2.1900000000000001E-4"/>
    <n v="8.8999999999999995E-5"/>
    <m/>
    <m/>
    <m/>
    <m/>
    <m/>
    <m/>
    <m/>
    <n v="147439505"/>
    <n v="9773918"/>
    <n v="20273936"/>
    <n v="8205090"/>
    <m/>
    <m/>
    <m/>
    <m/>
    <m/>
    <m/>
    <m/>
    <n v="137665587"/>
    <n v="-10500018"/>
    <n v="12068846"/>
    <n v="8205090"/>
    <m/>
    <m/>
    <m/>
    <m/>
    <m/>
    <m/>
    <m/>
    <n v="648539183352.19995"/>
    <n v="55573176664.199997"/>
    <n v="122657312761.14999"/>
    <n v="40717759207.400002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/Hedge Fund"/>
    <n v="217094977328808"/>
    <s v="Hedge Fund"/>
    <s v="Moderate"/>
    <s v="Moderate"/>
    <s v="Moderate"/>
    <s v="Moderate"/>
    <m/>
    <m/>
    <m/>
    <m/>
    <m/>
    <m/>
    <m/>
    <s v="London"/>
    <s v="United Kingdom"/>
  </r>
  <r>
    <n v="30"/>
    <s v="Fiera Capital (UK) Limited"/>
    <n v="1.5590000000000001E-3"/>
    <n v="7.5600000000000005E-4"/>
    <n v="8.34E-4"/>
    <n v="5.8799999999999998E-4"/>
    <n v="0"/>
    <n v="2.43E-4"/>
    <m/>
    <m/>
    <m/>
    <m/>
    <m/>
    <n v="144032600"/>
    <n v="69899908"/>
    <n v="77085476"/>
    <n v="54369404"/>
    <n v="0"/>
    <n v="22432400"/>
    <m/>
    <m/>
    <m/>
    <m/>
    <m/>
    <n v="74132692"/>
    <n v="-7185568"/>
    <n v="22716072"/>
    <n v="54369404"/>
    <n v="-22432400"/>
    <n v="22432400"/>
    <m/>
    <m/>
    <m/>
    <m/>
    <m/>
    <n v="633553298771.40002"/>
    <n v="397441429486"/>
    <n v="466367129467.20001"/>
    <n v="269808167504.70001"/>
    <n v="0"/>
    <n v="70942464964.800003"/>
    <m/>
    <m/>
    <m/>
    <m/>
    <m/>
    <d v="2025-09-30T00:00:00"/>
    <d v="2024-12-31T00:00:00"/>
    <d v="2023-12-31T00:00:00"/>
    <d v="2022-12-31T00:00:00"/>
    <d v="2021-08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103711385783231"/>
    <s v="Core Value"/>
    <s v="Low"/>
    <s v="Moderate"/>
    <s v="Moderate"/>
    <s v="Moderate"/>
    <s v="Moderate"/>
    <s v="Moderate"/>
    <m/>
    <m/>
    <m/>
    <m/>
    <m/>
    <s v="London"/>
    <s v="United Kingdom"/>
  </r>
  <r>
    <n v="31"/>
    <s v="Columbia Threadneedle Management Limited"/>
    <n v="1.547E-3"/>
    <n v="9.1600000000000004E-4"/>
    <n v="9.7599999999999998E-4"/>
    <n v="1.2489999999999999E-3"/>
    <n v="1.6850000000000001E-3"/>
    <n v="1.1249999999999999E-3"/>
    <m/>
    <m/>
    <m/>
    <m/>
    <m/>
    <n v="142959335"/>
    <n v="84671600"/>
    <n v="90158900"/>
    <n v="115369000"/>
    <n v="155732000"/>
    <n v="103916200"/>
    <m/>
    <m/>
    <m/>
    <m/>
    <m/>
    <n v="58287735"/>
    <n v="-5487300"/>
    <n v="-25210100"/>
    <n v="-40363000"/>
    <n v="51815800"/>
    <n v="103916200"/>
    <m/>
    <m/>
    <m/>
    <m/>
    <m/>
    <n v="647304339132.5"/>
    <n v="481431273733.5"/>
    <n v="545461344510.90002"/>
    <n v="572518662879.34998"/>
    <n v="546433457017.5"/>
    <n v="328634982140.40002"/>
    <m/>
    <m/>
    <m/>
    <m/>
    <m/>
    <d v="2025-07-31T00:00:00"/>
    <d v="2024-12-31T00:00:00"/>
    <d v="2023-12-31T00:00:00"/>
    <d v="2022-12-31T00:00:00"/>
    <d v="2021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391508156430216"/>
    <s v="Growth"/>
    <s v="Low"/>
    <s v="Low"/>
    <s v="Low"/>
    <s v="Low"/>
    <s v="Moderate"/>
    <s v="Low"/>
    <m/>
    <m/>
    <m/>
    <m/>
    <m/>
    <s v="London"/>
    <s v="United Kingdom"/>
  </r>
  <r>
    <n v="32"/>
    <s v="PT Indo Premier Investment Management"/>
    <n v="1.534E-3"/>
    <m/>
    <m/>
    <m/>
    <m/>
    <m/>
    <m/>
    <n v="1.2E-4"/>
    <n v="1.2E-4"/>
    <n v="6.3E-5"/>
    <m/>
    <n v="141781645"/>
    <m/>
    <m/>
    <m/>
    <m/>
    <m/>
    <m/>
    <n v="11118212"/>
    <n v="11118212"/>
    <n v="5794260"/>
    <m/>
    <n v="141781645"/>
    <m/>
    <m/>
    <m/>
    <m/>
    <m/>
    <m/>
    <n v="0"/>
    <n v="5323952"/>
    <n v="5794260"/>
    <m/>
    <n v="752135504165.19995"/>
    <m/>
    <m/>
    <m/>
    <m/>
    <m/>
    <m/>
    <n v="41137384344"/>
    <n v="41137384344"/>
    <n v="16767139859.1"/>
    <m/>
    <d v="2025-05-31T00:00:00"/>
    <m/>
    <m/>
    <m/>
    <m/>
    <m/>
    <m/>
    <d v="2017-11-30T00:00:00"/>
    <d v="2017-11-30T00:00:00"/>
    <d v="2016-12-31T00:00:00"/>
    <m/>
    <s v="Aggregate MFs"/>
    <m/>
    <m/>
    <m/>
    <m/>
    <m/>
    <m/>
    <s v="Aggregate MFs"/>
    <s v="Aggregate MFs"/>
    <s v="Aggregate MFs"/>
    <m/>
    <s v="Investment Managers"/>
    <s v="Investment Advisor"/>
    <n v="5236473023421.5996"/>
    <m/>
    <m/>
    <m/>
    <m/>
    <m/>
    <m/>
    <m/>
    <m/>
    <s v="Low"/>
    <s v="Low"/>
    <s v="Low"/>
    <m/>
    <s v="Jakarta"/>
    <s v="Indonesia"/>
  </r>
  <r>
    <n v="33"/>
    <s v="abrdn Investments Limited"/>
    <n v="1.304E-3"/>
    <n v="6.8400000000000004E-4"/>
    <n v="4.7899999999999999E-4"/>
    <n v="6.0999999999999997E-4"/>
    <n v="6.7999999999999999E-5"/>
    <n v="7.1000000000000005E-5"/>
    <n v="6.0999999999999999E-5"/>
    <n v="5.0000000000000002E-5"/>
    <n v="2.0999999999999999E-5"/>
    <n v="1.7E-5"/>
    <n v="0"/>
    <n v="120507600"/>
    <n v="63183600"/>
    <n v="44220100"/>
    <n v="56391860"/>
    <n v="6292200"/>
    <n v="6578600"/>
    <n v="5672200"/>
    <n v="4625200"/>
    <n v="1903600"/>
    <n v="1597600"/>
    <n v="0"/>
    <n v="57324000"/>
    <n v="18963500"/>
    <n v="-12171760"/>
    <n v="50099660"/>
    <n v="-286400"/>
    <n v="906400"/>
    <n v="1047000"/>
    <n v="2721600"/>
    <n v="306000"/>
    <n v="1597600"/>
    <n v="0"/>
    <n v="530074354745.59998"/>
    <n v="359253409970.40002"/>
    <n v="267531604790.60001"/>
    <n v="279844605425.54999"/>
    <n v="22078112385"/>
    <n v="20804822438.400002"/>
    <n v="21704518406.799999"/>
    <n v="16844502525"/>
    <n v="7614399941.1000004"/>
    <n v="4483265037.6499996"/>
    <n v="0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08-31T00:00:00"/>
    <d v="2015-04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710895145075021"/>
    <s v="Core Growth"/>
    <s v="Low"/>
    <s v="Low"/>
    <s v="Moderate"/>
    <s v="Moderate"/>
    <s v="Low"/>
    <s v="Low"/>
    <s v="Low"/>
    <s v="Low"/>
    <s v="High"/>
    <s v="Low"/>
    <s v="Low"/>
    <s v="London"/>
    <s v="United Kingdom"/>
  </r>
  <r>
    <n v="34"/>
    <s v="Fidelity International"/>
    <n v="1.299E-3"/>
    <n v="1.6949999999999999E-3"/>
    <n v="2.813E-3"/>
    <n v="2.7599999999999999E-3"/>
    <n v="1.6590000000000001E-3"/>
    <n v="2.2100000000000002E-3"/>
    <n v="1.9369999999999999E-3"/>
    <n v="2.4819999999999998E-3"/>
    <n v="2.4589999999999998E-3"/>
    <n v="1.505E-3"/>
    <n v="2.2569999999999999E-3"/>
    <n v="120039247"/>
    <n v="156579551"/>
    <n v="259948618"/>
    <n v="255058030"/>
    <n v="153316830"/>
    <n v="204166660"/>
    <n v="178942812"/>
    <n v="229337994"/>
    <n v="227202110"/>
    <n v="139065340"/>
    <n v="208561528"/>
    <n v="-36540304"/>
    <n v="-103369067"/>
    <n v="4890588"/>
    <n v="101741200"/>
    <n v="-50849830"/>
    <n v="25223848"/>
    <n v="-50395182"/>
    <n v="2135884"/>
    <n v="88136770"/>
    <n v="-69496188"/>
    <n v="-2635612"/>
    <n v="528014219796"/>
    <n v="890290164323.30005"/>
    <n v="1572689137710.2"/>
    <n v="1265725474911.7"/>
    <n v="537959092740"/>
    <n v="645677061588"/>
    <n v="684719785779.59998"/>
    <n v="835225378700"/>
    <n v="908808440172.25"/>
    <n v="402420327773.09998"/>
    <n v="482473533276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871224501194500"/>
    <s v="Core Growth"/>
    <s v="Low"/>
    <s v="Low"/>
    <s v="Low"/>
    <s v="Low"/>
    <s v="Moderate"/>
    <s v="Moderate"/>
    <s v="Low"/>
    <s v="Moderate"/>
    <s v="Moderate"/>
    <s v="Moderate"/>
    <s v="High"/>
    <s v="Tadworth"/>
    <s v="United Kingdom"/>
  </r>
  <r>
    <n v="35"/>
    <s v="Charles Schwab Investment Management, Inc."/>
    <n v="1.2849999999999999E-3"/>
    <n v="1.065E-3"/>
    <n v="1.0300000000000001E-3"/>
    <n v="1.0820000000000001E-3"/>
    <n v="1.1479999999999999E-3"/>
    <n v="9.1699999999999995E-4"/>
    <n v="8.6200000000000003E-4"/>
    <n v="6.3000000000000003E-4"/>
    <n v="5.53E-4"/>
    <n v="3.5399999999999999E-4"/>
    <n v="2.6400000000000002E-4"/>
    <n v="118752046"/>
    <n v="98399355"/>
    <n v="95195482"/>
    <n v="99997558"/>
    <n v="106032364"/>
    <n v="84688874"/>
    <n v="79602812"/>
    <n v="58173770"/>
    <n v="51135846"/>
    <n v="32738944"/>
    <n v="24432256"/>
    <n v="20352691"/>
    <n v="3203873"/>
    <n v="-4802076"/>
    <n v="-6034806"/>
    <n v="21343490"/>
    <n v="5086062"/>
    <n v="21429042"/>
    <n v="7037924"/>
    <n v="18396902"/>
    <n v="8306688"/>
    <n v="1488352"/>
    <n v="522352234663"/>
    <n v="559485433313"/>
    <n v="575932665701.65002"/>
    <n v="496237881938.70001"/>
    <n v="372047050110"/>
    <n v="267828563761.20001"/>
    <n v="304597987306"/>
    <n v="211862885112.5"/>
    <n v="204543384012.10001"/>
    <n v="94738319316"/>
    <n v="56520092581.050003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.32970821927404E+16"/>
    <s v="Index"/>
    <s v="Low"/>
    <s v="Low"/>
    <s v="Low"/>
    <s v="Low"/>
    <s v="Low"/>
    <s v="Low"/>
    <s v="Low"/>
    <s v="Low"/>
    <s v="Low"/>
    <s v="Low"/>
    <s v="Low"/>
    <s v="San Francisco"/>
    <s v="United States"/>
  </r>
  <r>
    <n v="36"/>
    <s v="State Street Investment Management (US)"/>
    <n v="1.261E-3"/>
    <n v="1.1609999999999999E-3"/>
    <n v="1.0059999999999999E-3"/>
    <n v="1.1039999999999999E-3"/>
    <n v="1.108E-3"/>
    <n v="6.3299999999999999E-4"/>
    <n v="5.3499999999999999E-4"/>
    <n v="5.2400000000000005E-4"/>
    <n v="3.8000000000000002E-4"/>
    <n v="2.52E-4"/>
    <n v="2.1599999999999999E-4"/>
    <n v="116477079"/>
    <n v="107285022"/>
    <n v="92987464"/>
    <n v="101991286"/>
    <n v="102397636"/>
    <n v="58531306"/>
    <n v="49435694"/>
    <n v="48435986"/>
    <n v="35100364"/>
    <n v="23308364"/>
    <n v="19914764"/>
    <n v="9192057"/>
    <n v="14297558"/>
    <n v="-9003822"/>
    <n v="-406350"/>
    <n v="43866330"/>
    <n v="9095612"/>
    <n v="999708"/>
    <n v="13335622"/>
    <n v="11792000"/>
    <n v="3393600"/>
    <n v="-648800"/>
    <n v="512345383172"/>
    <n v="610008134840.90002"/>
    <n v="562574156790.5"/>
    <n v="506131757222.84998"/>
    <n v="359293492912.5"/>
    <n v="185105254978.79999"/>
    <n v="189164333684"/>
    <n v="176398877631.25"/>
    <n v="140401455958"/>
    <n v="67448578309.199997"/>
    <n v="46069601784.599998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4.6953019694596496E+16"/>
    <s v="Index"/>
    <s v="Low"/>
    <s v="Low"/>
    <s v="Low"/>
    <s v="Low"/>
    <s v="Low"/>
    <s v="Low"/>
    <s v="Low"/>
    <s v="Low"/>
    <s v="Low"/>
    <s v="Low"/>
    <s v="Low"/>
    <s v="Boston"/>
    <s v="United States"/>
  </r>
  <r>
    <n v="37"/>
    <s v="State Street Investment Management (UK)"/>
    <n v="1.2520000000000001E-3"/>
    <n v="1.016E-3"/>
    <n v="8.2100000000000001E-4"/>
    <n v="1.08E-3"/>
    <n v="1.3129999999999999E-3"/>
    <n v="1.178E-3"/>
    <n v="5.1500000000000005E-4"/>
    <n v="2.7799999999999998E-4"/>
    <n v="1.9900000000000001E-4"/>
    <n v="1.3999999999999999E-4"/>
    <n v="3.5799999999999997E-4"/>
    <n v="115699414"/>
    <n v="93874657"/>
    <n v="75856987"/>
    <n v="99772274"/>
    <n v="121337492"/>
    <n v="108854598"/>
    <n v="47584808"/>
    <n v="25704200"/>
    <n v="18432400"/>
    <n v="12942600"/>
    <n v="33070000"/>
    <n v="21824757"/>
    <n v="18017670"/>
    <n v="-23915287"/>
    <n v="-21565218"/>
    <n v="12482894"/>
    <n v="61269790"/>
    <n v="21880608"/>
    <n v="7271800"/>
    <n v="5489800"/>
    <n v="-20127400"/>
    <n v="-693052"/>
    <n v="508924683832.59998"/>
    <n v="533758611962.40002"/>
    <n v="458934770932.34998"/>
    <n v="495119910093.04999"/>
    <n v="425749783080"/>
    <n v="344252665785.59998"/>
    <n v="182081969022.39999"/>
    <n v="93612051743.75"/>
    <n v="73729600058.699997"/>
    <n v="37452648703.5"/>
    <n v="76502123340.449997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325533040086640"/>
    <s v="Index"/>
    <s v="Low"/>
    <s v="Low"/>
    <s v="Low"/>
    <s v="Low"/>
    <s v="Low"/>
    <s v="Moderate"/>
    <s v="Moderate"/>
    <s v="Low"/>
    <s v="Low"/>
    <s v="Low"/>
    <s v="Moderate"/>
    <s v="London"/>
    <s v="United Kingdom"/>
  </r>
  <r>
    <n v="38"/>
    <s v="Schroder Investment Management (Singapore) Ltd."/>
    <n v="1.24E-3"/>
    <n v="6.2059999999999997E-3"/>
    <n v="6.2700000000000004E-3"/>
    <n v="5.1209999999999997E-3"/>
    <n v="4.7200000000000002E-3"/>
    <m/>
    <m/>
    <m/>
    <n v="0"/>
    <n v="0"/>
    <n v="1.181E-3"/>
    <n v="114531300"/>
    <n v="573412300"/>
    <n v="579327500"/>
    <n v="473139400"/>
    <n v="436168800"/>
    <m/>
    <m/>
    <m/>
    <n v="0"/>
    <n v="0"/>
    <n v="109156016"/>
    <n v="-458881000"/>
    <n v="-5915200"/>
    <n v="106188100"/>
    <n v="36970600"/>
    <n v="436168800"/>
    <m/>
    <m/>
    <m/>
    <n v="0"/>
    <n v="-109156016"/>
    <n v="-11034000"/>
    <n v="503786524252.20001"/>
    <n v="3260344837548.3999"/>
    <n v="3504931372357.6499"/>
    <n v="2347954274349.75"/>
    <n v="1530431929290"/>
    <m/>
    <m/>
    <m/>
    <n v="0"/>
    <n v="0"/>
    <n v="252514877680.35001"/>
    <d v="2025-09-30T00:00:00"/>
    <d v="2024-12-31T00:00:00"/>
    <d v="2023-12-31T00:00:00"/>
    <d v="2022-12-31T00:00:00"/>
    <d v="2021-12-31T00:00:00"/>
    <m/>
    <m/>
    <m/>
    <d v="2016-06-30T00:00:00"/>
    <d v="2016-06-30T00:00:00"/>
    <d v="2015-12-31T00:00:00"/>
    <s v="Aggregate MFs"/>
    <s v="Aggregate MFs"/>
    <s v="Aggregate MFs"/>
    <s v="Aggregate MFs"/>
    <s v="Aggregate MFs"/>
    <m/>
    <m/>
    <m/>
    <s v="Aggregate MFs"/>
    <s v="Aggregate MFs"/>
    <s v="Aggregate MFs"/>
    <s v="Investment Managers"/>
    <s v="Investment Advisor/Hedge Fund"/>
    <n v="213180466035558"/>
    <s v="GARP"/>
    <s v="Low"/>
    <s v="Low"/>
    <s v="Low"/>
    <s v="Low"/>
    <s v="Low"/>
    <m/>
    <m/>
    <m/>
    <s v="Low"/>
    <s v="Low"/>
    <s v="Low"/>
    <s v="Singapore"/>
    <s v="Singapore"/>
  </r>
  <r>
    <n v="39"/>
    <s v="Manulife Investment Management (North America) Limited"/>
    <n v="1.2149999999999999E-3"/>
    <n v="4.7399999999999997E-4"/>
    <n v="8.4099999999999995E-4"/>
    <n v="8.9599999999999999E-4"/>
    <n v="4.3000000000000002E-5"/>
    <n v="4.5000000000000003E-5"/>
    <m/>
    <m/>
    <m/>
    <m/>
    <m/>
    <n v="112234000"/>
    <n v="43781200"/>
    <n v="77695189"/>
    <n v="82797912"/>
    <n v="3959000"/>
    <n v="4167000"/>
    <m/>
    <m/>
    <m/>
    <m/>
    <m/>
    <n v="68452800"/>
    <n v="-33913989"/>
    <n v="-5102723"/>
    <n v="78838912"/>
    <n v="-208000"/>
    <n v="4167000"/>
    <m/>
    <m/>
    <m/>
    <m/>
    <m/>
    <n v="493681436904.59998"/>
    <n v="248933985941.10001"/>
    <n v="470055893087.70001"/>
    <n v="410884638548.45001"/>
    <n v="13891364977.5"/>
    <n v="13178137471.200001"/>
    <m/>
    <m/>
    <m/>
    <m/>
    <m/>
    <d v="2025-09-30T00:00:00"/>
    <d v="2024-12-31T00:00:00"/>
    <d v="2023-12-31T00:00:00"/>
    <d v="2022-12-31T00:00:00"/>
    <d v="2021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3051766731609000"/>
    <s v="Core Value"/>
    <s v="Low"/>
    <s v="Low"/>
    <s v="Low"/>
    <s v="Low"/>
    <s v="Low"/>
    <s v="Moderate"/>
    <m/>
    <m/>
    <m/>
    <m/>
    <m/>
    <s v="Toronto"/>
    <s v="Canada"/>
  </r>
  <r>
    <n v="40"/>
    <s v="Coronation Fund Managers Limited"/>
    <n v="1.2030000000000001E-3"/>
    <n v="1.273E-3"/>
    <n v="8.5599999999999999E-4"/>
    <m/>
    <m/>
    <m/>
    <m/>
    <m/>
    <m/>
    <m/>
    <m/>
    <n v="111113055"/>
    <n v="117660655"/>
    <n v="79100855"/>
    <m/>
    <m/>
    <m/>
    <m/>
    <m/>
    <m/>
    <m/>
    <m/>
    <n v="-6547600"/>
    <n v="38559800"/>
    <n v="79100855"/>
    <m/>
    <m/>
    <m/>
    <m/>
    <m/>
    <m/>
    <m/>
    <m/>
    <n v="488750758798.40002"/>
    <n v="669002581784.80005"/>
    <n v="478560172373.29999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259952073432408"/>
    <s v="GARP"/>
    <s v="Low"/>
    <s v="Moderate"/>
    <s v="Moderate"/>
    <m/>
    <m/>
    <m/>
    <m/>
    <m/>
    <m/>
    <m/>
    <m/>
    <s v="Cape Town"/>
    <s v="South Africa"/>
  </r>
  <r>
    <n v="41"/>
    <s v="abrdn Investment Management Limited"/>
    <n v="1.201E-3"/>
    <n v="8.3900000000000001E-4"/>
    <n v="7.36E-4"/>
    <n v="6.0599999999999998E-4"/>
    <n v="0"/>
    <n v="1.9999999999999999E-6"/>
    <n v="0"/>
    <n v="1.7570000000000001E-3"/>
    <n v="1.7669999999999999E-3"/>
    <n v="1.016E-3"/>
    <m/>
    <n v="110976073"/>
    <n v="77554309"/>
    <n v="67996852"/>
    <n v="55999988"/>
    <n v="0"/>
    <n v="197000"/>
    <n v="0"/>
    <n v="162392098"/>
    <n v="163230948"/>
    <n v="93921472"/>
    <m/>
    <n v="33421764"/>
    <n v="9557457"/>
    <n v="11996864"/>
    <n v="55999988"/>
    <n v="-197000"/>
    <n v="197000"/>
    <n v="-162392098"/>
    <n v="-838850"/>
    <n v="69309476"/>
    <n v="93921472"/>
    <m/>
    <n v="488148218744.20001"/>
    <n v="440963319077.79999"/>
    <n v="411380954219.70001"/>
    <n v="277899940630.40002"/>
    <n v="0"/>
    <n v="623012504.39999998"/>
    <n v="0"/>
    <n v="591415313181.25"/>
    <n v="652923792038.69995"/>
    <n v="271785259787.39999"/>
    <m/>
    <d v="2025-09-30T00:00:00"/>
    <d v="2024-12-31T00:00:00"/>
    <d v="2023-12-31T00:00:00"/>
    <d v="2022-12-31T00:00:00"/>
    <d v="2021-06-30T00:00:00"/>
    <d v="2020-12-31T00:00:00"/>
    <d v="2019-03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1245600027300230"/>
    <s v="Core Growth"/>
    <s v="Low"/>
    <s v="Low"/>
    <s v="Moderate"/>
    <s v="Moderate"/>
    <s v="Moderate"/>
    <s v="Low"/>
    <s v="Low"/>
    <s v="Low"/>
    <s v="Moderate"/>
    <s v="Moderate"/>
    <m/>
    <s v="Edinburgh"/>
    <s v="United Kingdom"/>
  </r>
  <r>
    <n v="42"/>
    <s v="HSBC Global Asset Management (UK) Limited"/>
    <n v="1.1980000000000001E-3"/>
    <n v="6.6100000000000002E-4"/>
    <n v="4.73E-4"/>
    <n v="5.6099999999999998E-4"/>
    <n v="3.97E-4"/>
    <n v="3.6099999999999999E-4"/>
    <n v="2.7300000000000002E-4"/>
    <n v="3.6400000000000001E-4"/>
    <n v="4.28E-4"/>
    <n v="5.0299999999999997E-4"/>
    <n v="5.7600000000000001E-4"/>
    <n v="110706047"/>
    <n v="61121524"/>
    <n v="43728327"/>
    <n v="51831514"/>
    <n v="36698484"/>
    <n v="33340162"/>
    <n v="25267564"/>
    <n v="33602256"/>
    <n v="39553480"/>
    <n v="46474444"/>
    <n v="53223956"/>
    <n v="49584523"/>
    <n v="17393197"/>
    <n v="-8103187"/>
    <n v="15133030"/>
    <n v="3358322"/>
    <n v="8072598"/>
    <n v="-8334692"/>
    <n v="-5951224"/>
    <n v="-6920964"/>
    <n v="-6749512"/>
    <n v="-316696"/>
    <n v="528286342645.95001"/>
    <n v="347528724475.79999"/>
    <n v="264556378175"/>
    <n v="257213888462.29999"/>
    <n v="128767879912.5"/>
    <n v="105438262269.60001"/>
    <n v="96685643921.199997"/>
    <n v="122375959125"/>
    <n v="158213920076.39999"/>
    <n v="134485422361.2"/>
    <n v="123125057368.5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3705996787923680"/>
    <s v="Core Growth"/>
    <s v="Low"/>
    <s v="Low"/>
    <s v="Low"/>
    <s v="Moderate"/>
    <s v="Low"/>
    <s v="Low"/>
    <s v="Low"/>
    <s v="Moderate"/>
    <s v="Moderate"/>
    <s v="Low"/>
    <s v="Moderate"/>
    <s v="London"/>
    <s v="United Kingdom"/>
  </r>
  <r>
    <n v="43"/>
    <s v="M&amp;G Investment Management Ltd."/>
    <n v="1.1019999999999999E-3"/>
    <n v="4.73E-4"/>
    <n v="4.2900000000000002E-4"/>
    <n v="4.1300000000000001E-4"/>
    <n v="7.9199999999999995E-4"/>
    <n v="1.204E-3"/>
    <n v="1.709E-3"/>
    <n v="9.5299999999999996E-4"/>
    <n v="1.6659999999999999E-3"/>
    <n v="1.0070000000000001E-3"/>
    <m/>
    <n v="101829600"/>
    <n v="43737100"/>
    <n v="39622300"/>
    <n v="38170000"/>
    <n v="73209148"/>
    <n v="111231254"/>
    <n v="157954280"/>
    <n v="88019038"/>
    <n v="153966736"/>
    <n v="93088564"/>
    <m/>
    <n v="58092500"/>
    <n v="4114800"/>
    <n v="1452300"/>
    <n v="-35039148"/>
    <n v="-38022106"/>
    <n v="-46723026"/>
    <n v="69935242"/>
    <n v="-65947698"/>
    <n v="60878172"/>
    <n v="93088564"/>
    <m/>
    <n v="461073367009.5"/>
    <n v="248683239220.20001"/>
    <n v="239714914882.64999"/>
    <n v="189418625183.70001"/>
    <n v="256876735800"/>
    <n v="351768840368.40002"/>
    <n v="604407740905.19995"/>
    <n v="320556280512.5"/>
    <n v="615866944029.69995"/>
    <n v="260647979175.66"/>
    <m/>
    <d v="2025-07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09-30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1357926394732100"/>
    <s v="Deep Value"/>
    <s v="Low"/>
    <s v="Low"/>
    <s v="Moderate"/>
    <s v="Low"/>
    <s v="Low"/>
    <s v="Low"/>
    <s v="Low"/>
    <s v="Low"/>
    <s v="Low"/>
    <s v="Low"/>
    <m/>
    <s v="London"/>
    <s v="United Kingdom"/>
  </r>
  <r>
    <n v="44"/>
    <s v="Baillie Gifford &amp; Co."/>
    <n v="1.0889999999999999E-3"/>
    <n v="1.647E-3"/>
    <n v="1.536E-3"/>
    <n v="1.572E-3"/>
    <n v="0"/>
    <n v="0"/>
    <n v="1.353E-3"/>
    <n v="9.3800000000000003E-4"/>
    <n v="7.0100000000000002E-4"/>
    <n v="4.2849999999999997E-3"/>
    <n v="9.4399999999999996E-4"/>
    <n v="100589000"/>
    <n v="152191500"/>
    <n v="141937300"/>
    <n v="145254800"/>
    <n v="0"/>
    <n v="0"/>
    <n v="124989800"/>
    <n v="86685800"/>
    <n v="64768000"/>
    <n v="395963200"/>
    <n v="87243200"/>
    <n v="-51602500"/>
    <n v="10254200"/>
    <n v="-3317500"/>
    <n v="145254800"/>
    <n v="0"/>
    <n v="-124989800"/>
    <n v="38304000"/>
    <n v="21917800"/>
    <n v="-331195200"/>
    <n v="308720000"/>
    <n v="0"/>
    <n v="442458809821"/>
    <n v="865340299306.19995"/>
    <n v="858720664380.84998"/>
    <n v="720826945623.94995"/>
    <n v="0"/>
    <n v="0"/>
    <n v="478270058082.40002"/>
    <n v="315700764887.5"/>
    <n v="259072000041.20001"/>
    <n v="1145818510578"/>
    <n v="201823104052.5"/>
    <d v="2025-09-30T00:00:00"/>
    <d v="2024-12-31T00:00:00"/>
    <d v="2023-12-31T00:00:00"/>
    <d v="2022-12-31T00:00:00"/>
    <d v="2020-08-31T00:00:00"/>
    <d v="2020-08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423734544932720"/>
    <s v="Core Growth"/>
    <s v="Low"/>
    <s v="Low"/>
    <s v="Low"/>
    <s v="Low"/>
    <s v="Low"/>
    <s v="Low"/>
    <s v="Low"/>
    <s v="Low"/>
    <s v="Low"/>
    <s v="Low"/>
    <s v="Low"/>
    <s v="Edinburgh"/>
    <s v="United Kingdom"/>
  </r>
  <r>
    <n v="45"/>
    <s v="Pictet Asset Management Ltd."/>
    <n v="9.77E-4"/>
    <n v="1.3420000000000001E-3"/>
    <n v="1.2179999999999999E-3"/>
    <n v="1.1820000000000001E-3"/>
    <n v="2.52E-4"/>
    <n v="2.5000000000000001E-4"/>
    <n v="3.9800000000000002E-4"/>
    <n v="3.1E-4"/>
    <n v="3.5500000000000001E-4"/>
    <n v="4.17E-4"/>
    <n v="3.9500000000000001E-4"/>
    <n v="90289784"/>
    <n v="123970484"/>
    <n v="112519484"/>
    <n v="109244784"/>
    <n v="23300584"/>
    <n v="23072784"/>
    <n v="36755184"/>
    <n v="28682984"/>
    <n v="32763384"/>
    <n v="38554784"/>
    <n v="36507184"/>
    <n v="-33680700"/>
    <n v="11451000"/>
    <n v="3274700"/>
    <n v="85944200"/>
    <n v="227800"/>
    <n v="-13682400"/>
    <n v="8072200"/>
    <n v="-4080400"/>
    <n v="-5791400"/>
    <n v="2047600"/>
    <n v="0"/>
    <n v="430860472854"/>
    <n v="704879416645"/>
    <n v="680742877642"/>
    <n v="542127240963"/>
    <n v="81757241062.5"/>
    <n v="72967679366.399994"/>
    <n v="140642708383.60001"/>
    <n v="104460476693.75"/>
    <n v="131053535968.55"/>
    <n v="101206307981"/>
    <n v="77577766060.199997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1-30T00:00:00"/>
    <d v="2015-11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544273447894100"/>
    <s v="Core Growth"/>
    <s v="Low"/>
    <s v="Low"/>
    <s v="Low"/>
    <s v="Low"/>
    <s v="Low"/>
    <s v="Low"/>
    <s v="Low"/>
    <s v="Low"/>
    <s v="Low"/>
    <s v="Low"/>
    <s v="Low"/>
    <s v="London"/>
    <s v="United Kingdom"/>
  </r>
  <r>
    <n v="46"/>
    <s v="California State Teachers Retirement System"/>
    <n v="9.4600000000000001E-4"/>
    <n v="9.4600000000000001E-4"/>
    <n v="5.0600000000000005E-4"/>
    <n v="1.5100000000000001E-3"/>
    <n v="2.6440000000000001E-3"/>
    <n v="2.1329999999999999E-3"/>
    <m/>
    <m/>
    <m/>
    <m/>
    <m/>
    <n v="87430916"/>
    <n v="87430916"/>
    <n v="46712716"/>
    <n v="139489516"/>
    <n v="244316020"/>
    <n v="197107316"/>
    <m/>
    <m/>
    <m/>
    <m/>
    <m/>
    <n v="0"/>
    <n v="40718200"/>
    <n v="-92776800"/>
    <n v="-104826504"/>
    <n v="47208704"/>
    <n v="197107316"/>
    <m/>
    <m/>
    <m/>
    <m/>
    <m/>
    <n v="537700133756.70001"/>
    <n v="537700133756.70001"/>
    <n v="242906123254.20001"/>
    <n v="552727206648.44995"/>
    <n v="720732258506"/>
    <n v="487840607338.40002"/>
    <m/>
    <m/>
    <m/>
    <m/>
    <m/>
    <d v="2024-06-30T00:00:00"/>
    <d v="2024-06-30T00:00:00"/>
    <d v="2023-06-30T00:00:00"/>
    <d v="2022-06-30T00:00:00"/>
    <d v="2021-06-30T00:00:00"/>
    <d v="2020-06-30T00:00:00"/>
    <m/>
    <m/>
    <m/>
    <m/>
    <m/>
    <s v="Shareholder Report"/>
    <s v="Shareholder Report"/>
    <s v="Shareholder Report"/>
    <s v="Shareholder Report"/>
    <s v="Shareholder Report"/>
    <s v="Shareholder Report"/>
    <m/>
    <m/>
    <m/>
    <m/>
    <m/>
    <s v="Investment Managers"/>
    <s v="Pension Fund"/>
    <n v="2288610933625740"/>
    <s v="Index"/>
    <s v="Low"/>
    <s v="Low"/>
    <s v="Low"/>
    <s v="Low"/>
    <s v="Low"/>
    <s v="Low"/>
    <m/>
    <m/>
    <m/>
    <m/>
    <m/>
    <s v="West Sacramento"/>
    <s v="United States"/>
  </r>
  <r>
    <n v="47"/>
    <s v="Florida State Board of Administration"/>
    <n v="9.1100000000000003E-4"/>
    <n v="8.0800000000000002E-4"/>
    <n v="6.7000000000000002E-4"/>
    <n v="3.48E-4"/>
    <n v="1.16E-4"/>
    <n v="1.4200000000000001E-4"/>
    <n v="1.05E-4"/>
    <n v="5.4100000000000003E-4"/>
    <n v="1.01E-3"/>
    <m/>
    <m/>
    <n v="84145492"/>
    <n v="74622257"/>
    <n v="61936293"/>
    <n v="32189400"/>
    <n v="10751400"/>
    <n v="13086884"/>
    <n v="9676752"/>
    <n v="49960752"/>
    <n v="93313080"/>
    <m/>
    <m/>
    <n v="9523235"/>
    <n v="12685964"/>
    <n v="29746893"/>
    <n v="21438000"/>
    <n v="-2335484"/>
    <n v="3410132"/>
    <n v="-40284000"/>
    <n v="-43352328"/>
    <n v="93313080"/>
    <m/>
    <m/>
    <n v="411415823211"/>
    <n v="424292067666.90002"/>
    <n v="374714572337.54999"/>
    <n v="151692547434.75"/>
    <n v="33060555039.599998"/>
    <n v="30623308454"/>
    <n v="36045901164"/>
    <n v="191724385932.79999"/>
    <n v="272940758982.92999"/>
    <m/>
    <m/>
    <d v="2025-06-30T00:00:00"/>
    <d v="2024-12-31T00:00:00"/>
    <d v="2023-12-31T00:00:00"/>
    <d v="2022-09-30T00:00:00"/>
    <d v="2021-03-31T00:00:00"/>
    <d v="2020-03-31T00:00:00"/>
    <d v="2019-03-31T00:00:00"/>
    <d v="2018-03-31T00:00:00"/>
    <d v="2017-03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Pension Fund"/>
    <n v="1505736958164200"/>
    <s v="Index"/>
    <s v="Low"/>
    <s v="Low"/>
    <s v="Low"/>
    <s v="Low"/>
    <s v="Low"/>
    <s v="Low"/>
    <s v="Low"/>
    <s v="Low"/>
    <s v="Low"/>
    <m/>
    <m/>
    <s v="Tallahassee"/>
    <s v="United States"/>
  </r>
  <r>
    <n v="48"/>
    <s v="Public Mutual Berhad"/>
    <n v="9.0899999999999998E-4"/>
    <n v="8.5800000000000004E-4"/>
    <n v="1.5820000000000001E-3"/>
    <n v="1.175E-3"/>
    <n v="1.629E-3"/>
    <n v="1.3270000000000001E-3"/>
    <n v="1.183E-3"/>
    <m/>
    <m/>
    <m/>
    <m/>
    <n v="83980664"/>
    <n v="79248969"/>
    <n v="146201290"/>
    <n v="108546622"/>
    <n v="150560000"/>
    <n v="122658000"/>
    <n v="109348000"/>
    <m/>
    <m/>
    <m/>
    <m/>
    <n v="4731695"/>
    <n v="-66952321"/>
    <n v="37654668"/>
    <n v="-42013378"/>
    <n v="27902000"/>
    <n v="13310000"/>
    <n v="109348000"/>
    <m/>
    <m/>
    <m/>
    <m/>
    <n v="445507872775.40002"/>
    <n v="450598926759.70001"/>
    <n v="884517803857.94995"/>
    <n v="538662612048"/>
    <n v="526960000407.20001"/>
    <n v="387905924624.40002"/>
    <n v="418417137233.20001"/>
    <m/>
    <m/>
    <m/>
    <m/>
    <d v="2025-05-31T00:00:00"/>
    <d v="2024-12-31T00:00:00"/>
    <d v="2023-12-31T00:00:00"/>
    <d v="2022-12-31T00:00:00"/>
    <d v="2021-11-30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200197945180546"/>
    <s v="Core Growth"/>
    <s v="Low"/>
    <s v="Low"/>
    <s v="Low"/>
    <s v="Low"/>
    <s v="Low"/>
    <s v="Low"/>
    <s v="Low"/>
    <m/>
    <m/>
    <m/>
    <m/>
    <s v="Kuala Lumpur"/>
    <s v="Malaysia"/>
  </r>
  <r>
    <n v="49"/>
    <s v="T. Rowe Price International Ltd. (Australia)"/>
    <n v="9.0499999999999999E-4"/>
    <n v="9.0499999999999999E-4"/>
    <m/>
    <m/>
    <m/>
    <m/>
    <m/>
    <m/>
    <m/>
    <m/>
    <m/>
    <n v="83641900"/>
    <n v="83641900"/>
    <m/>
    <m/>
    <m/>
    <m/>
    <m/>
    <m/>
    <m/>
    <m/>
    <m/>
    <n v="0"/>
    <n v="83641900"/>
    <m/>
    <m/>
    <m/>
    <m/>
    <m/>
    <m/>
    <m/>
    <m/>
    <m/>
    <n v="514397685288.90002"/>
    <n v="514397685288.90002"/>
    <m/>
    <m/>
    <m/>
    <m/>
    <m/>
    <m/>
    <m/>
    <m/>
    <m/>
    <d v="2024-06-30T00:00:00"/>
    <d v="2024-06-30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81427916407750.797"/>
    <s v="GARP"/>
    <s v="Low"/>
    <s v="High"/>
    <m/>
    <m/>
    <m/>
    <m/>
    <m/>
    <m/>
    <m/>
    <m/>
    <m/>
    <s v="Sydney"/>
    <s v="Australia"/>
  </r>
  <r>
    <n v="50"/>
    <s v="Aviva Investors Global Services Limited"/>
    <n v="8.9700000000000001E-4"/>
    <n v="7.7800000000000005E-4"/>
    <n v="7.1500000000000003E-4"/>
    <n v="5.8799999999999998E-4"/>
    <n v="3.6200000000000002E-4"/>
    <n v="1.26E-4"/>
    <n v="1.3799999999999999E-4"/>
    <n v="8.3999999999999995E-5"/>
    <n v="5.3000000000000001E-5"/>
    <n v="3.6999999999999998E-5"/>
    <n v="2.5999999999999998E-5"/>
    <n v="82899483"/>
    <n v="71897463"/>
    <n v="66093969"/>
    <n v="54298196"/>
    <n v="33482728"/>
    <n v="11608196"/>
    <n v="12743396"/>
    <n v="7729796"/>
    <n v="4880396"/>
    <n v="3439996"/>
    <n v="2448396"/>
    <n v="11002020"/>
    <n v="5803494"/>
    <n v="11795773"/>
    <n v="20815468"/>
    <n v="21874532"/>
    <n v="-1135200"/>
    <n v="5013600"/>
    <n v="2849400"/>
    <n v="1440400"/>
    <n v="991600"/>
    <n v="0"/>
    <n v="364648287484.59998"/>
    <n v="408799257188.20001"/>
    <n v="399868512101.54999"/>
    <n v="269454797800.10001"/>
    <n v="117484414275"/>
    <n v="36710919835.199997"/>
    <n v="48762256892"/>
    <n v="28151121687.5"/>
    <n v="19521583987.349998"/>
    <n v="9954488407.2000008"/>
    <n v="5663970185.5500002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276411380813120"/>
    <s v="Core Growth"/>
    <s v="Low"/>
    <s v="Low"/>
    <s v="Moderate"/>
    <s v="Low"/>
    <s v="Moderate"/>
    <s v="Low"/>
    <s v="Moderate"/>
    <s v="Low"/>
    <s v="Low"/>
    <s v="Low"/>
    <s v="Low"/>
    <s v="London"/>
    <s v="United Kingdom"/>
  </r>
  <r>
    <n v="51"/>
    <s v="BlackRock Investment Management (UK) Ltd."/>
    <n v="8.8900000000000003E-4"/>
    <n v="8.7000000000000001E-4"/>
    <n v="7.9500000000000003E-4"/>
    <n v="9.1399999999999999E-4"/>
    <n v="6.2799999999999998E-4"/>
    <n v="2.1949999999999999E-3"/>
    <n v="1.523E-3"/>
    <n v="1.485E-3"/>
    <n v="1.291E-3"/>
    <n v="2.7190000000000001E-3"/>
    <n v="2.1350000000000002E-3"/>
    <n v="82174320"/>
    <n v="80370702"/>
    <n v="73445420"/>
    <n v="84487320"/>
    <n v="57985520"/>
    <n v="202773320"/>
    <n v="140753520"/>
    <n v="137200664"/>
    <n v="119267120"/>
    <n v="251254232"/>
    <n v="197275520"/>
    <n v="1803618"/>
    <n v="6925282"/>
    <n v="-11041900"/>
    <n v="26501800"/>
    <n v="-144787800"/>
    <n v="62019800"/>
    <n v="3552856"/>
    <n v="17933544"/>
    <n v="-131987112"/>
    <n v="53978712"/>
    <n v="22436400"/>
    <n v="372076394410"/>
    <n v="456976949019.09998"/>
    <n v="444344790723.40002"/>
    <n v="419268325777.95001"/>
    <n v="203459970690"/>
    <n v="641270623734"/>
    <n v="538589502387.59998"/>
    <n v="499670702306.25"/>
    <n v="477068480128.40002"/>
    <n v="727066934301"/>
    <n v="456365169921.75"/>
    <d v="2025-07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.14903367565669E+16"/>
    <s v="Core Growth"/>
    <s v="Low"/>
    <s v="Low"/>
    <s v="Low"/>
    <s v="Low"/>
    <s v="Low"/>
    <s v="Low"/>
    <s v="Low"/>
    <s v="Low"/>
    <s v="Low"/>
    <s v="Low"/>
    <s v="Low"/>
    <s v="London"/>
    <s v="United Kingdom"/>
  </r>
  <r>
    <n v="52"/>
    <s v="Redwheel"/>
    <n v="8.83E-4"/>
    <n v="4.1199999999999999E-4"/>
    <n v="1.9900000000000001E-4"/>
    <n v="3.8000000000000002E-5"/>
    <m/>
    <m/>
    <m/>
    <m/>
    <m/>
    <m/>
    <m/>
    <n v="81567600"/>
    <n v="38074400"/>
    <n v="18415000"/>
    <n v="3520200"/>
    <m/>
    <m/>
    <m/>
    <m/>
    <m/>
    <m/>
    <m/>
    <n v="43493200"/>
    <n v="19659400"/>
    <n v="14894800"/>
    <n v="3520200"/>
    <m/>
    <m/>
    <m/>
    <m/>
    <m/>
    <m/>
    <m/>
    <n v="358789760499.79999"/>
    <n v="216485892430.29999"/>
    <n v="111410749990.5"/>
    <n v="17468992516.25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76981109404489"/>
    <m/>
    <s v="Low"/>
    <s v="Low"/>
    <s v="Low"/>
    <s v="Low"/>
    <m/>
    <m/>
    <m/>
    <m/>
    <m/>
    <m/>
    <m/>
    <s v="London"/>
    <s v="United Kingdom"/>
  </r>
  <r>
    <n v="53"/>
    <s v="FIL Investment Management (Hong Kong) Limited"/>
    <n v="8.4699999999999999E-4"/>
    <n v="3.3790000000000001E-3"/>
    <n v="4.0810000000000004E-3"/>
    <n v="1.573E-3"/>
    <n v="4.6E-5"/>
    <m/>
    <n v="0"/>
    <n v="0"/>
    <n v="4.1E-5"/>
    <n v="0"/>
    <n v="0"/>
    <n v="78305230"/>
    <n v="312226975"/>
    <n v="377042083"/>
    <n v="145378172"/>
    <n v="4233596"/>
    <m/>
    <n v="0"/>
    <n v="0"/>
    <n v="3778194"/>
    <n v="0"/>
    <n v="0"/>
    <n v="-233921745"/>
    <n v="-64815108"/>
    <n v="231663911"/>
    <n v="141144576"/>
    <n v="4233596"/>
    <m/>
    <n v="0"/>
    <n v="-3778194"/>
    <n v="3778194"/>
    <n v="0"/>
    <n v="0"/>
    <n v="344439639178.59998"/>
    <n v="1775280380473.8"/>
    <n v="2281104600362.6499"/>
    <n v="721439179178.30005"/>
    <n v="14854869180"/>
    <m/>
    <n v="0"/>
    <n v="0"/>
    <n v="15112775995.5"/>
    <n v="0"/>
    <n v="0"/>
    <d v="2025-09-30T00:00:00"/>
    <d v="2024-12-31T00:00:00"/>
    <d v="2023-12-31T00:00:00"/>
    <d v="2022-12-31T00:00:00"/>
    <d v="2021-12-31T00:00:00"/>
    <m/>
    <d v="2018-12-31T00:00:00"/>
    <d v="2018-12-31T00:00:00"/>
    <d v="2017-12-31T00:00:00"/>
    <d v="2015-04-30T00:00:00"/>
    <d v="2015-04-30T00:00:00"/>
    <s v="Aggregate MFs"/>
    <s v="Aggregate MFs"/>
    <s v="Aggregate MFs"/>
    <s v="Aggregate MFs"/>
    <s v="Aggregate MFs"/>
    <m/>
    <s v="Aggregate MFs"/>
    <s v="Aggregate MFs"/>
    <s v="Aggregate MFs"/>
    <s v="Aggregate MFs"/>
    <s v="Aggregate MFs"/>
    <s v="Investment Managers"/>
    <s v="Investment Advisor"/>
    <n v="801037070587715"/>
    <s v="Growth"/>
    <s v="Moderate"/>
    <s v="High"/>
    <s v="High"/>
    <s v="High"/>
    <s v="Moderate"/>
    <m/>
    <s v="Low"/>
    <s v="High"/>
    <s v="Moderate"/>
    <s v="Moderate"/>
    <s v="Moderate"/>
    <s v="Admiralty (Hong Kong)"/>
    <s v="Hong Kong"/>
  </r>
  <r>
    <n v="54"/>
    <s v="Robeco Hong Kong Limited"/>
    <n v="8.2899999999999998E-4"/>
    <n v="7.4799999999999997E-4"/>
    <n v="4.15E-4"/>
    <n v="3.48E-4"/>
    <n v="2.0000000000000001E-4"/>
    <m/>
    <n v="2.3699999999999999E-4"/>
    <n v="2.3699999999999999E-4"/>
    <n v="2.5500000000000002E-4"/>
    <n v="2.05E-4"/>
    <m/>
    <n v="76595500"/>
    <n v="69101800"/>
    <n v="38388900"/>
    <n v="32191400"/>
    <n v="18486600"/>
    <m/>
    <n v="21873200"/>
    <n v="21873200"/>
    <n v="23564800"/>
    <n v="18914400"/>
    <m/>
    <n v="7493700"/>
    <n v="30712900"/>
    <n v="6197500"/>
    <n v="13704800"/>
    <n v="18486600"/>
    <m/>
    <n v="0"/>
    <n v="-1691600"/>
    <n v="4650400"/>
    <n v="18914400"/>
    <m/>
    <n v="365511710016.59998"/>
    <n v="392903495185.5"/>
    <n v="232252844767.54999"/>
    <n v="159749822556.5"/>
    <n v="64865902672.5"/>
    <m/>
    <n v="75462539965.25"/>
    <n v="75462539965.25"/>
    <n v="94259200009.949997"/>
    <n v="54733545003.900002"/>
    <m/>
    <d v="2025-08-31T00:00:00"/>
    <d v="2024-12-31T00:00:00"/>
    <d v="2023-12-31T00:00:00"/>
    <d v="2022-12-31T00:00:00"/>
    <d v="2021-12-31T00:00:00"/>
    <m/>
    <d v="2018-08-31T00:00:00"/>
    <d v="2018-08-31T00:00:00"/>
    <d v="2017-12-31T00:00:00"/>
    <d v="2016-12-31T00:00:00"/>
    <m/>
    <s v="Aggregate MFs"/>
    <s v="Aggregate MFs"/>
    <s v="Aggregate MFs"/>
    <s v="Aggregate MFs"/>
    <s v="Aggregate MFs"/>
    <m/>
    <s v="Aggregate MFs"/>
    <s v="Aggregate MFs"/>
    <s v="Aggregate MFs"/>
    <s v="Aggregate MFs"/>
    <m/>
    <s v="Investment Managers"/>
    <s v="Investment Advisor"/>
    <n v="34736047846810.801"/>
    <m/>
    <s v="Low"/>
    <s v="Moderate"/>
    <s v="High"/>
    <s v="High"/>
    <s v="Moderate"/>
    <m/>
    <s v="Low"/>
    <s v="Moderate"/>
    <s v="Moderate"/>
    <s v="High"/>
    <m/>
    <s v="Central (Hong Kong)"/>
    <s v="Hong Kong"/>
  </r>
  <r>
    <n v="55"/>
    <s v="Janus Henderson Investors"/>
    <n v="8.1599999999999999E-4"/>
    <n v="7.9000000000000001E-4"/>
    <n v="7.9600000000000005E-4"/>
    <n v="1.062E-3"/>
    <n v="0"/>
    <m/>
    <n v="0"/>
    <n v="0"/>
    <n v="0"/>
    <n v="0"/>
    <n v="4.0000000000000003E-5"/>
    <n v="75373700"/>
    <n v="73017900"/>
    <n v="73532200"/>
    <n v="98122200"/>
    <n v="0"/>
    <m/>
    <n v="0"/>
    <n v="0"/>
    <n v="0"/>
    <n v="0"/>
    <n v="3694400"/>
    <n v="2355800"/>
    <n v="-514300"/>
    <n v="-24590000"/>
    <n v="98122200"/>
    <n v="0"/>
    <m/>
    <n v="0"/>
    <n v="0"/>
    <n v="0"/>
    <n v="-3694400"/>
    <n v="564000"/>
    <n v="331544777187.40002"/>
    <n v="415169910549.40002"/>
    <n v="444869809641.34998"/>
    <n v="486931417925.15002"/>
    <n v="0"/>
    <m/>
    <n v="0"/>
    <n v="0"/>
    <n v="0"/>
    <n v="0"/>
    <n v="8546399900.5500002"/>
    <d v="2025-09-30T00:00:00"/>
    <d v="2024-12-31T00:00:00"/>
    <d v="2023-12-31T00:00:00"/>
    <d v="2022-12-31T00:00:00"/>
    <d v="2021-04-30T00:00:00"/>
    <m/>
    <d v="2018-12-31T00:00:00"/>
    <d v="2018-12-31T00:00:00"/>
    <d v="2016-12-31T00:00:00"/>
    <d v="2016-12-31T00:00:00"/>
    <d v="2015-12-31T00:00:00"/>
    <s v="Aggregate MFs"/>
    <s v="Aggregate MFs"/>
    <s v="Aggregate MFs"/>
    <s v="Aggregate MFs"/>
    <s v="Aggregate MFs"/>
    <m/>
    <s v="Aggregate MFs"/>
    <s v="Aggregate MFs"/>
    <s v="Aggregate MFs"/>
    <s v="Aggregate MFs"/>
    <s v="Aggregate MFs"/>
    <s v="Investment Managers"/>
    <s v="Investment Advisor/Hedge Fund"/>
    <n v="4237035170374590"/>
    <s v="Core Growth"/>
    <s v="Low"/>
    <s v="Low"/>
    <s v="Low"/>
    <s v="Low"/>
    <s v="Low"/>
    <m/>
    <s v="Low"/>
    <s v="Low"/>
    <s v="Moderate"/>
    <s v="Low"/>
    <s v="Low"/>
    <s v="London"/>
    <s v="United Kingdom"/>
  </r>
  <r>
    <n v="56"/>
    <s v="Thompson, Siegel &amp; Walmsley LLC"/>
    <n v="8.0900000000000004E-4"/>
    <n v="8.2799999999999996E-4"/>
    <m/>
    <m/>
    <m/>
    <m/>
    <m/>
    <m/>
    <m/>
    <m/>
    <m/>
    <n v="74742003"/>
    <n v="76472903"/>
    <m/>
    <m/>
    <m/>
    <m/>
    <m/>
    <m/>
    <m/>
    <m/>
    <m/>
    <n v="-1730900"/>
    <n v="76472903"/>
    <m/>
    <m/>
    <m/>
    <m/>
    <m/>
    <m/>
    <m/>
    <m/>
    <m/>
    <n v="328766144418.59998"/>
    <n v="434814590742.29999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218906343411994"/>
    <s v="Core Value"/>
    <s v="Low"/>
    <s v="Low"/>
    <m/>
    <m/>
    <m/>
    <m/>
    <m/>
    <m/>
    <m/>
    <m/>
    <m/>
    <s v="Richmond"/>
    <s v="United States"/>
  </r>
  <r>
    <n v="57"/>
    <s v="Antipodes Partners Limited"/>
    <n v="8.0699999999999999E-4"/>
    <n v="8.0699999999999999E-4"/>
    <n v="9.2199999999999997E-4"/>
    <n v="2.0999999999999999E-5"/>
    <m/>
    <m/>
    <m/>
    <m/>
    <m/>
    <m/>
    <m/>
    <n v="74536643"/>
    <n v="74536643"/>
    <n v="85198838"/>
    <n v="1938230"/>
    <m/>
    <m/>
    <m/>
    <m/>
    <m/>
    <m/>
    <m/>
    <n v="0"/>
    <n v="-10662195"/>
    <n v="83260608"/>
    <n v="1938230"/>
    <m/>
    <m/>
    <m/>
    <m/>
    <m/>
    <m/>
    <m/>
    <n v="458400354832.90002"/>
    <n v="458400354832.90002"/>
    <n v="515452969444.15002"/>
    <n v="9618466306.3500004"/>
    <m/>
    <m/>
    <m/>
    <m/>
    <m/>
    <m/>
    <m/>
    <d v="2024-06-30T00:00:00"/>
    <d v="2024-06-30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76318358769142.797"/>
    <s v="Core Value"/>
    <s v="Moderate"/>
    <s v="Moderate"/>
    <s v="Moderate"/>
    <s v="Moderate"/>
    <m/>
    <m/>
    <m/>
    <m/>
    <m/>
    <m/>
    <m/>
    <s v="Sydney"/>
    <s v="Australia"/>
  </r>
  <r>
    <n v="58"/>
    <s v="American Century Investment Management, Inc."/>
    <n v="7.76E-4"/>
    <n v="5.5599999999999996E-4"/>
    <n v="3.8999999999999999E-4"/>
    <n v="2.4600000000000002E-4"/>
    <n v="1.35E-4"/>
    <n v="9.7E-5"/>
    <n v="9.3999999999999994E-5"/>
    <n v="2.4600000000000002E-4"/>
    <n v="2.0240000000000002E-3"/>
    <n v="2.0560000000000001E-3"/>
    <n v="1.062E-3"/>
    <n v="71697500"/>
    <n v="51395700"/>
    <n v="35995600"/>
    <n v="22730000"/>
    <n v="12429600"/>
    <n v="8983600"/>
    <n v="8716600"/>
    <n v="22769800"/>
    <n v="187062600"/>
    <n v="189975356"/>
    <n v="98110000"/>
    <n v="20301800"/>
    <n v="15400100"/>
    <n v="13265600"/>
    <n v="10300400"/>
    <n v="3446000"/>
    <n v="267000"/>
    <n v="-14053200"/>
    <n v="-164292800"/>
    <n v="-2912756"/>
    <n v="91865356"/>
    <n v="-41274540"/>
    <n v="315374350279.79999"/>
    <n v="292229003797.59998"/>
    <n v="217773379875.35001"/>
    <n v="112797625095.64999"/>
    <n v="43613061510"/>
    <n v="28410634980"/>
    <n v="33353831960.400002"/>
    <n v="82925268925"/>
    <n v="748250400059"/>
    <n v="549741186651"/>
    <n v="226961697067.95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058377526550180"/>
    <s v="Core Growth"/>
    <s v="Low"/>
    <s v="Low"/>
    <s v="Low"/>
    <s v="Low"/>
    <s v="Low"/>
    <s v="Low"/>
    <s v="Low"/>
    <s v="Low"/>
    <s v="Low"/>
    <s v="Low"/>
    <s v="Moderate"/>
    <s v="Kansas City"/>
    <s v="United States"/>
  </r>
  <r>
    <n v="59"/>
    <s v="Amundi Asset Management, SAS"/>
    <n v="7.6300000000000001E-4"/>
    <n v="4.2099999999999999E-4"/>
    <n v="6.0000000000000002E-6"/>
    <n v="5.0000000000000004E-6"/>
    <n v="7.8999999999999996E-5"/>
    <n v="1.64E-4"/>
    <n v="9.0300000000000005E-4"/>
    <n v="7.7499999999999997E-4"/>
    <n v="5.3300000000000005E-4"/>
    <n v="2.24E-4"/>
    <n v="0"/>
    <n v="70537782"/>
    <n v="38857805"/>
    <n v="587800"/>
    <n v="416200"/>
    <n v="7254200"/>
    <n v="15111400"/>
    <n v="83457200"/>
    <n v="71586800"/>
    <n v="49241000"/>
    <n v="20658800"/>
    <n v="0"/>
    <n v="31679977"/>
    <n v="38270005"/>
    <n v="171600"/>
    <n v="-6838000"/>
    <n v="-7857200"/>
    <n v="-68345800"/>
    <n v="11870400"/>
    <n v="22345800"/>
    <n v="28582200"/>
    <n v="20658800"/>
    <n v="0"/>
    <n v="310273122087.59998"/>
    <n v="220940227274.20001"/>
    <n v="3556190039.8499999"/>
    <n v="2065392538.55"/>
    <n v="25453584270"/>
    <n v="47789802403.199997"/>
    <n v="319346697780.79999"/>
    <n v="260711760418.75"/>
    <n v="196964000083.75"/>
    <n v="59781402584.400002"/>
    <n v="0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4-08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7275496075161050"/>
    <s v="GARP"/>
    <s v="Low"/>
    <s v="Low"/>
    <s v="High"/>
    <s v="High"/>
    <s v="Moderate"/>
    <s v="Moderate"/>
    <s v="Moderate"/>
    <s v="Moderate"/>
    <s v="Moderate"/>
    <s v="High"/>
    <s v="Low"/>
    <s v="Paris"/>
    <s v="France"/>
  </r>
  <r>
    <n v="60"/>
    <s v="Nuveen LLC"/>
    <n v="7.5000000000000002E-4"/>
    <n v="5.8299999999999997E-4"/>
    <n v="1.524E-3"/>
    <n v="1.939E-3"/>
    <n v="5.9800000000000001E-4"/>
    <n v="6.2699999999999995E-4"/>
    <n v="1.9710000000000001E-3"/>
    <n v="2.1210000000000001E-3"/>
    <n v="5.7600000000000001E-4"/>
    <n v="6.2600000000000004E-4"/>
    <n v="8.3699999999999996E-4"/>
    <n v="69289817"/>
    <n v="53856642"/>
    <n v="140818942"/>
    <n v="179160742"/>
    <n v="55245542"/>
    <n v="57944204"/>
    <n v="182159354"/>
    <n v="195988866"/>
    <n v="53215360"/>
    <n v="57872604"/>
    <n v="77367356"/>
    <n v="15433175"/>
    <n v="-86962300"/>
    <n v="-38341800"/>
    <n v="123915200"/>
    <n v="-2698662"/>
    <n v="-124215150"/>
    <n v="-13829512"/>
    <n v="142773506"/>
    <n v="-4657244"/>
    <n v="-19494752"/>
    <n v="2458800"/>
    <n v="304783723559"/>
    <n v="306221587342.40002"/>
    <n v="851954598367"/>
    <n v="889085182891.40002"/>
    <n v="193845917917.5"/>
    <n v="183248545006.79999"/>
    <n v="697027795969.59998"/>
    <n v="713771285593.75"/>
    <n v="212861439977.35001"/>
    <n v="167468847911.10001"/>
    <n v="178976928139.95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9081533255972860"/>
    <s v="GARP"/>
    <s v="Low"/>
    <s v="Low"/>
    <s v="Low"/>
    <s v="Low"/>
    <s v="Low"/>
    <s v="Low"/>
    <s v="Low"/>
    <s v="Low"/>
    <s v="Low"/>
    <s v="Low"/>
    <s v="Low"/>
    <s v="New York"/>
    <s v="United States"/>
  </r>
  <r>
    <n v="61"/>
    <s v="British Columbia Investment Management Corp."/>
    <n v="7.2999999999999996E-4"/>
    <n v="7.2999999999999996E-4"/>
    <n v="8.0800000000000002E-4"/>
    <n v="1.513E-3"/>
    <n v="7.5600000000000005E-4"/>
    <n v="1.8599999999999999E-4"/>
    <n v="2.4800000000000001E-4"/>
    <n v="1.74E-4"/>
    <n v="1.4E-5"/>
    <n v="1.8E-5"/>
    <n v="9.77E-4"/>
    <n v="67492231"/>
    <n v="67492231"/>
    <n v="74614906"/>
    <n v="139814750"/>
    <n v="69855286"/>
    <n v="17144250"/>
    <n v="22937324"/>
    <n v="16094600"/>
    <n v="1332400"/>
    <n v="1627200"/>
    <n v="90232400"/>
    <n v="0"/>
    <n v="-7122675"/>
    <n v="-65199844"/>
    <n v="69959464"/>
    <n v="52711036"/>
    <n v="-5793074"/>
    <n v="6842724"/>
    <n v="14762200"/>
    <n v="-294800"/>
    <n v="-88605200"/>
    <n v="0"/>
    <n v="489318674461"/>
    <n v="489318674461"/>
    <n v="385199452101.29999"/>
    <n v="552268262334.07996"/>
    <n v="214805004466.79999"/>
    <n v="40117545004"/>
    <n v="85441531948.5"/>
    <n v="61763027571.199997"/>
    <n v="3897269939.8499999"/>
    <n v="4190040038.25"/>
    <n v="281412297534.59998"/>
    <d v="2024-03-31T00:00:00"/>
    <d v="2024-03-31T00:00:00"/>
    <d v="2023-03-31T00:00:00"/>
    <d v="2022-03-31T00:00:00"/>
    <d v="2021-03-31T00:00:00"/>
    <d v="2020-03-31T00:00:00"/>
    <d v="2019-03-31T00:00:00"/>
    <d v="2018-03-31T00:00:00"/>
    <d v="2017-03-31T00:00:00"/>
    <d v="2016-03-31T00:00:00"/>
    <d v="2015-03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445280934317624"/>
    <s v="Core Value"/>
    <s v="Low"/>
    <s v="Low"/>
    <s v="Low"/>
    <s v="Low"/>
    <s v="Low"/>
    <s v="Low"/>
    <s v="Low"/>
    <s v="Low"/>
    <s v="Low"/>
    <s v="Low"/>
    <s v="Low"/>
    <s v="Victoria"/>
    <s v="Canada"/>
  </r>
  <r>
    <n v="62"/>
    <s v="Goldman Sachs Asset Management International"/>
    <n v="7.2800000000000002E-4"/>
    <n v="5.7499999999999999E-4"/>
    <n v="7.7200000000000001E-4"/>
    <n v="4.1199999999999999E-4"/>
    <n v="1.8E-5"/>
    <n v="1.0939999999999999E-3"/>
    <n v="3.8200000000000002E-4"/>
    <n v="5.44E-4"/>
    <n v="5.62E-4"/>
    <n v="2.9500000000000001E-4"/>
    <n v="6.7599999999999995E-4"/>
    <n v="67261200"/>
    <n v="53146200"/>
    <n v="71322400"/>
    <n v="38053200"/>
    <n v="1623400"/>
    <n v="101065200"/>
    <n v="35301800"/>
    <n v="50293400"/>
    <n v="51972200"/>
    <n v="27221200"/>
    <n v="62452000"/>
    <n v="14115000"/>
    <n v="-18176200"/>
    <n v="33269200"/>
    <n v="36429800"/>
    <n v="-99441800"/>
    <n v="65763400"/>
    <n v="-14991600"/>
    <n v="-1678800"/>
    <n v="24751000"/>
    <n v="-35230800"/>
    <n v="7838000"/>
    <n v="320968676064.75"/>
    <n v="302182110139.79999"/>
    <n v="431500519611.70001"/>
    <n v="188839005129.5"/>
    <n v="5696196532.5"/>
    <n v="319618694631.59998"/>
    <n v="135081374083.60001"/>
    <n v="183163388368.75"/>
    <n v="192297139981.79999"/>
    <n v="78771347565.300003"/>
    <n v="144472652283.89999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1-30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816667495751037"/>
    <s v="Growth"/>
    <s v="Low"/>
    <s v="Moderate"/>
    <s v="Moderate"/>
    <s v="Moderate"/>
    <s v="High"/>
    <s v="High"/>
    <s v="High"/>
    <s v="High"/>
    <s v="High"/>
    <s v="High"/>
    <s v="Moderate"/>
    <s v="London"/>
    <s v="United Kingdom"/>
  </r>
  <r>
    <n v="63"/>
    <s v="J.P. Morgan Asset Management (Singapore) Limited"/>
    <n v="7.18E-4"/>
    <n v="2.2430000000000002E-3"/>
    <n v="1.848E-3"/>
    <n v="1.513E-3"/>
    <n v="1E-4"/>
    <n v="2.418E-3"/>
    <n v="2.7230000000000002E-3"/>
    <n v="3.1879999999999999E-3"/>
    <n v="2.5860000000000002E-3"/>
    <n v="3.6999999999999999E-4"/>
    <n v="1.5039999999999999E-3"/>
    <n v="66365548"/>
    <n v="207215296"/>
    <n v="170710448"/>
    <n v="139771648"/>
    <n v="9227048"/>
    <n v="223406248"/>
    <n v="251636752"/>
    <n v="294594110"/>
    <n v="238942164"/>
    <n v="34212648"/>
    <n v="139007616"/>
    <n v="-140849748"/>
    <n v="36504848"/>
    <n v="30938800"/>
    <n v="130544600"/>
    <n v="-214179200"/>
    <n v="-28230504"/>
    <n v="-42957358"/>
    <n v="55651946"/>
    <n v="204729516"/>
    <n v="-104794968"/>
    <n v="-100211600"/>
    <n v="291920800287.20001"/>
    <n v="1178198166601.8"/>
    <n v="1032798209617.15"/>
    <n v="693616803782.65002"/>
    <n v="32375926185"/>
    <n v="706522258587.59998"/>
    <n v="962881162934.80005"/>
    <n v="1072881439156.25"/>
    <n v="955768656124.80005"/>
    <n v="99002850194.399994"/>
    <n v="321571750504.34998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8378068655094"/>
    <s v="GARP"/>
    <s v="Moderate"/>
    <s v="Moderate"/>
    <s v="Low"/>
    <s v="Low"/>
    <s v="Moderate"/>
    <s v="Moderate"/>
    <s v="Moderate"/>
    <s v="Moderate"/>
    <s v="Moderate"/>
    <s v="Moderate"/>
    <s v="Low"/>
    <s v="Singapore"/>
    <s v="Singapore"/>
  </r>
  <r>
    <n v="64"/>
    <s v="JP Morgan Asset Management"/>
    <n v="7.0100000000000002E-4"/>
    <n v="1.235E-3"/>
    <n v="3.1599999999999998E-4"/>
    <n v="9.7999999999999997E-5"/>
    <n v="6.9999999999999999E-6"/>
    <n v="6.9999999999999999E-6"/>
    <n v="1.1E-5"/>
    <n v="4.5000000000000003E-5"/>
    <n v="4.1E-5"/>
    <n v="1.8E-5"/>
    <n v="7.9999999999999996E-6"/>
    <n v="64741200"/>
    <n v="114107200"/>
    <n v="29221607"/>
    <n v="9049600"/>
    <n v="625600"/>
    <n v="673800"/>
    <n v="994200"/>
    <n v="4184200"/>
    <n v="3752200"/>
    <n v="1656800"/>
    <n v="758800"/>
    <n v="-49366000"/>
    <n v="84885593"/>
    <n v="20172007"/>
    <n v="8424000"/>
    <n v="-48200"/>
    <n v="-320400"/>
    <n v="-3190000"/>
    <n v="432000"/>
    <n v="2095400"/>
    <n v="898000"/>
    <n v="-92000"/>
    <n v="284775813425.59998"/>
    <n v="648798116976.30005"/>
    <n v="176790722164.60001"/>
    <n v="44908639971.25"/>
    <n v="2195109330"/>
    <n v="2130892498.8"/>
    <n v="3804279118.8000002"/>
    <n v="15238425893.75"/>
    <n v="15008799999.200001"/>
    <n v="4794364977"/>
    <n v="1755361636.0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.55205577239886E+16"/>
    <s v="GARP"/>
    <s v="Low"/>
    <s v="Low"/>
    <s v="Low"/>
    <s v="Low"/>
    <s v="Low"/>
    <s v="Low"/>
    <s v="Low"/>
    <s v="Low"/>
    <s v="Low"/>
    <s v="Low"/>
    <s v="Moderate"/>
    <s v="New York"/>
    <s v="United States"/>
  </r>
  <r>
    <n v="65"/>
    <s v="Fidelity Management &amp; Research Company LLC"/>
    <n v="6.5799999999999995E-4"/>
    <n v="1.134E-3"/>
    <n v="1.026E-3"/>
    <n v="4.7229999999999998E-3"/>
    <n v="1.0245000000000001E-2"/>
    <n v="8.1019999999999998E-3"/>
    <n v="5.574E-3"/>
    <n v="3.238E-3"/>
    <n v="2.813E-3"/>
    <n v="3.0860000000000002E-3"/>
    <n v="2.7810000000000001E-3"/>
    <n v="60769900"/>
    <n v="104825378"/>
    <n v="94789122"/>
    <n v="436378118"/>
    <n v="946628398"/>
    <n v="748586900"/>
    <n v="514993600"/>
    <n v="299154486"/>
    <n v="259896494"/>
    <n v="285165056"/>
    <n v="256935236"/>
    <n v="-44055478"/>
    <n v="10036256"/>
    <n v="-341588996"/>
    <n v="-510250280"/>
    <n v="198041498"/>
    <n v="233593300"/>
    <n v="215839114"/>
    <n v="39257992"/>
    <n v="-25268562"/>
    <n v="28229820"/>
    <n v="-346324"/>
    <n v="267307336112.60001"/>
    <n v="596022931457.30005"/>
    <n v="573474187656.05005"/>
    <n v="2165526412249.2"/>
    <n v="3321535895062.5"/>
    <n v="2367406068674.3999"/>
    <n v="1970608953286"/>
    <n v="1089489859475"/>
    <n v="1039585976139.6"/>
    <n v="825196381209.30005"/>
    <n v="594378322427.09998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Shareholder Report"/>
    <s v="Aggregate MFs"/>
    <s v="Aggregate MFs"/>
    <s v="Aggregate MFs"/>
    <s v="Aggregate MFs"/>
    <s v="Investment Managers"/>
    <s v="Investment Advisor"/>
    <n v="4.23164507303382E+16"/>
    <s v="GARP"/>
    <s v="Low"/>
    <s v="Low"/>
    <s v="Low"/>
    <s v="Low"/>
    <s v="Low"/>
    <s v="Low"/>
    <s v="Low"/>
    <s v="Low"/>
    <s v="Low"/>
    <s v="Low"/>
    <s v="Low"/>
    <s v="Boston"/>
    <s v="United States"/>
  </r>
  <r>
    <n v="66"/>
    <s v="Goldman Sachs Asset Management, L.P."/>
    <n v="6.4000000000000005E-4"/>
    <n v="2.0460000000000001E-3"/>
    <n v="1.9040000000000001E-3"/>
    <n v="1.003E-3"/>
    <n v="1.06E-4"/>
    <n v="5.9199999999999997E-4"/>
    <n v="3.7300000000000001E-4"/>
    <n v="3.2400000000000001E-4"/>
    <n v="4.8299999999999998E-4"/>
    <n v="1.07E-4"/>
    <n v="5.7000000000000003E-5"/>
    <n v="59110987"/>
    <n v="189058330"/>
    <n v="175933637"/>
    <n v="92644596"/>
    <n v="9771454"/>
    <n v="54729504"/>
    <n v="34461658"/>
    <n v="29920396"/>
    <n v="44614310"/>
    <n v="9899840"/>
    <n v="5268168"/>
    <n v="-129947343"/>
    <n v="13124693"/>
    <n v="83289041"/>
    <n v="82873142"/>
    <n v="-44958050"/>
    <n v="20267846"/>
    <n v="4541262"/>
    <n v="-14693914"/>
    <n v="34714470"/>
    <n v="4631672"/>
    <n v="3609868"/>
    <n v="260010308924.79999"/>
    <n v="1074960111989.8"/>
    <n v="1064398502965.45"/>
    <n v="459748808078.45001"/>
    <n v="34286141535"/>
    <n v="173082056191.20001"/>
    <n v="131866593694"/>
    <n v="108967003831.25"/>
    <n v="178457240062.5"/>
    <n v="28647662078.700001"/>
    <n v="12187058928.450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911380120448550"/>
    <s v="Core Growth"/>
    <s v="Low"/>
    <s v="Low"/>
    <s v="Low"/>
    <s v="Low"/>
    <s v="Low"/>
    <s v="Low"/>
    <s v="Low"/>
    <s v="Moderate"/>
    <s v="Moderate"/>
    <s v="Moderate"/>
    <s v="Low"/>
    <s v="New York"/>
    <s v="United States"/>
  </r>
  <r>
    <n v="67"/>
    <s v="Mellon Investments Corporation"/>
    <n v="6.3900000000000003E-4"/>
    <n v="6.7000000000000002E-4"/>
    <n v="2.6999999999999999E-5"/>
    <n v="1.5E-5"/>
    <n v="6.9999999999999999E-6"/>
    <n v="5.4199999999999995E-4"/>
    <n v="1.13E-4"/>
    <n v="1.5899999999999999E-4"/>
    <n v="1.5300000000000001E-4"/>
    <n v="1.0900000000000001E-4"/>
    <n v="1.16E-4"/>
    <n v="59072657"/>
    <n v="61884600"/>
    <n v="2478800"/>
    <n v="1417800"/>
    <n v="659000"/>
    <n v="50054008"/>
    <n v="10436208"/>
    <n v="14679904"/>
    <n v="14137104"/>
    <n v="10065608"/>
    <n v="10748408"/>
    <n v="-2811943"/>
    <n v="59405800"/>
    <n v="1061000"/>
    <n v="758800"/>
    <n v="-49395008"/>
    <n v="39617800"/>
    <n v="-4243696"/>
    <n v="542800"/>
    <n v="4071496"/>
    <n v="-682800"/>
    <n v="-1247600"/>
    <n v="259841707392.39999"/>
    <n v="351867471495"/>
    <n v="14996739971.200001"/>
    <n v="7035832474.5500002"/>
    <n v="2312303467.5"/>
    <n v="158295800145.60001"/>
    <n v="39933864986.800003"/>
    <n v="53462700031.25"/>
    <n v="56548416042.599998"/>
    <n v="29127353159.400002"/>
    <n v="24864712221.900002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4787400867150690"/>
    <s v="GARP"/>
    <s v="Low"/>
    <s v="Low"/>
    <s v="Low"/>
    <s v="Low"/>
    <s v="Low"/>
    <s v="Low"/>
    <s v="Low"/>
    <s v="Low"/>
    <s v="Low"/>
    <s v="Low"/>
    <s v="Low"/>
    <s v="Boston"/>
    <s v="United States"/>
  </r>
  <r>
    <n v="68"/>
    <s v="JPMorgan Asset Management U.K. Limited"/>
    <n v="6.0999999999999997E-4"/>
    <n v="1.1429999999999999E-3"/>
    <n v="1.92E-4"/>
    <n v="1.1E-5"/>
    <n v="3.9999999999999998E-6"/>
    <n v="1.5999999999999999E-5"/>
    <n v="2.3E-5"/>
    <n v="1.9000000000000001E-5"/>
    <n v="1.9000000000000001E-5"/>
    <n v="1.9000000000000001E-5"/>
    <n v="1.1900000000000001E-4"/>
    <n v="56370500"/>
    <n v="105654500"/>
    <n v="17785600"/>
    <n v="981000"/>
    <n v="326000"/>
    <n v="1482600"/>
    <n v="2155200"/>
    <n v="1777200"/>
    <n v="1777200"/>
    <n v="1777200"/>
    <n v="11025600"/>
    <n v="-49284000"/>
    <n v="87868900"/>
    <n v="16804600"/>
    <n v="655000"/>
    <n v="-1156600"/>
    <n v="-672600"/>
    <n v="378000"/>
    <n v="0"/>
    <n v="0"/>
    <n v="-9248400"/>
    <n v="-2253600"/>
    <n v="247955783831"/>
    <n v="600737207169.90002"/>
    <n v="107602879873.5"/>
    <n v="4868212440.3000002"/>
    <n v="1143870870"/>
    <n v="4688722443.6000004"/>
    <n v="8246813936.8000002"/>
    <n v="5975834975"/>
    <n v="7108799970.75"/>
    <n v="5142772453.8000002"/>
    <n v="25505951410.349998"/>
    <d v="2025-09-30T00:00:00"/>
    <d v="2024-12-31T00:00:00"/>
    <d v="2023-12-31T00:00:00"/>
    <d v="2022-12-31T00:00:00"/>
    <d v="2021-12-31T00:00:00"/>
    <d v="2020-12-31T00:00:00"/>
    <d v="2019-12-31T00:00:00"/>
    <d v="2018-09-30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699299807876530"/>
    <s v="Core Growth"/>
    <s v="Low"/>
    <s v="Moderate"/>
    <s v="High"/>
    <s v="Low"/>
    <s v="Low"/>
    <s v="Moderate"/>
    <s v="High"/>
    <s v="Moderate"/>
    <s v="Moderate"/>
    <s v="Moderate"/>
    <s v="Moderate"/>
    <s v="London"/>
    <s v="United Kingdom"/>
  </r>
  <r>
    <n v="69"/>
    <s v="Caisse de Depot et Placement du Quebec"/>
    <n v="5.2700000000000002E-4"/>
    <n v="5.2700000000000002E-4"/>
    <n v="4.84E-4"/>
    <n v="5.3700000000000004E-4"/>
    <n v="3.7399999999999998E-4"/>
    <n v="5.1400000000000003E-4"/>
    <n v="8.2700000000000004E-4"/>
    <n v="1.09E-3"/>
    <n v="7.7899999999999996E-4"/>
    <n v="7.7899999999999996E-4"/>
    <n v="3.0000000000000001E-5"/>
    <n v="48651546"/>
    <n v="48651546"/>
    <n v="44695396"/>
    <n v="49647096"/>
    <n v="34525508"/>
    <n v="47519588"/>
    <n v="76407142"/>
    <n v="100748392"/>
    <n v="72014008"/>
    <n v="72014008"/>
    <n v="2746008"/>
    <n v="0"/>
    <n v="3956150"/>
    <n v="-4951700"/>
    <n v="15121588"/>
    <n v="-12994080"/>
    <n v="-28887554"/>
    <n v="-24341250"/>
    <n v="28734384"/>
    <n v="0"/>
    <n v="69268000"/>
    <n v="-28547888"/>
    <n v="276626115032"/>
    <n v="276626115032"/>
    <n v="270407145548.25"/>
    <n v="246373714099.14999"/>
    <n v="121143327637.5"/>
    <n v="150280696893.60001"/>
    <n v="292369843330"/>
    <n v="366915278168.75"/>
    <n v="208390535764.5"/>
    <n v="208390535764.5"/>
    <n v="6352447674.1499996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6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1537312059556400"/>
    <s v="GARP"/>
    <s v="Moderate"/>
    <s v="Low"/>
    <s v="Low"/>
    <s v="Low"/>
    <s v="Moderate"/>
    <s v="Low"/>
    <s v="Low"/>
    <s v="Moderate"/>
    <s v="Low"/>
    <s v="Low"/>
    <s v="Low"/>
    <s v="Montreal"/>
    <s v="Canada"/>
  </r>
  <r>
    <n v="70"/>
    <s v="Zürcher Kantonalbank (Asset Management)"/>
    <n v="5.2400000000000005E-4"/>
    <n v="2.5999999999999998E-4"/>
    <n v="5.8200000000000005E-4"/>
    <n v="5.5199999999999997E-4"/>
    <n v="4.1399999999999998E-4"/>
    <n v="1.46E-4"/>
    <n v="2.4000000000000001E-4"/>
    <n v="1.44E-4"/>
    <n v="1.9100000000000001E-4"/>
    <n v="1.8100000000000001E-4"/>
    <n v="1.6799999999999999E-4"/>
    <n v="48373038"/>
    <n v="24046800"/>
    <n v="53737100"/>
    <n v="50994600"/>
    <n v="38243400"/>
    <n v="13480600"/>
    <n v="22150500"/>
    <n v="13292748"/>
    <n v="17629790"/>
    <n v="16759320"/>
    <n v="15525720"/>
    <n v="24326238"/>
    <n v="-29690300"/>
    <n v="2742500"/>
    <n v="12751200"/>
    <n v="24762800"/>
    <n v="-8669900"/>
    <n v="8857752"/>
    <n v="-4337042"/>
    <n v="870470"/>
    <n v="1233600"/>
    <n v="0"/>
    <n v="212777508771.79999"/>
    <n v="136726854793.39999"/>
    <n v="325109454700"/>
    <n v="253060702704.14999"/>
    <n v="134188691205"/>
    <n v="42632397522"/>
    <n v="84758283570.399994"/>
    <n v="48410820612.5"/>
    <n v="70519159978.449997"/>
    <n v="43155248979.150002"/>
    <n v="35916254796.300003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03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Bank and Trust"/>
    <n v="2402558426065920"/>
    <s v="Growth"/>
    <s v="Low"/>
    <s v="Low"/>
    <s v="Low"/>
    <s v="Low"/>
    <s v="Low"/>
    <s v="Low"/>
    <s v="Low"/>
    <s v="Low"/>
    <s v="Moderate"/>
    <s v="Low"/>
    <s v="Moderate"/>
    <s v="Zurich"/>
    <s v="Switzerland"/>
  </r>
  <r>
    <n v="71"/>
    <s v="UBS Asset Management (Switzerland)"/>
    <n v="5.1000000000000004E-4"/>
    <n v="5.3700000000000004E-4"/>
    <n v="1.091E-3"/>
    <n v="1.3439999999999999E-3"/>
    <n v="2.7100000000000002E-3"/>
    <n v="3.568E-3"/>
    <n v="2.5630000000000002E-3"/>
    <n v="1.382E-3"/>
    <n v="9.3199999999999999E-4"/>
    <n v="7.9100000000000004E-4"/>
    <m/>
    <n v="47139364"/>
    <n v="49581264"/>
    <n v="100773964"/>
    <n v="124162064"/>
    <n v="250429864"/>
    <n v="329641464"/>
    <n v="236844664"/>
    <n v="127680400"/>
    <n v="86071200"/>
    <n v="73110000"/>
    <m/>
    <n v="-2441900"/>
    <n v="-51192700"/>
    <n v="-23388100"/>
    <n v="-126267800"/>
    <n v="-79211600"/>
    <n v="92796800"/>
    <n v="109164264"/>
    <n v="41609200"/>
    <n v="12961200"/>
    <n v="73110000"/>
    <m/>
    <n v="207350971755.20001"/>
    <n v="281912365948.70001"/>
    <n v="609682481768.30005"/>
    <n v="616154243057.09998"/>
    <n v="878709939592.5"/>
    <n v="1042491128796"/>
    <n v="906279641940.40002"/>
    <n v="464998880375"/>
    <n v="344284800033.04999"/>
    <n v="211562062620.29999"/>
    <m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5734534728196230"/>
    <s v="Core Value"/>
    <s v="Low"/>
    <s v="Low"/>
    <s v="Low"/>
    <s v="Low"/>
    <s v="Low"/>
    <s v="Low"/>
    <s v="Low"/>
    <s v="Low"/>
    <s v="Low"/>
    <s v="Low"/>
    <m/>
    <s v="Zurich"/>
    <s v="Switzerland"/>
  </r>
  <r>
    <n v="72"/>
    <s v="PGGM Vermogensbeheer B.V."/>
    <n v="4.6299999999999998E-4"/>
    <n v="4.95E-4"/>
    <n v="4.3800000000000002E-4"/>
    <n v="4.66E-4"/>
    <n v="5.4699999999999996E-4"/>
    <n v="7.3200000000000001E-4"/>
    <n v="8.9400000000000005E-4"/>
    <n v="8.1300000000000003E-4"/>
    <n v="8.7799999999999998E-4"/>
    <n v="2.068E-3"/>
    <n v="1.358E-3"/>
    <n v="42735032"/>
    <n v="45704848"/>
    <n v="40441391"/>
    <n v="43099640"/>
    <n v="50500398"/>
    <n v="67615894"/>
    <n v="82620400"/>
    <n v="75080584"/>
    <n v="81091454"/>
    <n v="191054876"/>
    <n v="125489468"/>
    <n v="-2969816"/>
    <n v="5263457"/>
    <n v="-2658249"/>
    <n v="-7400758"/>
    <n v="-17115496"/>
    <n v="-15004506"/>
    <n v="7539816"/>
    <n v="-6010870"/>
    <n v="-109963422"/>
    <n v="65565408"/>
    <n v="17679240"/>
    <n v="221954024811.75"/>
    <n v="259871588378"/>
    <n v="231526963741.5"/>
    <n v="170782323311.70001"/>
    <n v="177196125720"/>
    <n v="213835264578"/>
    <n v="316144705451.59998"/>
    <n v="273435762200"/>
    <n v="324365816077"/>
    <n v="552865047756.59998"/>
    <n v="290299690467.29999"/>
    <d v="2025-03-31T00:00:00"/>
    <d v="2024-12-31T00:00:00"/>
    <d v="2023-07-31T00:00:00"/>
    <d v="2022-06-30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635502965854069"/>
    <s v="GARP"/>
    <s v="Low"/>
    <s v="Low"/>
    <s v="Low"/>
    <s v="Low"/>
    <s v="Low"/>
    <s v="Low"/>
    <s v="Low"/>
    <s v="Low"/>
    <s v="Low"/>
    <s v="Low"/>
    <s v="Low"/>
    <s v="Zeist"/>
    <s v="Netherlands"/>
  </r>
  <r>
    <n v="73"/>
    <s v="Wellington Management Company, LLP"/>
    <n v="4.4499999999999997E-4"/>
    <n v="1.7899999999999999E-4"/>
    <n v="3.48E-4"/>
    <n v="1.2570000000000001E-3"/>
    <n v="1.836E-3"/>
    <n v="5.9699999999999998E-4"/>
    <n v="1.289E-3"/>
    <n v="7.5900000000000002E-4"/>
    <n v="5.9400000000000002E-4"/>
    <n v="3.8999999999999999E-5"/>
    <n v="0"/>
    <n v="41096330"/>
    <n v="16499853"/>
    <n v="32124610"/>
    <n v="116133496"/>
    <n v="169639406"/>
    <n v="55173298"/>
    <n v="119072970"/>
    <n v="70177440"/>
    <n v="54850704"/>
    <n v="3628000"/>
    <n v="0"/>
    <n v="24596477"/>
    <n v="-15624757"/>
    <n v="-84008886"/>
    <n v="-53505910"/>
    <n v="114466108"/>
    <n v="-63899672"/>
    <n v="48895530"/>
    <n v="15326736"/>
    <n v="51222704"/>
    <n v="3628000"/>
    <n v="0"/>
    <n v="180769599725.39999"/>
    <n v="93815934038"/>
    <n v="194353890383.25"/>
    <n v="576312474267.19995"/>
    <n v="595231853842.5"/>
    <n v="174485554682.39999"/>
    <n v="455629469560.79999"/>
    <n v="255579016306.25"/>
    <n v="219402815998.10001"/>
    <n v="10498525004.4"/>
    <n v="0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.10654360245057E+16"/>
    <s v="Core Value"/>
    <s v="Low"/>
    <s v="Low"/>
    <s v="Low"/>
    <s v="Low"/>
    <s v="Low"/>
    <s v="Low"/>
    <s v="Low"/>
    <s v="Low"/>
    <s v="Low"/>
    <s v="Low"/>
    <s v="Low"/>
    <s v="Boston"/>
    <s v="United States"/>
  </r>
  <r>
    <n v="74"/>
    <s v="Northern Trust Global Investments Limited"/>
    <n v="4.2900000000000002E-4"/>
    <n v="4.0400000000000001E-4"/>
    <n v="4.9700000000000005E-4"/>
    <n v="5.3300000000000005E-4"/>
    <n v="5.4299999999999997E-4"/>
    <n v="9.7199999999999999E-4"/>
    <n v="8.4000000000000003E-4"/>
    <n v="2.6800000000000001E-4"/>
    <n v="1.13E-4"/>
    <n v="1.9000000000000001E-5"/>
    <n v="3.4E-5"/>
    <n v="39604734"/>
    <n v="37324800"/>
    <n v="45941481"/>
    <n v="49242558"/>
    <n v="50144400"/>
    <n v="89770552"/>
    <n v="77599752"/>
    <n v="24789352"/>
    <n v="10451552"/>
    <n v="1774752"/>
    <n v="3163200"/>
    <n v="2279934"/>
    <n v="-8616681"/>
    <n v="-3301077"/>
    <n v="-901842"/>
    <n v="-39626152"/>
    <n v="12170800"/>
    <n v="52810400"/>
    <n v="14337800"/>
    <n v="8676800"/>
    <n v="-1388448"/>
    <n v="0"/>
    <n v="174208546363.60001"/>
    <n v="212223768082.79999"/>
    <n v="277945959892.29999"/>
    <n v="244366194254.04999"/>
    <n v="175946997652.5"/>
    <n v="283899370435.20001"/>
    <n v="296933332909.59998"/>
    <n v="90280269587.5"/>
    <n v="41806208038.849998"/>
    <n v="5135688580.8000002"/>
    <n v="6267090061.6499996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951792014473370"/>
    <s v="Index"/>
    <s v="Moderate"/>
    <s v="Moderate"/>
    <s v="Low"/>
    <s v="Low"/>
    <s v="Low"/>
    <s v="Low"/>
    <s v="Low"/>
    <s v="Low"/>
    <s v="Low"/>
    <s v="Low"/>
    <s v="Low"/>
    <s v="London"/>
    <s v="United Kingdom"/>
  </r>
  <r>
    <n v="75"/>
    <s v="Dimensional Fund Advisors, Ltd."/>
    <n v="4.15E-4"/>
    <n v="3.9399999999999998E-4"/>
    <n v="3.3799999999999998E-4"/>
    <n v="2.5599999999999999E-4"/>
    <n v="1.26E-4"/>
    <n v="3.4919999999999999E-3"/>
    <n v="3.4919999999999999E-3"/>
    <n v="5.5500000000000005E-4"/>
    <n v="3.0000000000000001E-5"/>
    <n v="1.1E-5"/>
    <n v="5.0000000000000004E-6"/>
    <n v="38348132"/>
    <n v="36367832"/>
    <n v="31258432"/>
    <n v="23652132"/>
    <n v="11638532"/>
    <n v="322704524"/>
    <n v="322704524"/>
    <n v="51315332"/>
    <n v="2800800"/>
    <n v="1056400"/>
    <n v="498400"/>
    <n v="1980300"/>
    <n v="5109400"/>
    <n v="7606300"/>
    <n v="12013600"/>
    <n v="-311065992"/>
    <n v="0"/>
    <n v="271389192"/>
    <n v="48514532"/>
    <n v="1744400"/>
    <n v="558000"/>
    <n v="0"/>
    <n v="168681156371"/>
    <n v="206782577384.79999"/>
    <n v="189113513514.89999"/>
    <n v="117373705210.85001"/>
    <n v="40837357020"/>
    <n v="1234820052671.2"/>
    <n v="1234820052671.2"/>
    <n v="186885159531.25"/>
    <n v="11203200020.4"/>
    <n v="2773050047"/>
    <n v="1152968164.05"/>
    <d v="2025-09-30T00:00:00"/>
    <d v="2024-12-31T00:00:00"/>
    <d v="2023-12-31T00:00:00"/>
    <d v="2022-12-31T00:00:00"/>
    <d v="2021-12-31T00:00:00"/>
    <d v="2019-12-31T00:00:00"/>
    <d v="2019-12-31T00:00:00"/>
    <d v="2018-12-31T00:00:00"/>
    <d v="2017-12-31T00:00:00"/>
    <d v="2016-11-30T00:00:00"/>
    <d v="2015-12-31T00:00:00"/>
    <s v="Aggregate MFs"/>
    <s v="Aggregate MFs"/>
    <s v="Aggregate MFs"/>
    <s v="Aggregate MFs"/>
    <s v="Aggregate MFs"/>
    <s v="Shareholder Report"/>
    <s v="Shareholder Report"/>
    <s v="Aggregate MFs"/>
    <s v="Aggregate MFs"/>
    <s v="Aggregate MFs"/>
    <s v="Aggregate MFs"/>
    <s v="Investment Managers"/>
    <s v="Investment Advisor"/>
    <n v="1081231337419690"/>
    <s v="Deep Value"/>
    <s v="Low"/>
    <s v="Moderate"/>
    <s v="Low"/>
    <s v="Moderate"/>
    <s v="Low"/>
    <s v="Low"/>
    <s v="Moderate"/>
    <s v="Low"/>
    <s v="Low"/>
    <s v="Low"/>
    <s v="Moderate"/>
    <s v="London"/>
    <s v="United Kingdom"/>
  </r>
  <r>
    <n v="76"/>
    <s v="AEGON Investment Management B.V."/>
    <n v="4.1300000000000001E-4"/>
    <n v="5.7499999999999999E-4"/>
    <n v="5.6300000000000002E-4"/>
    <n v="5.0100000000000003E-4"/>
    <n v="2.1310000000000001E-3"/>
    <n v="1.348E-3"/>
    <n v="3.1000000000000001E-5"/>
    <n v="2.8E-5"/>
    <n v="3.1000000000000001E-5"/>
    <n v="7.2000000000000002E-5"/>
    <n v="8.2000000000000001E-5"/>
    <n v="38185146"/>
    <n v="53124761"/>
    <n v="52032727"/>
    <n v="46330434"/>
    <n v="196882394"/>
    <n v="124516512"/>
    <n v="2904730"/>
    <n v="2631248"/>
    <n v="2861568"/>
    <n v="6644160"/>
    <n v="7612784"/>
    <n v="-14939615"/>
    <n v="1092034"/>
    <n v="5702293"/>
    <n v="-150551960"/>
    <n v="72365882"/>
    <n v="121611782"/>
    <n v="273482"/>
    <n v="-230320"/>
    <n v="-3782592"/>
    <n v="-968624"/>
    <n v="-38284"/>
    <n v="184942250804.95001"/>
    <n v="302060210851.70001"/>
    <n v="314797998084.84998"/>
    <n v="229914778948.79999"/>
    <n v="689088379464.80005"/>
    <n v="393783468764.40002"/>
    <n v="11114870122"/>
    <n v="9582734518.75"/>
    <n v="11446272069.299999"/>
    <n v="16029035984.4"/>
    <n v="17610950794.650002"/>
    <d v="2025-04-30T00:00:00"/>
    <d v="2024-12-31T00:00:00"/>
    <d v="2023-12-31T00:00:00"/>
    <d v="2022-12-31T00:00:00"/>
    <d v="2021-11-30T00:00:00"/>
    <d v="2020-12-31T00:00:00"/>
    <d v="2019-12-31T00:00:00"/>
    <d v="2018-12-31T00:00:00"/>
    <d v="2017-12-31T00:00:00"/>
    <d v="2016-04-30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83119586089018"/>
    <s v="Core Growth"/>
    <s v="Low"/>
    <s v="Low"/>
    <s v="Low"/>
    <s v="Low"/>
    <s v="Low"/>
    <s v="Moderate"/>
    <s v="Low"/>
    <s v="Low"/>
    <s v="Low"/>
    <s v="Low"/>
    <s v="Low"/>
    <s v="The Hague"/>
    <s v="Netherlands"/>
  </r>
  <r>
    <n v="77"/>
    <s v="DWS Investments UK Limited"/>
    <n v="4.0499999999999998E-4"/>
    <n v="3.48E-4"/>
    <n v="4.0299999999999998E-4"/>
    <n v="3.1599999999999998E-4"/>
    <n v="4.6000000000000001E-4"/>
    <n v="2.12E-4"/>
    <n v="3.86E-4"/>
    <n v="3.6400000000000001E-4"/>
    <n v="3.8200000000000002E-4"/>
    <n v="2.8400000000000002E-4"/>
    <n v="3.79E-4"/>
    <n v="37388404"/>
    <n v="32138888"/>
    <n v="37264916"/>
    <n v="29166756"/>
    <n v="42517290"/>
    <n v="19547358"/>
    <n v="35651070"/>
    <n v="33660848"/>
    <n v="35308592"/>
    <n v="26229400"/>
    <n v="35046216"/>
    <n v="5249516"/>
    <n v="-5126028"/>
    <n v="8098160"/>
    <n v="-13350534"/>
    <n v="22969932"/>
    <n v="-16103712"/>
    <n v="1990222"/>
    <n v="-1647744"/>
    <n v="9079192"/>
    <n v="-8816816"/>
    <n v="-1610608"/>
    <n v="164459620161.20001"/>
    <n v="182737373422.20001"/>
    <n v="225452741640.29999"/>
    <n v="144740026729.10001"/>
    <n v="149184944325"/>
    <n v="61818519578.400002"/>
    <n v="136417846249.2"/>
    <n v="122589345218.75"/>
    <n v="141234367983.75"/>
    <n v="75901326319.800003"/>
    <n v="81073781016.149994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832273544714170"/>
    <s v="Growth"/>
    <s v="Low"/>
    <s v="Moderate"/>
    <s v="Moderate"/>
    <s v="Moderate"/>
    <s v="Moderate"/>
    <s v="High"/>
    <s v="Moderate"/>
    <s v="Moderate"/>
    <s v="Moderate"/>
    <s v="Low"/>
    <s v="Low"/>
    <s v="London"/>
    <s v="United Kingdom"/>
  </r>
  <r>
    <n v="78"/>
    <s v="T. Rowe Price Associates, Inc."/>
    <n v="3.9199999999999999E-4"/>
    <n v="4.5899999999999999E-4"/>
    <n v="9.7E-5"/>
    <n v="3.6999999999999998E-5"/>
    <n v="1.7799999999999999E-4"/>
    <n v="1.66E-4"/>
    <n v="1.22E-4"/>
    <n v="4.3999999999999999E-5"/>
    <m/>
    <n v="9.9999999999999995E-7"/>
    <n v="9.9999999999999995E-7"/>
    <n v="36254400"/>
    <n v="42382300"/>
    <n v="9001849"/>
    <n v="3404800"/>
    <n v="16437400"/>
    <n v="15346200"/>
    <n v="11305400"/>
    <n v="4020400"/>
    <m/>
    <n v="94800"/>
    <n v="94800"/>
    <n v="-6127900"/>
    <n v="33380451"/>
    <n v="5597049"/>
    <n v="-13032600"/>
    <n v="1091200"/>
    <n v="4040800"/>
    <n v="7285000"/>
    <n v="4020400"/>
    <m/>
    <n v="0"/>
    <n v="0"/>
    <n v="159471499541.20001"/>
    <n v="240980029597.10001"/>
    <n v="54461186349.800003"/>
    <n v="16896320055.450001"/>
    <n v="57675656340"/>
    <n v="48532357504.800003"/>
    <n v="39427582545"/>
    <n v="14875480048"/>
    <m/>
    <n v="201449992.80000001"/>
    <n v="201449992.80000001"/>
    <d v="2025-09-30T00:00:00"/>
    <d v="2024-12-31T00:00:00"/>
    <d v="2023-12-31T00:00:00"/>
    <d v="2022-12-31T00:00:00"/>
    <d v="2021-12-31T00:00:00"/>
    <d v="2020-12-31T00:00:00"/>
    <d v="2019-11-30T00:00:00"/>
    <d v="2018-11-30T00:00:00"/>
    <m/>
    <d v="2015-11-30T00:00:00"/>
    <d v="2015-11-30T00:00:00"/>
    <s v="Aggregate MFs"/>
    <s v="Aggregate MFs"/>
    <s v="Aggregate MFs"/>
    <s v="Aggregate MFs"/>
    <s v="Aggregate MFs"/>
    <s v="Aggregate MFs"/>
    <s v="Aggregate MFs"/>
    <s v="Aggregate MFs"/>
    <m/>
    <s v="Aggregate MFs"/>
    <s v="Aggregate MFs"/>
    <s v="Investment Managers"/>
    <s v="Investment Advisor"/>
    <n v="1.84699754170848E+16"/>
    <s v="GARP"/>
    <s v="Low"/>
    <s v="Low"/>
    <s v="Low"/>
    <s v="Low"/>
    <s v="Low"/>
    <s v="Low"/>
    <s v="Low"/>
    <s v="Low"/>
    <m/>
    <s v="Low"/>
    <s v="Low"/>
    <s v="Baltimore"/>
    <s v="United States"/>
  </r>
  <r>
    <n v="79"/>
    <s v="Nordea Funds Oy"/>
    <n v="3.59E-4"/>
    <n v="8.6700000000000004E-4"/>
    <n v="5.2099999999999998E-4"/>
    <n v="3.8400000000000001E-4"/>
    <n v="1.4799999999999999E-4"/>
    <n v="1.4899999999999999E-4"/>
    <n v="2.1000000000000001E-4"/>
    <m/>
    <n v="0"/>
    <n v="0"/>
    <n v="1.201E-3"/>
    <n v="33216200"/>
    <n v="80076900"/>
    <n v="48169500"/>
    <n v="35462000"/>
    <n v="13645600"/>
    <n v="13728406"/>
    <n v="19360000"/>
    <m/>
    <n v="0"/>
    <n v="0"/>
    <n v="110988000"/>
    <n v="-46860700"/>
    <n v="31907400"/>
    <n v="12707500"/>
    <n v="21816400"/>
    <n v="-82806"/>
    <n v="-5631594"/>
    <n v="19360000"/>
    <m/>
    <n v="0"/>
    <n v="-110988000"/>
    <n v="4097200"/>
    <n v="146107430474.60001"/>
    <n v="455306430513.09998"/>
    <n v="291425474735.04999"/>
    <n v="175980175097.64999"/>
    <n v="47879770290"/>
    <n v="43416083926.800003"/>
    <n v="74080511582"/>
    <m/>
    <n v="0"/>
    <n v="0"/>
    <n v="256752877839.89999"/>
    <d v="2025-09-30T00:00:00"/>
    <d v="2024-12-31T00:00:00"/>
    <d v="2023-12-31T00:00:00"/>
    <d v="2022-12-31T00:00:00"/>
    <d v="2021-12-31T00:00:00"/>
    <d v="2020-12-31T00:00:00"/>
    <d v="2019-12-31T00:00:00"/>
    <m/>
    <d v="2016-11-30T00:00:00"/>
    <d v="2016-11-30T00:00:00"/>
    <d v="2015-12-31T00:00:00"/>
    <s v="Aggregate MFs"/>
    <s v="Aggregate MFs"/>
    <s v="Aggregate MFs"/>
    <s v="Aggregate MFs"/>
    <s v="Aggregate MFs"/>
    <s v="Aggregate MFs"/>
    <s v="Aggregate MFs"/>
    <m/>
    <s v="Aggregate MFs"/>
    <s v="Aggregate MFs"/>
    <s v="Aggregate MFs"/>
    <s v="Investment Managers"/>
    <s v="Investment Advisor"/>
    <n v="3281603193269240"/>
    <s v="GARP"/>
    <s v="Low"/>
    <s v="Low"/>
    <s v="Low"/>
    <s v="Low"/>
    <s v="Low"/>
    <s v="Low"/>
    <s v="Low"/>
    <m/>
    <s v="Low"/>
    <s v="Low"/>
    <s v="Low"/>
    <s v="Helsinki"/>
    <s v="Finland"/>
  </r>
  <r>
    <n v="80"/>
    <s v="UBS Asset Management (UK) Ltd."/>
    <n v="3.5E-4"/>
    <n v="2.8400000000000002E-4"/>
    <n v="8.5599999999999999E-4"/>
    <n v="9.7999999999999997E-4"/>
    <n v="4.5380000000000004E-3"/>
    <n v="4.901E-3"/>
    <n v="1.691E-3"/>
    <n v="4.4450000000000002E-3"/>
    <n v="3.8210000000000002E-3"/>
    <n v="1.3359999999999999E-3"/>
    <n v="1.9000000000000001E-5"/>
    <n v="32335636"/>
    <n v="26199136"/>
    <n v="79059236"/>
    <n v="90530536"/>
    <n v="419355400"/>
    <n v="452828600"/>
    <n v="156220536"/>
    <n v="410710000"/>
    <n v="353032000"/>
    <n v="123459200"/>
    <n v="1778388"/>
    <n v="6136500"/>
    <n v="-52860100"/>
    <n v="-11471300"/>
    <n v="-328824864"/>
    <n v="-33473200"/>
    <n v="296608064"/>
    <n v="-254489464"/>
    <n v="57678000"/>
    <n v="229572800"/>
    <n v="121680812"/>
    <n v="1778388"/>
    <n v="142234111255.60001"/>
    <n v="148964746284.39999"/>
    <n v="478308377449.45001"/>
    <n v="449257785304.90002"/>
    <n v="1471436961780"/>
    <n v="1432070445920.3999"/>
    <n v="597773616824.80005"/>
    <n v="1495763563918.75"/>
    <n v="1412128000271.3501"/>
    <n v="357260060208.59998"/>
    <n v="4114014423.3000002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Shareholder Report"/>
    <s v="Shareholder Report"/>
    <s v="Aggregate MFs"/>
    <s v="Aggregate MFs"/>
    <s v="Aggregate MFs"/>
    <s v="Aggregate MFs"/>
    <s v="Aggregate MFs"/>
    <s v="Investment Managers"/>
    <s v="Investment Advisor"/>
    <n v="3423906268160490"/>
    <s v="Core Value"/>
    <s v="Low"/>
    <s v="Low"/>
    <s v="Low"/>
    <s v="Low"/>
    <s v="Low"/>
    <s v="Low"/>
    <s v="Low"/>
    <s v="Low"/>
    <s v="Low"/>
    <s v="Low"/>
    <s v="Low"/>
    <s v="London"/>
    <s v="United Kingdom"/>
  </r>
  <r>
    <n v="81"/>
    <s v="JPMorgan Asset Management (Asia Pacific) Limited"/>
    <n v="3.4900000000000003E-4"/>
    <n v="2.748E-3"/>
    <n v="4.6999999999999999E-4"/>
    <m/>
    <n v="0"/>
    <n v="0"/>
    <n v="7.7800000000000005E-4"/>
    <n v="2.1949999999999999E-3"/>
    <n v="1.06E-4"/>
    <n v="8.2000000000000001E-5"/>
    <n v="1.0399999999999999E-4"/>
    <n v="32240561"/>
    <n v="253934876"/>
    <n v="43418259"/>
    <m/>
    <n v="0"/>
    <n v="0"/>
    <n v="71849938"/>
    <n v="202780334"/>
    <n v="9839156"/>
    <n v="7559432"/>
    <n v="9595600"/>
    <n v="-221694315"/>
    <n v="210516617"/>
    <n v="43418259"/>
    <m/>
    <n v="0"/>
    <n v="-71849938"/>
    <n v="-130930396"/>
    <n v="192941178"/>
    <n v="2279724"/>
    <n v="-2036168"/>
    <n v="-435600"/>
    <n v="141815906771"/>
    <n v="1443839384090"/>
    <n v="262680466788.95001"/>
    <m/>
    <n v="0"/>
    <n v="0"/>
    <n v="274931826502.40002"/>
    <n v="738505113281.25"/>
    <n v="36404877198.480003"/>
    <n v="18000897516.299999"/>
    <n v="22197876460.650002"/>
    <d v="2025-09-30T00:00:00"/>
    <d v="2024-12-31T00:00:00"/>
    <d v="2023-12-31T00:00:00"/>
    <m/>
    <d v="2020-12-31T00:00:00"/>
    <d v="2020-12-31T00:00:00"/>
    <d v="2019-12-31T00:00:00"/>
    <d v="2018-12-31T00:00:00"/>
    <d v="2017-11-30T00:00:00"/>
    <d v="2016-06-30T00:00:00"/>
    <d v="2015-12-31T00:00:00"/>
    <s v="Aggregate MFs"/>
    <s v="Aggregate MFs"/>
    <s v="Aggregate MFs"/>
    <m/>
    <s v="Aggregate MFs"/>
    <s v="Aggregate MFs"/>
    <s v="Aggregate MFs"/>
    <s v="Aggregate MFs"/>
    <s v="Aggregate MFs"/>
    <s v="Aggregate MFs"/>
    <s v="Aggregate MFs"/>
    <s v="Investment Managers"/>
    <s v="Investment Advisor/Hedge Fund"/>
    <n v="668668617806748"/>
    <s v="GARP"/>
    <s v="Low"/>
    <s v="Moderate"/>
    <s v="Moderate"/>
    <m/>
    <s v="Moderate"/>
    <s v="Moderate"/>
    <s v="Moderate"/>
    <s v="Moderate"/>
    <s v="Moderate"/>
    <s v="Moderate"/>
    <s v="Moderate"/>
    <s v="Central (Hong Kong)"/>
    <s v="Hong Kong"/>
  </r>
  <r>
    <n v="82"/>
    <s v="Lion Global Investors Limited"/>
    <n v="3.4600000000000001E-4"/>
    <n v="3.1799999999999998E-4"/>
    <n v="4.37E-4"/>
    <n v="1.63E-4"/>
    <n v="1.3999999999999999E-4"/>
    <n v="1.05E-4"/>
    <n v="1.8200000000000001E-4"/>
    <n v="1.44E-4"/>
    <n v="1.7000000000000001E-4"/>
    <n v="1.34E-4"/>
    <n v="1.08E-4"/>
    <n v="31945060"/>
    <n v="29419860"/>
    <n v="40348513"/>
    <n v="15025070"/>
    <n v="12952436"/>
    <n v="9710492"/>
    <n v="16828872"/>
    <n v="13339316"/>
    <n v="15743778"/>
    <n v="12372644"/>
    <n v="9979328"/>
    <n v="2525200"/>
    <n v="-10928653"/>
    <n v="25323443"/>
    <n v="2072634"/>
    <n v="3241944"/>
    <n v="-7118380"/>
    <n v="3489556"/>
    <n v="-2404462"/>
    <n v="3371134"/>
    <n v="2393316"/>
    <n v="-54800"/>
    <n v="156190222992"/>
    <n v="167277347605.70001"/>
    <n v="244108503477.54999"/>
    <n v="74561909973.649994"/>
    <n v="45447591832.5"/>
    <n v="30709430856"/>
    <n v="64395219416.400002"/>
    <n v="48580416431.25"/>
    <n v="62975112061.199997"/>
    <n v="35803338530.099998"/>
    <n v="23085569393.099998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5703061073447.602"/>
    <s v="Aggressive Growth"/>
    <s v="Low"/>
    <s v="Moderate"/>
    <s v="Low"/>
    <s v="Low"/>
    <s v="Low"/>
    <s v="Low"/>
    <s v="Moderate"/>
    <s v="Moderate"/>
    <s v="Moderate"/>
    <s v="Moderate"/>
    <s v="Moderate"/>
    <s v="Singapore"/>
    <s v="Singapore"/>
  </r>
  <r>
    <n v="83"/>
    <s v="Newton Investment Management North America, LLC"/>
    <n v="3.2000000000000003E-4"/>
    <n v="9.2000000000000003E-4"/>
    <n v="1.7E-5"/>
    <n v="1.8E-5"/>
    <m/>
    <n v="0"/>
    <n v="0"/>
    <m/>
    <m/>
    <m/>
    <m/>
    <n v="29612500"/>
    <n v="85039100"/>
    <n v="1551200"/>
    <n v="1684400"/>
    <m/>
    <n v="0"/>
    <n v="0"/>
    <m/>
    <m/>
    <m/>
    <m/>
    <n v="-55426600"/>
    <n v="83487900"/>
    <n v="-133200"/>
    <n v="1684400"/>
    <m/>
    <n v="0"/>
    <n v="0"/>
    <m/>
    <m/>
    <m/>
    <m/>
    <n v="130255907787.60001"/>
    <n v="483520829097.40002"/>
    <n v="9384759978.3999996"/>
    <n v="8358835060.9499998"/>
    <m/>
    <n v="0"/>
    <n v="0"/>
    <m/>
    <m/>
    <m/>
    <m/>
    <d v="2025-09-30T00:00:00"/>
    <d v="2024-12-31T00:00:00"/>
    <d v="2023-12-31T00:00:00"/>
    <d v="2022-12-31T00:00:00"/>
    <m/>
    <d v="2019-12-31T00:00:00"/>
    <d v="2019-12-31T00:00:00"/>
    <m/>
    <m/>
    <m/>
    <m/>
    <s v="Aggregate MFs"/>
    <s v="Aggregate MFs"/>
    <s v="Aggregate MFs"/>
    <s v="Aggregate MFs"/>
    <m/>
    <s v="Aggregate MFs"/>
    <s v="Aggregate MFs"/>
    <m/>
    <m/>
    <m/>
    <m/>
    <s v="Investment Managers"/>
    <s v="Investment Advisor/Hedge Fund"/>
    <n v="415454436566123"/>
    <s v="Core Value"/>
    <s v="Moderate"/>
    <s v="Moderate"/>
    <s v="Moderate"/>
    <s v="Moderate"/>
    <m/>
    <s v="Moderate"/>
    <s v="High"/>
    <m/>
    <m/>
    <m/>
    <m/>
    <s v="Boston"/>
    <s v="United States"/>
  </r>
  <r>
    <n v="84"/>
    <s v="Amundi Japan Ltd."/>
    <n v="3.2000000000000003E-4"/>
    <n v="2.9799999999999998E-4"/>
    <n v="2.9999999999999997E-4"/>
    <n v="2.8299999999999999E-4"/>
    <n v="2.9100000000000003E-4"/>
    <n v="3.1100000000000002E-4"/>
    <n v="2.5000000000000001E-4"/>
    <n v="1.5100000000000001E-4"/>
    <m/>
    <m/>
    <m/>
    <n v="29530400"/>
    <n v="27558400"/>
    <n v="27685000"/>
    <n v="26143000"/>
    <n v="26929000"/>
    <n v="28736200"/>
    <n v="23087800"/>
    <n v="13947400"/>
    <m/>
    <m/>
    <m/>
    <n v="1972000"/>
    <n v="-126600"/>
    <n v="1542000"/>
    <n v="-786000"/>
    <n v="-1807200"/>
    <n v="5648400"/>
    <n v="9140400"/>
    <n v="13947400"/>
    <m/>
    <m/>
    <m/>
    <n v="129894776131.39999"/>
    <n v="156693337721.60001"/>
    <n v="167494249894.04999"/>
    <n v="129734637664.5"/>
    <n v="94488650767.5"/>
    <n v="90878232463.199997"/>
    <n v="81095897432.800003"/>
    <n v="50794995868.75"/>
    <m/>
    <m/>
    <m/>
    <d v="2025-09-30T00:00:00"/>
    <d v="2024-12-31T00:00:00"/>
    <d v="2023-12-31T00:00:00"/>
    <d v="2022-12-31T00:00:00"/>
    <d v="2021-12-31T00:00:00"/>
    <d v="2020-12-31T00:00:00"/>
    <d v="2019-10-31T00:00:00"/>
    <d v="2018-12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200208234117782"/>
    <s v="Growth"/>
    <s v="Low"/>
    <s v="Low"/>
    <s v="Moderate"/>
    <s v="Low"/>
    <s v="Low"/>
    <s v="Low"/>
    <s v="Low"/>
    <s v="Moderate"/>
    <m/>
    <m/>
    <m/>
    <s v="Chiyoda-ku (Tokyo)"/>
    <s v="Japan"/>
  </r>
  <r>
    <n v="85"/>
    <s v="Old Mutual Investment Group (South Africa) (Pty) Limited"/>
    <n v="3.0400000000000002E-4"/>
    <m/>
    <m/>
    <m/>
    <m/>
    <m/>
    <m/>
    <m/>
    <m/>
    <m/>
    <m/>
    <n v="28118900"/>
    <m/>
    <m/>
    <m/>
    <m/>
    <m/>
    <m/>
    <m/>
    <m/>
    <m/>
    <m/>
    <n v="28118900"/>
    <m/>
    <m/>
    <m/>
    <m/>
    <m/>
    <m/>
    <m/>
    <m/>
    <m/>
    <m/>
    <n v="123686039453.2"/>
    <m/>
    <m/>
    <m/>
    <m/>
    <m/>
    <m/>
    <m/>
    <m/>
    <m/>
    <m/>
    <d v="2025-09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/Hedge Fund"/>
    <n v="227032398877014"/>
    <s v="GARP"/>
    <s v="Low"/>
    <m/>
    <m/>
    <m/>
    <m/>
    <m/>
    <m/>
    <m/>
    <m/>
    <m/>
    <m/>
    <s v="Pinelands"/>
    <s v="South Africa"/>
  </r>
  <r>
    <n v="86"/>
    <s v="Baring Asset Management Ltd."/>
    <n v="3.0400000000000002E-4"/>
    <n v="1.01E-4"/>
    <n v="0"/>
    <n v="0"/>
    <m/>
    <m/>
    <m/>
    <m/>
    <m/>
    <n v="0"/>
    <n v="0"/>
    <n v="28102321"/>
    <n v="9352300"/>
    <n v="0"/>
    <n v="0"/>
    <m/>
    <m/>
    <m/>
    <m/>
    <m/>
    <n v="0"/>
    <n v="0"/>
    <n v="18750021"/>
    <n v="9352300"/>
    <n v="0"/>
    <n v="0"/>
    <m/>
    <m/>
    <m/>
    <m/>
    <m/>
    <n v="0"/>
    <n v="0"/>
    <n v="123613113801.8"/>
    <n v="53175913726.800003"/>
    <n v="0"/>
    <n v="0"/>
    <m/>
    <m/>
    <m/>
    <m/>
    <m/>
    <n v="0"/>
    <n v="0"/>
    <d v="2025-09-30T00:00:00"/>
    <d v="2024-12-31T00:00:00"/>
    <d v="2023-10-31T00:00:00"/>
    <d v="2022-12-31T00:00:00"/>
    <m/>
    <m/>
    <m/>
    <m/>
    <m/>
    <d v="2015-11-30T00:00:00"/>
    <d v="2015-11-30T00:00:00"/>
    <s v="Aggregate MFs"/>
    <s v="Aggregate MFs"/>
    <s v="Aggregate MFs"/>
    <s v="Aggregate MFs"/>
    <m/>
    <m/>
    <m/>
    <m/>
    <m/>
    <s v="Aggregate MFs"/>
    <s v="Aggregate MFs"/>
    <s v="Investment Managers"/>
    <s v="Investment Advisor"/>
    <n v="104957876875321"/>
    <s v="GARP"/>
    <s v="Low"/>
    <s v="Moderate"/>
    <s v="Moderate"/>
    <s v="Moderate"/>
    <m/>
    <m/>
    <m/>
    <m/>
    <m/>
    <s v="Moderate"/>
    <s v="Moderate"/>
    <s v="London"/>
    <s v="United Kingdom"/>
  </r>
  <r>
    <n v="87"/>
    <s v="Eastspring Investments (Singapore) Limited"/>
    <n v="2.9999999999999997E-4"/>
    <n v="3.0699999999999998E-4"/>
    <n v="1.9900000000000001E-4"/>
    <n v="2.1599999999999999E-4"/>
    <n v="6.0000000000000002E-5"/>
    <n v="7.8999999999999996E-5"/>
    <n v="7.2000000000000002E-5"/>
    <n v="3.3E-4"/>
    <n v="4.17E-4"/>
    <n v="5.6300000000000002E-4"/>
    <n v="9.2500000000000004E-4"/>
    <n v="27700726"/>
    <n v="28354978"/>
    <n v="18410000"/>
    <n v="19969600"/>
    <n v="5519600"/>
    <n v="7257000"/>
    <n v="6689400"/>
    <n v="30514720"/>
    <n v="38506520"/>
    <n v="52010920"/>
    <n v="85495720"/>
    <n v="-654252"/>
    <n v="9944978"/>
    <n v="-1559600"/>
    <n v="14450000"/>
    <n v="-1737400"/>
    <n v="567600"/>
    <n v="-23825320"/>
    <n v="-7991800"/>
    <n v="-13504400"/>
    <n v="-33484800"/>
    <n v="5856000"/>
    <n v="121846626013"/>
    <n v="161222572480.89999"/>
    <n v="111380499893.14999"/>
    <n v="99099140049.25"/>
    <n v="19367208487.5"/>
    <n v="22950262483.200001"/>
    <n v="25596806441.599998"/>
    <n v="111131470725"/>
    <n v="154026079965.95001"/>
    <n v="150506599816.5"/>
    <n v="197780590218.60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74994558886936"/>
    <s v="Core Value"/>
    <s v="Low"/>
    <s v="Moderate"/>
    <s v="Moderate"/>
    <s v="Moderate"/>
    <s v="Moderate"/>
    <s v="Moderate"/>
    <s v="Moderate"/>
    <s v="Low"/>
    <s v="Low"/>
    <s v="Moderate"/>
    <s v="Moderate"/>
    <s v="Singapore"/>
    <s v="Singapore"/>
  </r>
  <r>
    <n v="88"/>
    <s v="J O Hambro Capital Management Limited"/>
    <n v="2.92E-4"/>
    <n v="3.9399999999999998E-4"/>
    <n v="1.7440000000000001E-3"/>
    <n v="2.1979999999999999E-3"/>
    <m/>
    <m/>
    <m/>
    <m/>
    <m/>
    <n v="0"/>
    <n v="0"/>
    <n v="26983816"/>
    <n v="36360676"/>
    <n v="161153999"/>
    <n v="203105418"/>
    <m/>
    <m/>
    <m/>
    <m/>
    <m/>
    <n v="0"/>
    <n v="0"/>
    <n v="-9376860"/>
    <n v="-124793323"/>
    <n v="-41951419"/>
    <n v="203105418"/>
    <m/>
    <m/>
    <m/>
    <m/>
    <m/>
    <n v="0"/>
    <n v="0"/>
    <n v="118693168400.8"/>
    <n v="206741889314.60001"/>
    <n v="974981693178.05005"/>
    <n v="1007910637675.7"/>
    <m/>
    <m/>
    <m/>
    <m/>
    <m/>
    <n v="0"/>
    <n v="0"/>
    <d v="2025-09-30T00:00:00"/>
    <d v="2024-12-31T00:00:00"/>
    <d v="2023-12-31T00:00:00"/>
    <d v="2022-12-31T00:00:00"/>
    <m/>
    <m/>
    <m/>
    <m/>
    <m/>
    <d v="2015-08-31T00:00:00"/>
    <d v="2015-08-31T00:00:00"/>
    <s v="Aggregate MFs"/>
    <s v="Aggregate MFs"/>
    <s v="Aggregate MFs"/>
    <s v="Aggregate MFs"/>
    <m/>
    <m/>
    <m/>
    <m/>
    <m/>
    <s v="Aggregate MFs"/>
    <s v="Aggregate MFs"/>
    <s v="Investment Managers"/>
    <s v="Investment Advisor/Hedge Fund"/>
    <n v="273857635692937"/>
    <s v="Core Value"/>
    <s v="Moderate"/>
    <s v="Moderate"/>
    <s v="Moderate"/>
    <s v="Moderate"/>
    <m/>
    <m/>
    <m/>
    <m/>
    <m/>
    <s v="Moderate"/>
    <s v="High"/>
    <s v="London"/>
    <s v="United Kingdom"/>
  </r>
  <r>
    <n v="89"/>
    <s v="Barings (U.K.) Limited"/>
    <n v="2.8800000000000001E-4"/>
    <n v="1.01E-4"/>
    <m/>
    <m/>
    <m/>
    <m/>
    <m/>
    <m/>
    <m/>
    <m/>
    <m/>
    <n v="26650900"/>
    <n v="9352300"/>
    <m/>
    <m/>
    <m/>
    <m/>
    <m/>
    <m/>
    <m/>
    <m/>
    <m/>
    <n v="17298600"/>
    <n v="9352300"/>
    <m/>
    <m/>
    <m/>
    <m/>
    <m/>
    <m/>
    <m/>
    <m/>
    <m/>
    <n v="120672380150"/>
    <n v="53175913726.800003"/>
    <m/>
    <m/>
    <m/>
    <m/>
    <m/>
    <m/>
    <m/>
    <m/>
    <m/>
    <d v="2025-07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5804573061006"/>
    <m/>
    <s v="Low"/>
    <s v="Moderate"/>
    <m/>
    <m/>
    <m/>
    <m/>
    <m/>
    <m/>
    <m/>
    <m/>
    <m/>
    <s v="London"/>
    <s v="United Kingdom"/>
  </r>
  <r>
    <n v="90"/>
    <s v="WCM Investment Management"/>
    <n v="2.8800000000000001E-4"/>
    <n v="3.5300000000000002E-4"/>
    <n v="5.2400000000000005E-4"/>
    <n v="2.3E-5"/>
    <n v="0"/>
    <n v="0"/>
    <n v="5.71E-4"/>
    <m/>
    <m/>
    <m/>
    <n v="3.0000000000000001E-6"/>
    <n v="26578900"/>
    <n v="32606300"/>
    <n v="48398300"/>
    <n v="2149434"/>
    <n v="0"/>
    <n v="0"/>
    <n v="52753124"/>
    <m/>
    <m/>
    <m/>
    <n v="234000"/>
    <n v="-6027400"/>
    <n v="-15792000"/>
    <n v="46248866"/>
    <n v="2149434"/>
    <n v="0"/>
    <n v="-52753124"/>
    <n v="52753124"/>
    <m/>
    <m/>
    <m/>
    <n v="0"/>
    <n v="126833811268.5"/>
    <n v="185395014876.29999"/>
    <n v="292809714774.5"/>
    <n v="10666566244.4"/>
    <n v="0"/>
    <n v="0"/>
    <n v="201858389008"/>
    <m/>
    <m/>
    <m/>
    <n v="599625049.5"/>
    <d v="2025-08-31T00:00:00"/>
    <d v="2024-12-31T00:00:00"/>
    <d v="2023-12-31T00:00:00"/>
    <d v="2022-12-31T00:00:00"/>
    <d v="2020-12-31T00:00:00"/>
    <d v="2020-12-31T00:00:00"/>
    <d v="2019-12-31T00:00:00"/>
    <m/>
    <m/>
    <m/>
    <d v="2014-07-31T00:00:00"/>
    <s v="Aggregate MFs"/>
    <s v="Aggregate MFs"/>
    <s v="Aggregate MFs"/>
    <s v="Aggregate MFs"/>
    <s v="Aggregate MFs"/>
    <s v="Aggregate MFs"/>
    <s v="Aggregate MFs"/>
    <m/>
    <m/>
    <m/>
    <s v="Aggregate MFs"/>
    <s v="Investment Managers"/>
    <s v="Investment Advisor"/>
    <n v="1142973195891440"/>
    <s v="Growth"/>
    <s v="Low"/>
    <s v="Low"/>
    <s v="Low"/>
    <s v="Low"/>
    <s v="Low"/>
    <s v="Moderate"/>
    <s v="Moderate"/>
    <m/>
    <m/>
    <m/>
    <s v="Moderate"/>
    <s v="Laguna Beach"/>
    <s v="United States"/>
  </r>
  <r>
    <n v="91"/>
    <s v="Legal &amp; General Investment Management Ltd."/>
    <n v="2.8400000000000002E-4"/>
    <n v="2.7799999999999998E-4"/>
    <n v="2.33E-4"/>
    <n v="1.93E-4"/>
    <n v="1.7799999999999999E-4"/>
    <n v="1.56E-4"/>
    <n v="9.6000000000000002E-5"/>
    <n v="1.18E-4"/>
    <n v="1.22E-4"/>
    <n v="1.07E-4"/>
    <n v="1.07E-4"/>
    <n v="26208054"/>
    <n v="25718454"/>
    <n v="21537494"/>
    <n v="17805394"/>
    <n v="16407794"/>
    <n v="14382660"/>
    <n v="8849460"/>
    <n v="10936860"/>
    <n v="11257460"/>
    <n v="9865744"/>
    <n v="9881744"/>
    <n v="489600"/>
    <n v="4180960"/>
    <n v="3732100"/>
    <n v="1397600"/>
    <n v="2025134"/>
    <n v="5533200"/>
    <n v="-2087400"/>
    <n v="-320600"/>
    <n v="1391716"/>
    <n v="-16000"/>
    <n v="0"/>
    <n v="115280839711.8"/>
    <n v="146231653510.60001"/>
    <n v="130301838566.14999"/>
    <n v="88359267791.300003"/>
    <n v="57571774552.5"/>
    <n v="45485162236.800003"/>
    <n v="33862217080"/>
    <n v="39830918868.75"/>
    <n v="45029839945.949997"/>
    <n v="28548996753.299999"/>
    <n v="22859824578.900002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8496992525690490"/>
    <s v="Index"/>
    <s v="Low"/>
    <s v="Low"/>
    <s v="Low"/>
    <s v="Low"/>
    <s v="Low"/>
    <s v="Low"/>
    <s v="Low"/>
    <s v="Low"/>
    <s v="Low"/>
    <s v="Low"/>
    <s v="Low"/>
    <s v="London"/>
    <s v="United Kingdom"/>
  </r>
  <r>
    <n v="92"/>
    <s v="Pacific Asset Management LLP"/>
    <n v="2.6800000000000001E-4"/>
    <n v="2.6800000000000001E-4"/>
    <m/>
    <m/>
    <m/>
    <m/>
    <m/>
    <m/>
    <m/>
    <m/>
    <m/>
    <n v="24756300"/>
    <n v="24756300"/>
    <m/>
    <m/>
    <m/>
    <m/>
    <m/>
    <m/>
    <m/>
    <m/>
    <m/>
    <n v="0"/>
    <n v="24756300"/>
    <m/>
    <m/>
    <m/>
    <m/>
    <m/>
    <m/>
    <m/>
    <m/>
    <m/>
    <n v="152251245164.5"/>
    <n v="152251245164.5"/>
    <m/>
    <m/>
    <m/>
    <m/>
    <m/>
    <m/>
    <m/>
    <m/>
    <m/>
    <d v="2024-06-30T00:00:00"/>
    <d v="2024-06-30T00:00:00"/>
    <m/>
    <m/>
    <m/>
    <m/>
    <m/>
    <m/>
    <m/>
    <m/>
    <m/>
    <s v="Aggregate MFs"/>
    <s v="Aggregate MFs"/>
    <m/>
    <m/>
    <m/>
    <m/>
    <m/>
    <m/>
    <m/>
    <m/>
    <m/>
    <s v="Investment Managers"/>
    <s v="Hedge Fund"/>
    <n v="61615992817540.797"/>
    <s v="Hedge Fund"/>
    <s v="Low"/>
    <s v="Low"/>
    <m/>
    <m/>
    <m/>
    <m/>
    <m/>
    <m/>
    <m/>
    <m/>
    <m/>
    <s v="London"/>
    <s v="United Kingdom"/>
  </r>
  <r>
    <n v="93"/>
    <s v="Ashmore Investment Management Limited"/>
    <n v="2.63E-4"/>
    <n v="2.7099999999999997E-4"/>
    <n v="5.1E-5"/>
    <n v="1.4E-5"/>
    <n v="1.5E-5"/>
    <n v="1.7E-5"/>
    <n v="0"/>
    <n v="2.3E-5"/>
    <n v="4.8999999999999998E-5"/>
    <n v="3.4E-5"/>
    <n v="0"/>
    <n v="24288500"/>
    <n v="25052800"/>
    <n v="4736700"/>
    <n v="1331600"/>
    <n v="1347600"/>
    <n v="1537600"/>
    <n v="0"/>
    <n v="2106600"/>
    <n v="4538000"/>
    <n v="3144800"/>
    <n v="0"/>
    <n v="-764300"/>
    <n v="20316100"/>
    <n v="3405100"/>
    <n v="-16000"/>
    <n v="-190000"/>
    <n v="1537600"/>
    <n v="-2106600"/>
    <n v="-2431400"/>
    <n v="1393200"/>
    <n v="3144800"/>
    <n v="0"/>
    <n v="106837336131.39999"/>
    <n v="142446834829.70001"/>
    <n v="28657034912.049999"/>
    <n v="6608065027.3000002"/>
    <n v="4728467632.5"/>
    <n v="4862659932"/>
    <n v="0"/>
    <n v="7215104992"/>
    <n v="15996449952"/>
    <n v="8255099968.5"/>
    <n v="0"/>
    <d v="2025-09-30T00:00:00"/>
    <d v="2024-12-31T00:00:00"/>
    <d v="2023-12-31T00:00:00"/>
    <d v="2022-12-31T00:00:00"/>
    <d v="2021-12-31T00:00:00"/>
    <d v="2020-12-31T00:00:00"/>
    <d v="2019-04-30T00:00:00"/>
    <d v="2018-10-31T00:00:00"/>
    <d v="2017-10-31T00:00:00"/>
    <d v="2016-11-30T00:00:00"/>
    <d v="2015-04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9244401194550.801"/>
    <s v="Core Value"/>
    <s v="Low"/>
    <s v="Moderate"/>
    <s v="High"/>
    <s v="Moderate"/>
    <s v="High"/>
    <s v="High"/>
    <s v="Moderate"/>
    <s v="Low"/>
    <s v="Low"/>
    <s v="Moderate"/>
    <s v="High"/>
    <s v="London"/>
    <s v="United Kingdom"/>
  </r>
  <r>
    <n v="94"/>
    <s v="Carne Global Fund Managers (Ireland) Limited"/>
    <n v="2.63E-4"/>
    <n v="8.7000000000000001E-5"/>
    <m/>
    <n v="1.9000000000000001E-4"/>
    <n v="1.9000000000000001E-4"/>
    <m/>
    <m/>
    <m/>
    <m/>
    <m/>
    <m/>
    <n v="24275353"/>
    <n v="8005853"/>
    <m/>
    <n v="17578800"/>
    <n v="17578800"/>
    <m/>
    <m/>
    <m/>
    <m/>
    <m/>
    <m/>
    <n v="16269500"/>
    <n v="8005853"/>
    <m/>
    <n v="0"/>
    <n v="17578800"/>
    <m/>
    <m/>
    <m/>
    <m/>
    <m/>
    <m/>
    <n v="106779506605.8"/>
    <n v="45520198083"/>
    <m/>
    <n v="61525800094.400002"/>
    <n v="61525800094.400002"/>
    <m/>
    <m/>
    <m/>
    <m/>
    <m/>
    <m/>
    <d v="2025-09-30T00:00:00"/>
    <d v="2024-12-31T00:00:00"/>
    <m/>
    <d v="2021-11-30T00:00:00"/>
    <d v="2021-11-30T00:00:00"/>
    <m/>
    <m/>
    <m/>
    <m/>
    <m/>
    <m/>
    <s v="Aggregate MFs"/>
    <s v="Aggregate MFs"/>
    <m/>
    <s v="Aggregate MFs"/>
    <s v="Aggregate MFs"/>
    <m/>
    <m/>
    <m/>
    <m/>
    <m/>
    <m/>
    <s v="Investment Managers"/>
    <s v="Investment Advisor"/>
    <n v="144480741689926"/>
    <m/>
    <s v="Moderate"/>
    <s v="High"/>
    <m/>
    <s v="Low"/>
    <s v="Low"/>
    <m/>
    <m/>
    <m/>
    <m/>
    <m/>
    <m/>
    <s v="Dublin"/>
    <s v="Ireland"/>
  </r>
  <r>
    <n v="95"/>
    <s v="Danske Bank Asset Management"/>
    <n v="2.6200000000000003E-4"/>
    <n v="1.6100000000000001E-4"/>
    <n v="1.4200000000000001E-4"/>
    <n v="2.81E-4"/>
    <n v="4.26E-4"/>
    <n v="3.5799999999999997E-4"/>
    <n v="7.7000000000000001E-5"/>
    <n v="1.4E-5"/>
    <n v="3.0000000000000001E-6"/>
    <n v="1.9999999999999999E-6"/>
    <n v="3.0000000000000001E-6"/>
    <n v="24216401"/>
    <n v="14839911"/>
    <n v="13075884"/>
    <n v="25976058"/>
    <n v="39360658"/>
    <n v="33094692"/>
    <n v="7085182"/>
    <n v="1255688"/>
    <n v="264000"/>
    <n v="198000"/>
    <n v="284000"/>
    <n v="9376490"/>
    <n v="1764027"/>
    <n v="-12900174"/>
    <n v="-13384600"/>
    <n v="6265966"/>
    <n v="26009510"/>
    <n v="5829494"/>
    <n v="991688"/>
    <n v="66000"/>
    <n v="-86000"/>
    <n v="0"/>
    <n v="115560028202.85001"/>
    <n v="84377728291"/>
    <n v="79109098159.949997"/>
    <n v="128906187893.45"/>
    <n v="138108933465"/>
    <n v="104661963291.60001"/>
    <n v="27111255462.400002"/>
    <n v="4573086550"/>
    <n v="976799976.60000002"/>
    <n v="572962479.29999995"/>
    <n v="603499986.60000002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1-30T00:00:00"/>
    <d v="2016-12-31T00:00:00"/>
    <d v="2015-11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746020122320302"/>
    <s v="Core Growth"/>
    <s v="Low"/>
    <s v="Moderate"/>
    <s v="Low"/>
    <s v="Low"/>
    <s v="Low"/>
    <s v="Moderate"/>
    <s v="Moderate"/>
    <s v="Moderate"/>
    <s v="Moderate"/>
    <s v="Moderate"/>
    <s v="Moderate"/>
    <s v="Lyngby"/>
    <s v="Denmark"/>
  </r>
  <r>
    <n v="96"/>
    <s v="Value Partners Ltd."/>
    <n v="2.5099999999999998E-4"/>
    <n v="2.12E-4"/>
    <n v="2.8400000000000002E-4"/>
    <n v="4.3000000000000002E-5"/>
    <n v="0"/>
    <m/>
    <m/>
    <n v="0"/>
    <n v="0"/>
    <n v="8.1800000000000004E-4"/>
    <n v="1.389E-3"/>
    <n v="23197800"/>
    <n v="19581200"/>
    <n v="26286400"/>
    <n v="4000000"/>
    <n v="0"/>
    <m/>
    <m/>
    <n v="0"/>
    <n v="0"/>
    <n v="75578800"/>
    <n v="128363200"/>
    <n v="3616600"/>
    <n v="-6705200"/>
    <n v="22286400"/>
    <n v="4000000"/>
    <n v="0"/>
    <m/>
    <m/>
    <n v="0"/>
    <n v="-75578800"/>
    <n v="-52784400"/>
    <n v="124670000"/>
    <n v="113421904849.5"/>
    <n v="111336056681"/>
    <n v="159032719906.29999"/>
    <n v="19849999984.099998"/>
    <n v="0"/>
    <m/>
    <m/>
    <n v="0"/>
    <n v="0"/>
    <n v="218706152581.79999"/>
    <n v="296947606934.25"/>
    <d v="2025-06-30T00:00:00"/>
    <d v="2024-12-31T00:00:00"/>
    <d v="2023-12-31T00:00:00"/>
    <d v="2022-12-31T00:00:00"/>
    <d v="2021-03-31T00:00:00"/>
    <m/>
    <m/>
    <d v="2017-06-30T00:00:00"/>
    <d v="2017-06-30T00:00:00"/>
    <d v="2016-12-31T00:00:00"/>
    <d v="2015-12-31T00:00:00"/>
    <s v="Aggregate MFs"/>
    <s v="Aggregate MFs"/>
    <s v="Aggregate MFs"/>
    <s v="Aggregate MFs"/>
    <s v="Aggregate MFs"/>
    <m/>
    <m/>
    <s v="Aggregate MFs"/>
    <s v="Aggregate MFs"/>
    <s v="Aggregate MFs"/>
    <s v="Aggregate MFs"/>
    <s v="Investment Managers"/>
    <s v="Investment Advisor/Hedge Fund"/>
    <n v="31201982021144.398"/>
    <s v="Core Value"/>
    <s v="Low"/>
    <s v="Moderate"/>
    <s v="Moderate"/>
    <s v="Moderate"/>
    <s v="High"/>
    <m/>
    <m/>
    <s v="Moderate"/>
    <s v="Moderate"/>
    <s v="Moderate"/>
    <s v="Moderate"/>
    <s v="Central (Hong Kong)"/>
    <s v="Hong Kong"/>
  </r>
  <r>
    <n v="97"/>
    <s v="Zaini (Zulkifli)"/>
    <n v="2.4699999999999999E-4"/>
    <m/>
    <m/>
    <m/>
    <m/>
    <m/>
    <m/>
    <m/>
    <m/>
    <m/>
    <m/>
    <n v="22850900"/>
    <m/>
    <m/>
    <m/>
    <m/>
    <m/>
    <m/>
    <m/>
    <m/>
    <m/>
    <m/>
    <n v="22850900"/>
    <m/>
    <m/>
    <m/>
    <m/>
    <m/>
    <m/>
    <m/>
    <m/>
    <m/>
    <m/>
    <n v="100513793893.8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m/>
    <m/>
    <m/>
    <m/>
    <m/>
    <m/>
    <m/>
    <m/>
    <m/>
    <m/>
    <m/>
    <m/>
    <m/>
    <m/>
    <s v="Indonesia"/>
  </r>
  <r>
    <n v="98"/>
    <s v="Storebrand Kapitalforvaltning AS"/>
    <n v="2.4600000000000002E-4"/>
    <n v="2.7799999999999998E-4"/>
    <n v="2.7300000000000002E-4"/>
    <n v="2.4899999999999998E-4"/>
    <n v="1.8100000000000001E-4"/>
    <n v="1.3799999999999999E-4"/>
    <n v="1.4300000000000001E-4"/>
    <n v="1.8900000000000001E-4"/>
    <n v="2.22E-4"/>
    <n v="2.2599999999999999E-4"/>
    <n v="2.2599999999999999E-4"/>
    <n v="22743224"/>
    <n v="25724024"/>
    <n v="25181224"/>
    <n v="23022424"/>
    <n v="16750424"/>
    <n v="12731824"/>
    <n v="13174624"/>
    <n v="17479424"/>
    <n v="20537424"/>
    <n v="20866424"/>
    <n v="20874424"/>
    <n v="-2980800"/>
    <n v="542800"/>
    <n v="2158800"/>
    <n v="6272000"/>
    <n v="4018600"/>
    <n v="-442800"/>
    <n v="-4304800"/>
    <n v="-3058000"/>
    <n v="-329000"/>
    <n v="-8000"/>
    <n v="0"/>
    <n v="100040161755.8"/>
    <n v="146263323779.39999"/>
    <n v="152346405072.79999"/>
    <n v="114248779152.2"/>
    <n v="58773996892.5"/>
    <n v="40264393291.199997"/>
    <n v="50412339190.800003"/>
    <n v="63658263800"/>
    <n v="82149696023.449997"/>
    <n v="60382214423.400002"/>
    <n v="48289620756.7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933299473304782"/>
    <s v="GARP"/>
    <s v="Low"/>
    <s v="Low"/>
    <s v="Low"/>
    <s v="Low"/>
    <s v="Low"/>
    <s v="Low"/>
    <s v="Low"/>
    <s v="Low"/>
    <s v="Low"/>
    <s v="Low"/>
    <s v="Low"/>
    <s v="Lysaker"/>
    <s v="Norway"/>
  </r>
  <r>
    <n v="99"/>
    <s v="Lombard Odier (Singapore) Ltd."/>
    <n v="2.42E-4"/>
    <n v="9.6000000000000002E-5"/>
    <n v="0"/>
    <n v="0"/>
    <m/>
    <m/>
    <m/>
    <m/>
    <m/>
    <m/>
    <m/>
    <n v="22355615"/>
    <n v="8868900"/>
    <n v="0"/>
    <n v="0"/>
    <m/>
    <m/>
    <m/>
    <m/>
    <m/>
    <m/>
    <m/>
    <n v="13486715"/>
    <n v="8868900"/>
    <n v="0"/>
    <n v="0"/>
    <m/>
    <m/>
    <m/>
    <m/>
    <m/>
    <m/>
    <m/>
    <n v="98335193849.199997"/>
    <n v="50427366668.900002"/>
    <n v="0"/>
    <n v="0"/>
    <m/>
    <m/>
    <m/>
    <m/>
    <m/>
    <m/>
    <m/>
    <d v="2025-09-30T00:00:00"/>
    <d v="2024-12-31T00:00:00"/>
    <d v="2022-11-30T00:00:00"/>
    <d v="2022-11-30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6611757621788.4004"/>
    <m/>
    <s v="Moderate"/>
    <s v="High"/>
    <s v="High"/>
    <s v="High"/>
    <m/>
    <m/>
    <m/>
    <m/>
    <m/>
    <m/>
    <m/>
    <s v="Singapore"/>
    <s v="Singapore"/>
  </r>
  <r>
    <n v="100"/>
    <s v="Fideuram Asset Management (Ireland) dac"/>
    <n v="2.4000000000000001E-4"/>
    <n v="9.6000000000000002E-5"/>
    <n v="1.1E-4"/>
    <n v="1.11E-4"/>
    <n v="1.2300000000000001E-4"/>
    <n v="1.4200000000000001E-4"/>
    <n v="1.64E-4"/>
    <n v="1.8000000000000001E-4"/>
    <n v="1.5100000000000001E-4"/>
    <n v="2.0100000000000001E-4"/>
    <n v="3.59E-4"/>
    <n v="22136836"/>
    <n v="8837436"/>
    <n v="10192136"/>
    <n v="10234136"/>
    <n v="11335736"/>
    <n v="13091136"/>
    <n v="15107536"/>
    <n v="16586736"/>
    <n v="13943536"/>
    <n v="18595536"/>
    <n v="33180716"/>
    <n v="13299400"/>
    <n v="-1354700"/>
    <n v="-42000"/>
    <n v="-1101600"/>
    <n v="-1755400"/>
    <n v="-2016400"/>
    <n v="-1479200"/>
    <n v="2643200"/>
    <n v="-4652000"/>
    <n v="-14585180"/>
    <n v="8458040"/>
    <n v="97372854938.800003"/>
    <n v="50248466625"/>
    <n v="61662422828.650002"/>
    <n v="50786899971.5"/>
    <n v="39774904380"/>
    <n v="41400717602.400002"/>
    <n v="57808574096.800003"/>
    <n v="60407185912.5"/>
    <n v="55774144019.699997"/>
    <n v="53810832358.199997"/>
    <n v="76758246986.2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52714598595153"/>
    <s v="GARP"/>
    <s v="Low"/>
    <s v="Moderate"/>
    <s v="Moderate"/>
    <s v="Moderate"/>
    <s v="Moderate"/>
    <s v="Moderate"/>
    <s v="High"/>
    <s v="Moderate"/>
    <s v="Moderate"/>
    <s v="Moderate"/>
    <s v="Moderate"/>
    <s v="Dublin"/>
    <s v="Ireland"/>
  </r>
  <r>
    <n v="101"/>
    <s v="Mercer Global Investments Management Ltd"/>
    <n v="2.3699999999999999E-4"/>
    <n v="2.5000000000000001E-4"/>
    <n v="3.2699999999999998E-4"/>
    <n v="2.72E-4"/>
    <n v="3.0600000000000001E-4"/>
    <n v="4.9799999999999996E-4"/>
    <n v="7.2000000000000002E-5"/>
    <m/>
    <m/>
    <m/>
    <m/>
    <n v="21903400"/>
    <n v="23078100"/>
    <n v="30174200"/>
    <n v="25147400"/>
    <n v="28306280"/>
    <n v="46006680"/>
    <n v="6608600"/>
    <m/>
    <m/>
    <m/>
    <m/>
    <n v="-1174700"/>
    <n v="-7096100"/>
    <n v="5026800"/>
    <n v="-3158880"/>
    <n v="-17700400"/>
    <n v="39398080"/>
    <n v="6608600"/>
    <m/>
    <m/>
    <m/>
    <m/>
    <n v="106084813655.5"/>
    <n v="131218957529.8"/>
    <n v="182553909846.04999"/>
    <n v="104047367497"/>
    <n v="99321259822.5"/>
    <n v="145496125335.60001"/>
    <n v="25287627498.400002"/>
    <m/>
    <m/>
    <m/>
    <m/>
    <d v="2025-04-30T00:00:00"/>
    <d v="2024-12-31T00:00:00"/>
    <d v="2023-12-31T00:00:00"/>
    <d v="2022-07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40168296960878"/>
    <m/>
    <s v="Low"/>
    <s v="Low"/>
    <s v="Low"/>
    <s v="Low"/>
    <s v="Low"/>
    <s v="High"/>
    <s v="High"/>
    <m/>
    <m/>
    <m/>
    <m/>
    <s v="Dublin"/>
    <s v="Ireland"/>
  </r>
  <r>
    <n v="102"/>
    <s v="BlackRock (Singapore) Limited"/>
    <n v="2.2000000000000001E-4"/>
    <n v="1.22E-4"/>
    <n v="1.06E-4"/>
    <m/>
    <m/>
    <m/>
    <m/>
    <m/>
    <m/>
    <m/>
    <m/>
    <n v="20323911"/>
    <n v="11266783"/>
    <n v="9788168"/>
    <m/>
    <m/>
    <m/>
    <m/>
    <m/>
    <m/>
    <m/>
    <m/>
    <n v="9057128"/>
    <n v="1478615"/>
    <n v="9788168"/>
    <m/>
    <m/>
    <m/>
    <m/>
    <m/>
    <m/>
    <m/>
    <m/>
    <n v="89398378339.199997"/>
    <n v="64061405319.800003"/>
    <n v="59218416390.949997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384281806274592"/>
    <s v="Core Growth"/>
    <s v="Low"/>
    <s v="Moderate"/>
    <s v="High"/>
    <m/>
    <m/>
    <m/>
    <m/>
    <m/>
    <m/>
    <m/>
    <m/>
    <s v="Singapore"/>
    <s v="Singapore"/>
  </r>
  <r>
    <n v="103"/>
    <s v="Altrinsic Global Advisors, LLC"/>
    <n v="1.9799999999999999E-4"/>
    <m/>
    <n v="0"/>
    <n v="0"/>
    <n v="5.8E-5"/>
    <m/>
    <m/>
    <m/>
    <m/>
    <m/>
    <m/>
    <n v="18294582"/>
    <m/>
    <n v="0"/>
    <n v="0"/>
    <n v="5326600"/>
    <m/>
    <m/>
    <m/>
    <m/>
    <m/>
    <m/>
    <n v="18294582"/>
    <m/>
    <n v="0"/>
    <n v="-5326600"/>
    <n v="5326600"/>
    <m/>
    <m/>
    <m/>
    <m/>
    <m/>
    <m/>
    <n v="82835879910"/>
    <m/>
    <n v="0"/>
    <n v="0"/>
    <n v="18690008872.5"/>
    <m/>
    <m/>
    <m/>
    <m/>
    <m/>
    <m/>
    <d v="2025-07-31T00:00:00"/>
    <m/>
    <d v="2022-06-30T00:00:00"/>
    <d v="2022-06-30T00:00:00"/>
    <d v="2021-12-31T00:00:00"/>
    <m/>
    <m/>
    <m/>
    <m/>
    <m/>
    <m/>
    <s v="Aggregate MFs"/>
    <m/>
    <s v="Aggregate MFs"/>
    <s v="Aggregate MFs"/>
    <s v="Aggregate MFs"/>
    <m/>
    <m/>
    <m/>
    <m/>
    <m/>
    <m/>
    <s v="Investment Managers"/>
    <s v="Investment Advisor/Hedge Fund"/>
    <n v="87359419149984"/>
    <s v="Core Value"/>
    <s v="Low"/>
    <m/>
    <s v="Low"/>
    <s v="Low"/>
    <s v="Moderate"/>
    <m/>
    <m/>
    <m/>
    <m/>
    <m/>
    <m/>
    <s v="Greenwich"/>
    <s v="United States"/>
  </r>
  <r>
    <n v="104"/>
    <s v="Swedbank Robur Fonder AB"/>
    <n v="1.9100000000000001E-4"/>
    <n v="5.8399999999999999E-4"/>
    <n v="5.4799999999999998E-4"/>
    <n v="3.59E-4"/>
    <n v="2.9399999999999999E-4"/>
    <n v="9.8999999999999994E-5"/>
    <n v="9.8999999999999994E-5"/>
    <n v="1.16E-4"/>
    <n v="2.81E-4"/>
    <n v="2.4899999999999998E-4"/>
    <n v="2.04E-4"/>
    <n v="17643000"/>
    <n v="53921800"/>
    <n v="50660500"/>
    <n v="33148400"/>
    <n v="27148400"/>
    <n v="9148400"/>
    <n v="9148400"/>
    <n v="10678000"/>
    <n v="25934400"/>
    <n v="22990000"/>
    <n v="18809200"/>
    <n v="-36278800"/>
    <n v="3261300"/>
    <n v="17512100"/>
    <n v="6000000"/>
    <n v="18000000"/>
    <n v="0"/>
    <n v="-1529600"/>
    <n v="-15256400"/>
    <n v="2944400"/>
    <n v="4180800"/>
    <n v="-1652000"/>
    <n v="77605909047.800003"/>
    <n v="306592066993.79999"/>
    <n v="306496024802.15002"/>
    <n v="164498935196.75"/>
    <n v="95258482935"/>
    <n v="28931814943.200001"/>
    <n v="35006102857.599998"/>
    <n v="38888177331.25"/>
    <n v="103737599970.95"/>
    <n v="66527312476.199997"/>
    <n v="43512057363.150002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959910671623570"/>
    <s v="Core Growth"/>
    <s v="Low"/>
    <s v="Low"/>
    <s v="Low"/>
    <s v="Low"/>
    <s v="Low"/>
    <s v="Low"/>
    <s v="Low"/>
    <s v="Low"/>
    <s v="Low"/>
    <s v="Low"/>
    <s v="Low"/>
    <s v="Stockholm"/>
    <s v="Sweden"/>
  </r>
  <r>
    <n v="105"/>
    <s v="UBS Fund Management (Switzerland) AG"/>
    <n v="1.9100000000000001E-4"/>
    <n v="2.04E-4"/>
    <n v="2.4499999999999999E-4"/>
    <n v="2.5900000000000001E-4"/>
    <n v="2.6699999999999998E-4"/>
    <n v="6.3299999999999999E-4"/>
    <n v="6.4599999999999998E-4"/>
    <n v="5.1599999999999997E-4"/>
    <n v="5.0100000000000003E-4"/>
    <n v="4.9600000000000002E-4"/>
    <n v="4.86E-4"/>
    <n v="17604000"/>
    <n v="18806500"/>
    <n v="22668600"/>
    <n v="23944200"/>
    <n v="24690600"/>
    <n v="58485800"/>
    <n v="59669000"/>
    <n v="47711000"/>
    <n v="46266000"/>
    <n v="45806000"/>
    <n v="44892000"/>
    <n v="-1202500"/>
    <n v="-3862100"/>
    <n v="-1275600"/>
    <n v="-746400"/>
    <n v="-33795200"/>
    <n v="-1183200"/>
    <n v="11958000"/>
    <n v="1445000"/>
    <n v="460000"/>
    <n v="914000"/>
    <n v="591904"/>
    <n v="77434360528"/>
    <n v="106931217251.5"/>
    <n v="137145029835.2"/>
    <n v="126006352615"/>
    <n v="86634538260"/>
    <n v="184961342311.20001"/>
    <n v="228321799773.20001"/>
    <n v="173758553243.75"/>
    <n v="185064000061.5"/>
    <n v="132551112580.8"/>
    <n v="103850417944.8"/>
    <d v="2025-09-30T00:00:00"/>
    <d v="2024-12-31T00:00:00"/>
    <d v="2023-12-31T00:00:00"/>
    <d v="2022-11-30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501191123470710"/>
    <s v="Core Growth"/>
    <s v="Low"/>
    <s v="Low"/>
    <s v="High"/>
    <s v="Low"/>
    <s v="Low"/>
    <s v="Low"/>
    <s v="Low"/>
    <s v="Low"/>
    <s v="Low"/>
    <s v="Low"/>
    <s v="Low"/>
    <s v="Basel"/>
    <s v="Switzerland"/>
  </r>
  <r>
    <n v="106"/>
    <s v="Bank Julius Baer &amp; Co Ltd., Singapore Branch"/>
    <n v="1.83E-4"/>
    <n v="1.7799999999999999E-4"/>
    <n v="1.54E-4"/>
    <n v="7.7999999999999999E-5"/>
    <m/>
    <m/>
    <m/>
    <m/>
    <m/>
    <m/>
    <m/>
    <n v="16896500"/>
    <n v="16424400"/>
    <n v="14213100"/>
    <n v="7252200"/>
    <m/>
    <m/>
    <m/>
    <m/>
    <m/>
    <m/>
    <m/>
    <n v="472100"/>
    <n v="2211300"/>
    <n v="6960900"/>
    <n v="7252200"/>
    <m/>
    <m/>
    <m/>
    <m/>
    <m/>
    <m/>
    <m/>
    <n v="74322294519.199997"/>
    <n v="93386918483.899994"/>
    <n v="85989254979.300003"/>
    <n v="35989042476.199997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Bank and Trust"/>
    <n v="58173571156934.398"/>
    <m/>
    <s v="Low"/>
    <s v="Low"/>
    <s v="Moderate"/>
    <s v="Low"/>
    <m/>
    <m/>
    <m/>
    <m/>
    <m/>
    <m/>
    <m/>
    <s v="Singapore"/>
    <s v="Singapore"/>
  </r>
  <r>
    <n v="107"/>
    <s v="Northern Trust Investments, Inc."/>
    <n v="1.8000000000000001E-4"/>
    <n v="1.02E-4"/>
    <n v="9.0000000000000006E-5"/>
    <n v="8.6000000000000003E-5"/>
    <n v="1.25E-4"/>
    <n v="1.5200000000000001E-4"/>
    <n v="1.7200000000000001E-4"/>
    <n v="1.5300000000000001E-4"/>
    <n v="2.0999999999999999E-5"/>
    <n v="1.4E-5"/>
    <n v="1.0000000000000001E-5"/>
    <n v="16666200"/>
    <n v="9413800"/>
    <n v="8344900"/>
    <n v="7962820"/>
    <n v="11559220"/>
    <n v="14063420"/>
    <n v="15872220"/>
    <n v="14147000"/>
    <n v="1934400"/>
    <n v="1324800"/>
    <n v="921600"/>
    <n v="7252400"/>
    <n v="1068900"/>
    <n v="382080"/>
    <n v="-3596400"/>
    <n v="-2504200"/>
    <n v="-1808800"/>
    <n v="1725220"/>
    <n v="12212600"/>
    <n v="609600"/>
    <n v="403200"/>
    <n v="-428400"/>
    <n v="73309278554.399994"/>
    <n v="53525594478.800003"/>
    <n v="50486645036.400002"/>
    <n v="39515494326"/>
    <n v="40559066490"/>
    <n v="44475565633.199997"/>
    <n v="60734616619.199997"/>
    <n v="51521918487.5"/>
    <n v="7737599984.1000004"/>
    <n v="3833639991.3000002"/>
    <n v="2131973350.0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8169455275853390"/>
    <s v="Index"/>
    <s v="Low"/>
    <s v="Low"/>
    <s v="Low"/>
    <s v="Low"/>
    <s v="Low"/>
    <s v="Low"/>
    <s v="Low"/>
    <s v="Low"/>
    <s v="Low"/>
    <s v="Low"/>
    <s v="Low"/>
    <s v="Chicago"/>
    <s v="United States"/>
  </r>
  <r>
    <n v="108"/>
    <s v="Standard Life Assurance Limited"/>
    <n v="1.7899999999999999E-4"/>
    <n v="1.06E-4"/>
    <n v="9.6000000000000002E-5"/>
    <m/>
    <m/>
    <m/>
    <m/>
    <m/>
    <m/>
    <m/>
    <m/>
    <n v="16576868"/>
    <n v="9764789"/>
    <n v="8826073"/>
    <m/>
    <m/>
    <m/>
    <m/>
    <m/>
    <m/>
    <m/>
    <m/>
    <n v="6812079"/>
    <n v="938716"/>
    <n v="8826073"/>
    <m/>
    <m/>
    <m/>
    <m/>
    <m/>
    <m/>
    <m/>
    <m/>
    <n v="72916335627.800003"/>
    <n v="55521270485.099998"/>
    <n v="53397741624.199997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surance Company"/>
    <n v="88217153167854"/>
    <m/>
    <s v="Low"/>
    <s v="Moderate"/>
    <s v="Low"/>
    <m/>
    <m/>
    <m/>
    <m/>
    <m/>
    <m/>
    <m/>
    <m/>
    <s v="Edinburgh"/>
    <s v="United Kingdom"/>
  </r>
  <r>
    <n v="109"/>
    <s v="Robeco Institutional Asset Management B.V."/>
    <n v="1.7899999999999999E-4"/>
    <n v="5.9999999999999995E-4"/>
    <n v="4.8899999999999996E-4"/>
    <n v="4.35E-4"/>
    <n v="1.9699999999999999E-4"/>
    <n v="4.44E-4"/>
    <n v="4.2000000000000002E-4"/>
    <n v="2.6899999999999998E-4"/>
    <n v="3.9399999999999998E-4"/>
    <n v="3.1300000000000002E-4"/>
    <n v="2.33E-4"/>
    <n v="16540000"/>
    <n v="55459767"/>
    <n v="45203787"/>
    <n v="40221934"/>
    <n v="18220626"/>
    <n v="41007200"/>
    <n v="38774600"/>
    <n v="24863400"/>
    <n v="36434600"/>
    <n v="28914400"/>
    <n v="21548900"/>
    <n v="-38919767"/>
    <n v="10255980"/>
    <n v="4981853"/>
    <n v="22001308"/>
    <n v="-22786574"/>
    <n v="2232600"/>
    <n v="13911200"/>
    <n v="-11571200"/>
    <n v="7520200"/>
    <n v="7365500"/>
    <n v="0"/>
    <n v="78928444624.050003"/>
    <n v="315336739356.59998"/>
    <n v="273482911212.70001"/>
    <n v="199601347644.04999"/>
    <n v="63932651362.5"/>
    <n v="129685269823.2"/>
    <n v="148369948532.79999"/>
    <n v="90549944731.25"/>
    <n v="145738399969.54999"/>
    <n v="83671044978.899994"/>
    <n v="49849912512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498475432632940"/>
    <s v="Core Growth"/>
    <s v="Low"/>
    <s v="Low"/>
    <s v="Low"/>
    <s v="Low"/>
    <s v="Low"/>
    <s v="Moderate"/>
    <s v="Low"/>
    <s v="Low"/>
    <s v="Low"/>
    <s v="Low"/>
    <s v="Moderate"/>
    <s v="Rotterdam"/>
    <s v="Netherlands"/>
  </r>
  <r>
    <n v="110"/>
    <s v="Genesis Investment Management, LLP"/>
    <n v="1.73E-4"/>
    <m/>
    <m/>
    <m/>
    <n v="0"/>
    <n v="0"/>
    <m/>
    <m/>
    <m/>
    <m/>
    <m/>
    <n v="15955300"/>
    <m/>
    <m/>
    <m/>
    <n v="0"/>
    <n v="0"/>
    <m/>
    <m/>
    <m/>
    <m/>
    <m/>
    <n v="15955300"/>
    <m/>
    <m/>
    <m/>
    <n v="0"/>
    <n v="0"/>
    <m/>
    <m/>
    <m/>
    <m/>
    <m/>
    <n v="70182257030.199997"/>
    <m/>
    <m/>
    <m/>
    <n v="0"/>
    <n v="0"/>
    <m/>
    <m/>
    <m/>
    <m/>
    <m/>
    <d v="2025-09-30T00:00:00"/>
    <m/>
    <m/>
    <m/>
    <d v="2020-05-31T00:00:00"/>
    <d v="2020-05-31T00:00:00"/>
    <m/>
    <m/>
    <m/>
    <m/>
    <m/>
    <s v="Aggregate MFs"/>
    <m/>
    <m/>
    <m/>
    <s v="Aggregate MFs"/>
    <s v="Aggregate MFs"/>
    <m/>
    <m/>
    <m/>
    <m/>
    <m/>
    <s v="Investment Managers"/>
    <s v="Investment Advisor/Hedge Fund"/>
    <n v="6906782877994.7998"/>
    <s v="Core Growth"/>
    <s v="Low"/>
    <m/>
    <m/>
    <m/>
    <s v="Low"/>
    <s v="Low"/>
    <m/>
    <m/>
    <m/>
    <m/>
    <m/>
    <s v="London"/>
    <s v="United Kingdom"/>
  </r>
  <r>
    <n v="111"/>
    <s v="Handaya (Agus Dwi)"/>
    <n v="1.6699999999999999E-4"/>
    <n v="1.2300000000000001E-4"/>
    <n v="7.2999999999999999E-5"/>
    <n v="4.5000000000000003E-5"/>
    <n v="3.4999999999999997E-5"/>
    <n v="2.6999999999999999E-5"/>
    <n v="9.0000000000000002E-6"/>
    <n v="1.9999999999999999E-6"/>
    <m/>
    <m/>
    <m/>
    <n v="15445000"/>
    <n v="11347300"/>
    <n v="6755100"/>
    <n v="4121400"/>
    <n v="3270400"/>
    <n v="2500200"/>
    <n v="830200"/>
    <n v="140000"/>
    <m/>
    <m/>
    <m/>
    <n v="4097700"/>
    <n v="4592200"/>
    <n v="2633700"/>
    <n v="851000"/>
    <n v="770200"/>
    <n v="1670000"/>
    <n v="690200"/>
    <n v="140000"/>
    <m/>
    <m/>
    <m/>
    <n v="71608636359"/>
    <n v="64519214089.800003"/>
    <n v="40868354916.099998"/>
    <n v="20452447511.650002"/>
    <n v="11475200812.5"/>
    <n v="7906882510.8000002"/>
    <n v="3176737669.1999998"/>
    <n v="509865581.25"/>
    <m/>
    <m/>
    <m/>
    <d v="2025-02-10T00:00:00"/>
    <d v="2024-12-31T00:00:00"/>
    <d v="2023-12-31T00:00:00"/>
    <d v="2022-12-31T00:00:00"/>
    <d v="2021-12-31T00:00:00"/>
    <d v="2020-12-31T00:00:00"/>
    <d v="2019-12-31T00:00:00"/>
    <d v="2018-12-31T00:00:00"/>
    <m/>
    <m/>
    <m/>
    <s v="Indonesia Insider"/>
    <s v="Indonesia Insider"/>
    <s v="Indonesia Insider"/>
    <s v="Indonesia Insider"/>
    <s v="Indonesia Insider"/>
    <s v="Indonesia Insider"/>
    <s v="Indonesia Insider"/>
    <s v="Indonesia Insider"/>
    <m/>
    <m/>
    <m/>
    <s v="Strategic Entities"/>
    <s v="Individual Investor"/>
    <n v="72062265729.600006"/>
    <m/>
    <s v="Moderate"/>
    <s v="Low"/>
    <s v="Low"/>
    <s v="Low"/>
    <s v="Low"/>
    <s v="Low"/>
    <s v="Moderate"/>
    <s v="Low"/>
    <m/>
    <m/>
    <m/>
    <m/>
    <s v="Australia"/>
  </r>
  <r>
    <n v="112"/>
    <s v="CPP Investment Board"/>
    <n v="1.66E-4"/>
    <n v="1.66E-4"/>
    <m/>
    <m/>
    <n v="0"/>
    <n v="0"/>
    <n v="1.9550000000000001E-3"/>
    <n v="1.6299999999999999E-3"/>
    <n v="1.3990000000000001E-3"/>
    <n v="7.4899999999999999E-4"/>
    <n v="6.5600000000000001E-4"/>
    <n v="15319000"/>
    <n v="15319000"/>
    <m/>
    <m/>
    <n v="0"/>
    <n v="0"/>
    <n v="180598000"/>
    <n v="150570000"/>
    <n v="129272000"/>
    <n v="69164000"/>
    <n v="60632000"/>
    <n v="0"/>
    <n v="15319000"/>
    <m/>
    <m/>
    <n v="0"/>
    <n v="-180598000"/>
    <n v="30028000"/>
    <n v="21298000"/>
    <n v="60108000"/>
    <n v="8532000"/>
    <n v="0"/>
    <n v="111062749926"/>
    <n v="111062749926"/>
    <m/>
    <m/>
    <n v="0"/>
    <n v="0"/>
    <n v="672727550513.84998"/>
    <n v="577812375196.80005"/>
    <n v="378120600050.13"/>
    <n v="178097299961.89999"/>
    <n v="189096050037.60001"/>
    <d v="2024-03-31T00:00:00"/>
    <d v="2024-03-31T00:00:00"/>
    <m/>
    <m/>
    <d v="2020-03-31T00:00:00"/>
    <d v="2020-03-31T00:00:00"/>
    <d v="2019-03-31T00:00:00"/>
    <d v="2018-03-31T00:00:00"/>
    <d v="2017-03-31T00:00:00"/>
    <d v="2016-03-31T00:00:00"/>
    <d v="2015-03-31T00:00:00"/>
    <s v="Aggregate MFs"/>
    <s v="Aggregate MFs"/>
    <m/>
    <m/>
    <s v="Aggregate MFs"/>
    <s v="Aggregate MFs"/>
    <s v="Aggregate MFs"/>
    <s v="Aggregate MFs"/>
    <s v="Aggregate MFs"/>
    <s v="Aggregate MFs"/>
    <s v="Aggregate MFs"/>
    <s v="Investment Managers"/>
    <s v="Pension Fund"/>
    <n v="3031799263194570"/>
    <s v="Core Value"/>
    <s v="Low"/>
    <s v="Low"/>
    <m/>
    <m/>
    <s v="Low"/>
    <s v="Moderate"/>
    <s v="Low"/>
    <s v="Low"/>
    <s v="Low"/>
    <s v="Moderate"/>
    <s v="Moderate"/>
    <s v="Toronto"/>
    <s v="Canada"/>
  </r>
  <r>
    <n v="113"/>
    <s v="Junaidi (Darmawan)"/>
    <n v="1.6200000000000001E-4"/>
    <n v="1.21E-4"/>
    <n v="7.2999999999999999E-5"/>
    <n v="4.8000000000000001E-5"/>
    <n v="3.4E-5"/>
    <n v="2.9E-5"/>
    <n v="1.1E-5"/>
    <n v="1.9999999999999999E-6"/>
    <m/>
    <m/>
    <m/>
    <n v="15013800"/>
    <n v="11134200"/>
    <n v="6762300"/>
    <n v="4412200"/>
    <n v="3128600"/>
    <n v="2639000"/>
    <n v="1059000"/>
    <n v="175200"/>
    <m/>
    <m/>
    <m/>
    <n v="3879600"/>
    <n v="4371900"/>
    <n v="2350100"/>
    <n v="1283600"/>
    <n v="489600"/>
    <n v="1580000"/>
    <n v="883800"/>
    <n v="175200"/>
    <m/>
    <m/>
    <m/>
    <n v="73407555592.5"/>
    <n v="63307556318"/>
    <n v="40911914914.650002"/>
    <n v="21895542478.150002"/>
    <n v="10977652087.5"/>
    <n v="8345837494.8000002"/>
    <n v="4052234631.1999998"/>
    <n v="638060393.75"/>
    <m/>
    <m/>
    <m/>
    <d v="2025-06-30T00:00:00"/>
    <d v="2024-12-31T00:00:00"/>
    <d v="2023-12-31T00:00:00"/>
    <d v="2022-12-31T00:00:00"/>
    <d v="2021-12-31T00:00:00"/>
    <d v="2020-12-31T00:00:00"/>
    <d v="2019-12-31T00:00:00"/>
    <d v="2018-12-31T00:00:00"/>
    <m/>
    <m/>
    <m/>
    <s v="Indonesia Insider"/>
    <s v="Indonesia Insider"/>
    <s v="Indonesia Insider"/>
    <s v="Indonesia Insider"/>
    <s v="Indonesia Insider"/>
    <s v="Indonesia Insider"/>
    <s v="Indonesia Insider"/>
    <s v="Indonesia Insider"/>
    <m/>
    <m/>
    <m/>
    <s v="Strategic Entities"/>
    <s v="Individual Investor"/>
    <n v="75442885230"/>
    <m/>
    <s v="Low"/>
    <s v="Low"/>
    <s v="Low"/>
    <s v="Low"/>
    <s v="Low"/>
    <s v="Low"/>
    <s v="Moderate"/>
    <s v="Low"/>
    <m/>
    <m/>
    <m/>
    <m/>
    <s v="Indonesia"/>
  </r>
  <r>
    <n v="114"/>
    <s v="Askandar (Alexandra)"/>
    <n v="1.6000000000000001E-4"/>
    <n v="1.1900000000000001E-4"/>
    <n v="8.0000000000000007E-5"/>
    <n v="5.8E-5"/>
    <n v="4.6E-5"/>
    <n v="3.3000000000000003E-5"/>
    <n v="1.5999999999999999E-5"/>
    <n v="9.0000000000000002E-6"/>
    <m/>
    <m/>
    <m/>
    <n v="14829800"/>
    <n v="11028200"/>
    <n v="7425200"/>
    <n v="5400000"/>
    <n v="4243400"/>
    <n v="3087200"/>
    <n v="1507200"/>
    <n v="817000"/>
    <m/>
    <m/>
    <m/>
    <n v="3801600"/>
    <n v="3603000"/>
    <n v="2025200"/>
    <n v="1156600"/>
    <n v="1156200"/>
    <n v="1580000"/>
    <n v="690200"/>
    <n v="817000"/>
    <m/>
    <m/>
    <m/>
    <n v="68756345550.75"/>
    <n v="62704854684.5"/>
    <n v="44922459898.75"/>
    <n v="26797499994.099998"/>
    <n v="14889269535"/>
    <n v="9763269984"/>
    <n v="5767259645.6000004"/>
    <n v="2975429931.25"/>
    <m/>
    <m/>
    <m/>
    <d v="2025-02-11T00:00:00"/>
    <d v="2024-12-31T00:00:00"/>
    <d v="2023-12-31T00:00:00"/>
    <d v="2022-12-31T00:00:00"/>
    <d v="2021-12-31T00:00:00"/>
    <d v="2020-12-31T00:00:00"/>
    <d v="2019-12-31T00:00:00"/>
    <d v="2018-12-31T00:00:00"/>
    <m/>
    <m/>
    <m/>
    <s v="Indonesia Insider"/>
    <s v="Indonesia Insider"/>
    <s v="Indonesia Insider"/>
    <s v="Indonesia Insider"/>
    <s v="Indonesia Insider"/>
    <s v="Indonesia Insider"/>
    <s v="Indonesia Insider"/>
    <s v="Indonesia Insider"/>
    <m/>
    <m/>
    <m/>
    <s v="Strategic Entities"/>
    <s v="Individual Investor"/>
    <n v="69191906110.800003"/>
    <m/>
    <s v="Low"/>
    <s v="Low"/>
    <s v="Low"/>
    <s v="Low"/>
    <s v="Low"/>
    <s v="Low"/>
    <s v="Low"/>
    <s v="Low"/>
    <m/>
    <m/>
    <m/>
    <m/>
    <s v="Indonesia"/>
  </r>
  <r>
    <n v="115"/>
    <s v="Invesco Capital Management LLC"/>
    <n v="1.5799999999999999E-4"/>
    <n v="9.3999999999999994E-5"/>
    <n v="1.3100000000000001E-4"/>
    <n v="2.4800000000000001E-4"/>
    <n v="1.4899999999999999E-4"/>
    <n v="1.36E-4"/>
    <n v="1.56E-4"/>
    <n v="1.1900000000000001E-4"/>
    <n v="1.47E-4"/>
    <n v="6.7999999999999999E-5"/>
    <n v="3.6000000000000001E-5"/>
    <n v="14596207"/>
    <n v="8656271"/>
    <n v="12093290"/>
    <n v="22898642"/>
    <n v="13786682"/>
    <n v="12530450"/>
    <n v="14459756"/>
    <n v="10957024"/>
    <n v="13569384"/>
    <n v="6258224"/>
    <n v="3363160"/>
    <n v="5939936"/>
    <n v="-3437019"/>
    <n v="-10805352"/>
    <n v="9111960"/>
    <n v="1256232"/>
    <n v="-1929306"/>
    <n v="3502732"/>
    <n v="-2612360"/>
    <n v="7311160"/>
    <n v="2895064"/>
    <n v="-4770184"/>
    <n v="64204041939.800003"/>
    <n v="49218386916.699997"/>
    <n v="73164404506.149994"/>
    <n v="113634510941.05"/>
    <n v="48374799757.5"/>
    <n v="39627548017.199997"/>
    <n v="55329861627.599998"/>
    <n v="39904354131.25"/>
    <n v="54277536018.099998"/>
    <n v="18109735707.900002"/>
    <n v="7780129521.4499998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512887371145010"/>
    <s v="Index"/>
    <s v="Low"/>
    <s v="Low"/>
    <s v="Low"/>
    <s v="Low"/>
    <s v="Low"/>
    <s v="Moderate"/>
    <s v="Moderate"/>
    <s v="Low"/>
    <s v="Low"/>
    <s v="Low"/>
    <s v="Low"/>
    <s v="Chicago"/>
    <s v="United States"/>
  </r>
  <r>
    <n v="116"/>
    <s v="Riduan"/>
    <n v="1.5699999999999999E-4"/>
    <n v="1.22E-4"/>
    <n v="7.6000000000000004E-5"/>
    <n v="4.3000000000000002E-5"/>
    <n v="3.0000000000000001E-5"/>
    <n v="2.0000000000000002E-5"/>
    <n v="3.0000000000000001E-6"/>
    <m/>
    <m/>
    <m/>
    <m/>
    <n v="14547800"/>
    <n v="11250000"/>
    <n v="7000000"/>
    <n v="3964000"/>
    <n v="2803000"/>
    <n v="1870800"/>
    <n v="316800"/>
    <m/>
    <m/>
    <m/>
    <m/>
    <n v="3297800"/>
    <n v="4250000"/>
    <n v="3036000"/>
    <n v="1161000"/>
    <n v="932200"/>
    <n v="1554000"/>
    <n v="316800"/>
    <m/>
    <m/>
    <m/>
    <m/>
    <n v="63991115144.599998"/>
    <n v="63965979552.300003"/>
    <n v="42350000044.25"/>
    <n v="19671350050.549999"/>
    <n v="9835184700"/>
    <n v="5916405034.8000002"/>
    <n v="1212226594.8"/>
    <m/>
    <m/>
    <m/>
    <m/>
    <d v="2025-09-30T00:00:00"/>
    <d v="2024-12-31T00:00:00"/>
    <d v="2023-12-31T00:00:00"/>
    <d v="2022-12-31T00:00:00"/>
    <d v="2021-12-31T00:00:00"/>
    <d v="2020-12-31T00:00:00"/>
    <d v="2019-12-31T00:00:00"/>
    <m/>
    <m/>
    <m/>
    <m/>
    <s v="Indonesia Insider"/>
    <s v="Indonesia Insider"/>
    <s v="Indonesia Insider"/>
    <s v="Indonesia Insider"/>
    <s v="Indonesia Insider"/>
    <s v="Indonesia Insider"/>
    <s v="Indonesia Insider"/>
    <m/>
    <m/>
    <m/>
    <m/>
    <s v="Strategic Entities"/>
    <s v="Individual Investor"/>
    <n v="73101280610.399994"/>
    <m/>
    <s v="Low"/>
    <s v="Low"/>
    <s v="Low"/>
    <s v="Low"/>
    <s v="Low"/>
    <s v="Moderate"/>
    <s v="Low"/>
    <m/>
    <m/>
    <m/>
    <m/>
    <m/>
    <s v="Indonesia"/>
  </r>
  <r>
    <n v="117"/>
    <s v="Deutsche Asset Management Americas"/>
    <n v="1.5300000000000001E-4"/>
    <n v="1.5300000000000001E-4"/>
    <n v="1.5799999999999999E-4"/>
    <n v="0"/>
    <n v="4.7399999999999997E-4"/>
    <n v="9.9999999999999995E-7"/>
    <n v="5.0900000000000001E-4"/>
    <n v="5.9400000000000002E-4"/>
    <n v="6.1899999999999998E-4"/>
    <n v="3.97E-4"/>
    <n v="3.5799999999999997E-4"/>
    <n v="14167151"/>
    <n v="14167151"/>
    <n v="14583558"/>
    <n v="0"/>
    <n v="43795726"/>
    <n v="104738"/>
    <n v="46999380"/>
    <n v="54887016"/>
    <n v="57164650"/>
    <n v="36711160"/>
    <n v="33049244"/>
    <n v="0"/>
    <n v="-416407"/>
    <n v="14583558"/>
    <n v="-43795726"/>
    <n v="43690988"/>
    <n v="-46894642"/>
    <n v="-7887636"/>
    <n v="-2277634"/>
    <n v="20453490"/>
    <n v="3661916"/>
    <n v="2091312"/>
    <n v="100940951050.5"/>
    <n v="100940951050.5"/>
    <n v="88230525893.600006"/>
    <n v="0"/>
    <n v="153670728900"/>
    <n v="331233926.39999998"/>
    <n v="179841844731.20001"/>
    <n v="199892865162.5"/>
    <n v="228658600065.85001"/>
    <n v="106232919300.60001"/>
    <n v="76454107704.149994"/>
    <d v="2024-08-31T00:00:00"/>
    <d v="2024-08-31T00:00:00"/>
    <d v="2023-12-31T00:00:00"/>
    <d v="2022-10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21135101628135"/>
    <s v="Core Growth"/>
    <s v="Low"/>
    <s v="Low"/>
    <s v="Moderate"/>
    <s v="Low"/>
    <s v="Low"/>
    <s v="Moderate"/>
    <s v="Moderate"/>
    <s v="Moderate"/>
    <s v="Moderate"/>
    <s v="Moderate"/>
    <s v="Moderate"/>
    <s v="New York"/>
    <s v="United States"/>
  </r>
  <r>
    <n v="118"/>
    <s v="Towers Watson Investment Management Limited"/>
    <n v="1.5300000000000001E-4"/>
    <m/>
    <m/>
    <m/>
    <m/>
    <m/>
    <m/>
    <m/>
    <m/>
    <m/>
    <m/>
    <n v="14140984"/>
    <m/>
    <m/>
    <m/>
    <m/>
    <m/>
    <m/>
    <m/>
    <m/>
    <m/>
    <m/>
    <n v="14140984"/>
    <m/>
    <m/>
    <m/>
    <m/>
    <m/>
    <m/>
    <m/>
    <m/>
    <m/>
    <m/>
    <n v="67480403404.050003"/>
    <m/>
    <m/>
    <m/>
    <m/>
    <m/>
    <m/>
    <m/>
    <m/>
    <m/>
    <m/>
    <d v="2025-08-31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"/>
    <n v="134520347587.2"/>
    <m/>
    <s v="Low"/>
    <m/>
    <m/>
    <m/>
    <m/>
    <m/>
    <m/>
    <m/>
    <m/>
    <m/>
    <m/>
    <s v="London"/>
    <s v="United Kingdom"/>
  </r>
  <r>
    <n v="119"/>
    <s v="Vector Asset Management S.A."/>
    <n v="1.4999999999999999E-4"/>
    <n v="8.5000000000000006E-5"/>
    <m/>
    <m/>
    <m/>
    <m/>
    <m/>
    <m/>
    <m/>
    <m/>
    <m/>
    <n v="13900000"/>
    <n v="7900000"/>
    <m/>
    <m/>
    <m/>
    <m/>
    <m/>
    <m/>
    <m/>
    <m/>
    <m/>
    <n v="6000000"/>
    <n v="7900000"/>
    <m/>
    <m/>
    <m/>
    <m/>
    <m/>
    <m/>
    <m/>
    <m/>
    <m/>
    <n v="61141650220"/>
    <n v="44918332325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9605965003266"/>
    <s v="GARP"/>
    <s v="Low"/>
    <s v="Low"/>
    <m/>
    <m/>
    <m/>
    <m/>
    <m/>
    <m/>
    <m/>
    <m/>
    <m/>
    <s v="Luxembourg"/>
    <s v="Luxembourg"/>
  </r>
  <r>
    <n v="120"/>
    <s v="State Street Investment Management Ireland"/>
    <n v="1.45E-4"/>
    <n v="1.11E-4"/>
    <n v="1.5300000000000001E-4"/>
    <n v="2.3699999999999999E-4"/>
    <n v="2.42E-4"/>
    <n v="1.3100000000000001E-4"/>
    <n v="1.0900000000000001E-4"/>
    <n v="9.5000000000000005E-5"/>
    <n v="6.9999999999999994E-5"/>
    <n v="5.3000000000000001E-5"/>
    <n v="1.9999999999999999E-6"/>
    <n v="13373153"/>
    <n v="10219175"/>
    <n v="14173483"/>
    <n v="21884400"/>
    <n v="22317400"/>
    <n v="12098800"/>
    <n v="10083600"/>
    <n v="8797800"/>
    <n v="6435000"/>
    <n v="4881800"/>
    <n v="188000"/>
    <n v="3153978"/>
    <n v="-3954308"/>
    <n v="-7710917"/>
    <n v="-433000"/>
    <n v="10218600"/>
    <n v="2015200"/>
    <n v="1285800"/>
    <n v="2362800"/>
    <n v="1553200"/>
    <n v="4693800"/>
    <n v="4000"/>
    <n v="58824218896.800003"/>
    <n v="58104847899.300003"/>
    <n v="85749572071.699997"/>
    <n v="108601335027.35001"/>
    <n v="78307438612.5"/>
    <n v="38262454963.199997"/>
    <n v="38584620167.599998"/>
    <n v="32040682450"/>
    <n v="25740000011.650002"/>
    <n v="14126708702.1"/>
    <n v="434907789.7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903224009100829"/>
    <s v="Index"/>
    <s v="Low"/>
    <s v="Moderate"/>
    <s v="Moderate"/>
    <s v="Low"/>
    <s v="Low"/>
    <s v="Low"/>
    <s v="Low"/>
    <s v="Low"/>
    <s v="Low"/>
    <s v="High"/>
    <s v="Moderate"/>
    <s v="Dublin"/>
    <s v="Ireland"/>
  </r>
  <r>
    <n v="121"/>
    <s v="Invesco Hong Kong Limited"/>
    <n v="1.4300000000000001E-4"/>
    <n v="9.5000000000000005E-5"/>
    <n v="3.1700000000000001E-4"/>
    <n v="4.4099999999999999E-4"/>
    <n v="0"/>
    <n v="1.83E-4"/>
    <m/>
    <m/>
    <m/>
    <m/>
    <n v="0"/>
    <n v="13227800"/>
    <n v="8763300"/>
    <n v="29262300"/>
    <n v="40729000"/>
    <n v="0"/>
    <n v="16881400"/>
    <m/>
    <m/>
    <m/>
    <m/>
    <n v="0"/>
    <n v="4464500"/>
    <n v="-20499000"/>
    <n v="-11466700"/>
    <n v="40729000"/>
    <n v="-16881400"/>
    <n v="16881400"/>
    <m/>
    <m/>
    <m/>
    <m/>
    <n v="0"/>
    <n v="63122713500"/>
    <n v="49826939356.900002"/>
    <n v="177036914847.95001"/>
    <n v="202117662590.79999"/>
    <n v="0"/>
    <n v="53387427412.800003"/>
    <m/>
    <m/>
    <m/>
    <m/>
    <n v="0"/>
    <d v="2025-08-31T00:00:00"/>
    <d v="2024-12-31T00:00:00"/>
    <d v="2023-12-31T00:00:00"/>
    <d v="2022-12-31T00:00:00"/>
    <d v="2021-08-31T00:00:00"/>
    <d v="2020-12-31T00:00:00"/>
    <m/>
    <m/>
    <m/>
    <m/>
    <d v="2014-03-31T00:00:00"/>
    <s v="Aggregate MFs"/>
    <s v="Aggregate MFs"/>
    <s v="Aggregate MFs"/>
    <s v="Aggregate MFs"/>
    <s v="Aggregate MFs"/>
    <s v="Aggregate MFs"/>
    <m/>
    <m/>
    <m/>
    <m/>
    <s v="Aggregate MFs"/>
    <s v="Investment Managers"/>
    <s v="Investment Advisor"/>
    <n v="66797384339318.398"/>
    <s v="GARP"/>
    <s v="Low"/>
    <s v="Moderate"/>
    <s v="Moderate"/>
    <s v="Moderate"/>
    <s v="High"/>
    <s v="Moderate"/>
    <m/>
    <m/>
    <m/>
    <m/>
    <s v="Low"/>
    <s v="Central (Hong Kong)"/>
    <s v="Hong Kong"/>
  </r>
  <r>
    <n v="122"/>
    <s v="HSBC Global Asset Management (Hong Kong) Limited"/>
    <n v="1.4200000000000001E-4"/>
    <n v="4.8000000000000001E-5"/>
    <n v="6.0000000000000002E-5"/>
    <n v="2.41E-4"/>
    <n v="2.41E-4"/>
    <n v="0"/>
    <n v="0"/>
    <n v="6.8999999999999997E-5"/>
    <n v="1.93E-4"/>
    <n v="9.0000000000000002E-6"/>
    <n v="0"/>
    <n v="13132500"/>
    <n v="4415400"/>
    <n v="5539300"/>
    <n v="22296800"/>
    <n v="22296800"/>
    <n v="0"/>
    <n v="22836"/>
    <n v="6371060"/>
    <n v="17846400"/>
    <n v="853876"/>
    <n v="0"/>
    <n v="8717100"/>
    <n v="-1123900"/>
    <n v="-16757500"/>
    <n v="0"/>
    <n v="22296800"/>
    <n v="-22836"/>
    <n v="-6348224"/>
    <n v="-11475340"/>
    <n v="16992524"/>
    <n v="853876"/>
    <n v="0"/>
    <n v="62667944442.599998"/>
    <n v="25105367626.599998"/>
    <n v="33512764934.299999"/>
    <n v="68562659997.900002"/>
    <n v="68562659997.900002"/>
    <n v="0"/>
    <n v="80211402.239999995"/>
    <n v="23202745000"/>
    <n v="71385600072.100006"/>
    <n v="2049302349"/>
    <n v="0"/>
    <d v="2025-08-31T00:00:00"/>
    <d v="2024-12-31T00:00:00"/>
    <d v="2023-12-31T00:00:00"/>
    <d v="2021-09-30T00:00:00"/>
    <d v="2021-09-30T00:00:00"/>
    <d v="2020-02-29T00:00:00"/>
    <d v="2019-10-31T00:00:00"/>
    <d v="2018-12-31T00:00:00"/>
    <d v="2017-12-31T00:00:00"/>
    <d v="2016-01-31T00:00:00"/>
    <d v="2015-10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23023283538534"/>
    <s v="Core Value"/>
    <s v="Moderate"/>
    <s v="Moderate"/>
    <s v="Moderate"/>
    <s v="Low"/>
    <s v="High"/>
    <s v="Low"/>
    <s v="Moderate"/>
    <s v="Moderate"/>
    <s v="Moderate"/>
    <s v="Moderate"/>
    <s v="Moderate"/>
    <s v="Central (Hong Kong)"/>
    <s v="Hong Kong"/>
  </r>
  <r>
    <n v="123"/>
    <s v="GLG LLC"/>
    <n v="1.3799999999999999E-4"/>
    <n v="1.1E-4"/>
    <n v="1.2999999999999999E-4"/>
    <n v="5.7000000000000003E-5"/>
    <m/>
    <m/>
    <m/>
    <m/>
    <m/>
    <m/>
    <m/>
    <n v="12763311"/>
    <n v="10145262"/>
    <n v="11978362"/>
    <n v="5285040"/>
    <m/>
    <m/>
    <m/>
    <m/>
    <m/>
    <m/>
    <m/>
    <n v="2618049"/>
    <n v="-1833100"/>
    <n v="6693322"/>
    <n v="5285040"/>
    <m/>
    <m/>
    <m/>
    <m/>
    <m/>
    <m/>
    <m/>
    <n v="56141719159.400002"/>
    <n v="57684588523.199997"/>
    <n v="72469090100.899994"/>
    <n v="26227010991.5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Hedge Fund"/>
    <n v="19170934054153.199"/>
    <s v="Hedge Fund"/>
    <s v="High"/>
    <s v="High"/>
    <s v="High"/>
    <s v="High"/>
    <m/>
    <m/>
    <m/>
    <m/>
    <m/>
    <m/>
    <m/>
    <s v="New York"/>
    <s v="United States"/>
  </r>
  <r>
    <n v="124"/>
    <s v="Vanguard Investments Australia Ltd."/>
    <n v="1.37E-4"/>
    <n v="1.3300000000000001E-4"/>
    <n v="1.18E-4"/>
    <n v="1.2999999999999999E-4"/>
    <n v="1.2799999999999999E-4"/>
    <n v="9.7E-5"/>
    <n v="9.6000000000000002E-5"/>
    <n v="9.0000000000000006E-5"/>
    <n v="9.2999999999999997E-5"/>
    <n v="7.8999999999999996E-5"/>
    <n v="1.01E-4"/>
    <n v="12625094"/>
    <n v="12271203"/>
    <n v="10869184"/>
    <n v="12018900"/>
    <n v="11797246"/>
    <n v="8992772"/>
    <n v="8881590"/>
    <n v="8353986"/>
    <n v="8592700"/>
    <n v="7261072"/>
    <n v="9371988"/>
    <n v="353891"/>
    <n v="1402019"/>
    <n v="-1149716"/>
    <n v="221654"/>
    <n v="2804474"/>
    <n v="111182"/>
    <n v="527604"/>
    <n v="-238714"/>
    <n v="1331628"/>
    <n v="-2110916"/>
    <n v="0"/>
    <n v="55533746945.599998"/>
    <n v="69772401665.5"/>
    <n v="65758563089.050003"/>
    <n v="53183632513.199997"/>
    <n v="41394253717.5"/>
    <n v="28439641479.599998"/>
    <n v="33985161678.400002"/>
    <n v="30424357450"/>
    <n v="34370800036.199997"/>
    <n v="21011727055.5"/>
    <n v="21680586064.650002"/>
    <d v="2025-09-30T00:00:00"/>
    <d v="2024-12-31T00:00:00"/>
    <d v="2023-12-31T00:00:00"/>
    <d v="2022-08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496829638149650"/>
    <s v="Index"/>
    <s v="Low"/>
    <s v="Low"/>
    <s v="Low"/>
    <s v="Low"/>
    <s v="Low"/>
    <s v="Low"/>
    <s v="Low"/>
    <s v="Low"/>
    <s v="Low"/>
    <s v="High"/>
    <s v="Moderate"/>
    <s v="Melbourne"/>
    <s v="Australia"/>
  </r>
  <r>
    <n v="125"/>
    <s v="Deka Investment GmbH"/>
    <n v="1.34E-4"/>
    <n v="2.4000000000000001E-4"/>
    <m/>
    <m/>
    <n v="0"/>
    <n v="0"/>
    <n v="3.4E-5"/>
    <n v="9.0000000000000002E-6"/>
    <n v="9.0000000000000002E-6"/>
    <n v="9.0000000000000002E-6"/>
    <n v="1.0900000000000001E-4"/>
    <n v="12381900"/>
    <n v="22159500"/>
    <m/>
    <m/>
    <n v="0"/>
    <n v="0"/>
    <n v="3180000"/>
    <n v="792000"/>
    <n v="792000"/>
    <n v="792000"/>
    <n v="10116000"/>
    <n v="-9777600"/>
    <n v="22159500"/>
    <m/>
    <m/>
    <n v="0"/>
    <n v="-3180000"/>
    <n v="2388000"/>
    <n v="0"/>
    <n v="0"/>
    <n v="-9324000"/>
    <n v="0"/>
    <n v="60539304706.5"/>
    <n v="125995921970.5"/>
    <m/>
    <m/>
    <n v="0"/>
    <n v="0"/>
    <n v="12168183208.799999"/>
    <n v="2884382562.5"/>
    <n v="3167999943"/>
    <n v="2291850051.9000001"/>
    <n v="27819000016.900002"/>
    <d v="2025-06-30T00:00:00"/>
    <d v="2024-12-31T00:00:00"/>
    <m/>
    <m/>
    <d v="2020-12-31T00:00:00"/>
    <d v="2020-12-31T00:00:00"/>
    <d v="2019-12-31T00:00:00"/>
    <d v="2018-12-31T00:00:00"/>
    <d v="2017-12-31T00:00:00"/>
    <d v="2016-12-31T00:00:00"/>
    <d v="2015-01-31T00:00:00"/>
    <s v="Aggregate MFs"/>
    <s v="Aggregate MFs"/>
    <m/>
    <m/>
    <s v="Aggregate MFs"/>
    <s v="Aggregate MFs"/>
    <s v="Aggregate MFs"/>
    <s v="Aggregate MFs"/>
    <s v="Aggregate MFs"/>
    <s v="Aggregate MFs"/>
    <s v="Aggregate MFs"/>
    <s v="Investment Managers"/>
    <s v="Investment Advisor/Hedge Fund"/>
    <n v="1647254873672870"/>
    <s v="Core Growth"/>
    <s v="Low"/>
    <s v="Low"/>
    <m/>
    <m/>
    <s v="Low"/>
    <s v="Low"/>
    <s v="Moderate"/>
    <s v="Low"/>
    <s v="Low"/>
    <s v="Moderate"/>
    <s v="Low"/>
    <s v="Frankfurt"/>
    <s v="Germany"/>
  </r>
  <r>
    <n v="126"/>
    <s v="EFG Asset Management (UK) Limited"/>
    <n v="1.3300000000000001E-4"/>
    <n v="3.0400000000000002E-4"/>
    <m/>
    <m/>
    <m/>
    <m/>
    <m/>
    <m/>
    <m/>
    <m/>
    <m/>
    <n v="12288700"/>
    <n v="28083300"/>
    <m/>
    <m/>
    <m/>
    <m/>
    <m/>
    <m/>
    <m/>
    <m/>
    <m/>
    <n v="-15794600"/>
    <n v="28083300"/>
    <m/>
    <m/>
    <m/>
    <m/>
    <m/>
    <m/>
    <m/>
    <m/>
    <m/>
    <n v="60083618404.800003"/>
    <n v="159677848169.29999"/>
    <m/>
    <m/>
    <m/>
    <m/>
    <m/>
    <m/>
    <m/>
    <m/>
    <m/>
    <d v="2025-06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8620246625433.602"/>
    <m/>
    <s v="Low"/>
    <s v="Moderate"/>
    <m/>
    <m/>
    <m/>
    <m/>
    <m/>
    <m/>
    <m/>
    <m/>
    <m/>
    <s v="London"/>
    <s v="United Kingdom"/>
  </r>
  <r>
    <n v="127"/>
    <s v="BlackRock Investment Management, LLC"/>
    <n v="1.3300000000000001E-4"/>
    <n v="0"/>
    <n v="1.02E-4"/>
    <m/>
    <m/>
    <m/>
    <m/>
    <m/>
    <m/>
    <n v="5.4000000000000001E-4"/>
    <n v="5.4000000000000001E-4"/>
    <n v="12260500"/>
    <n v="0"/>
    <n v="9393900"/>
    <m/>
    <m/>
    <m/>
    <m/>
    <m/>
    <m/>
    <n v="49934000"/>
    <n v="49934000"/>
    <n v="12260500"/>
    <n v="-9393900"/>
    <n v="9393900"/>
    <m/>
    <m/>
    <m/>
    <m/>
    <m/>
    <m/>
    <n v="0"/>
    <n v="0"/>
    <n v="59945739036.599998"/>
    <n v="0"/>
    <n v="56833094923.5"/>
    <m/>
    <m/>
    <m/>
    <m/>
    <m/>
    <m/>
    <n v="106109750049.60001"/>
    <n v="106109750049.60001"/>
    <d v="2025-06-30T00:00:00"/>
    <d v="2024-08-31T00:00:00"/>
    <d v="2023-12-31T00:00:00"/>
    <m/>
    <m/>
    <m/>
    <m/>
    <m/>
    <m/>
    <d v="2015-11-30T00:00:00"/>
    <d v="2015-11-30T00:00:00"/>
    <s v="Aggregate MFs"/>
    <s v="Aggregate MFs"/>
    <s v="Aggregate MFs"/>
    <m/>
    <m/>
    <m/>
    <m/>
    <m/>
    <m/>
    <s v="Aggregate MFs"/>
    <s v="Aggregate MFs"/>
    <s v="Investment Managers"/>
    <s v="Investment Advisor/Hedge Fund"/>
    <n v="3231531421820400"/>
    <s v="Deep Value"/>
    <s v="Low"/>
    <s v="Low"/>
    <s v="Low"/>
    <m/>
    <m/>
    <m/>
    <m/>
    <m/>
    <m/>
    <s v="Low"/>
    <s v="Low"/>
    <s v="Princeton"/>
    <s v="United States"/>
  </r>
  <r>
    <n v="128"/>
    <s v="abrdn Alternative Investments Limited"/>
    <n v="1.2999999999999999E-4"/>
    <n v="1.4100000000000001E-4"/>
    <n v="1.25E-4"/>
    <n v="1.9599999999999999E-4"/>
    <n v="1.9999999999999999E-6"/>
    <n v="0"/>
    <n v="2.3599999999999999E-4"/>
    <n v="1.45E-4"/>
    <n v="1.1400000000000001E-4"/>
    <n v="1.1900000000000001E-4"/>
    <n v="1.4899999999999999E-4"/>
    <n v="11983042"/>
    <n v="13073871"/>
    <n v="11579595"/>
    <n v="18096456"/>
    <n v="192000"/>
    <n v="0"/>
    <n v="21763600"/>
    <n v="13436200"/>
    <n v="10576000"/>
    <n v="10981600"/>
    <n v="13740400"/>
    <n v="-1090829"/>
    <n v="1494276"/>
    <n v="-6516861"/>
    <n v="17904456"/>
    <n v="192000"/>
    <n v="-21763600"/>
    <n v="8327400"/>
    <n v="2860200"/>
    <n v="-405600"/>
    <n v="-2758800"/>
    <n v="302400"/>
    <n v="52709565736.800003"/>
    <n v="74336263552.899994"/>
    <n v="70056549657.649994"/>
    <n v="89803662902.25"/>
    <n v="673690837.5"/>
    <n v="0"/>
    <n v="83277821395.199997"/>
    <n v="48933257993.75"/>
    <n v="42303999995.199997"/>
    <n v="31778005083"/>
    <n v="31786204282.5"/>
    <d v="2025-09-30T00:00:00"/>
    <d v="2024-12-31T00:00:00"/>
    <d v="2023-12-31T00:00:00"/>
    <d v="2022-12-31T00:00:00"/>
    <d v="2021-12-31T00:00:00"/>
    <d v="2020-08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91335089222958"/>
    <s v="Core Growth"/>
    <s v="Moderate"/>
    <s v="Moderate"/>
    <s v="Moderate"/>
    <s v="Low"/>
    <s v="High"/>
    <s v="Moderate"/>
    <s v="Low"/>
    <s v="Low"/>
    <s v="Moderate"/>
    <s v="High"/>
    <s v="Low"/>
    <s v="London"/>
    <s v="United Kingdom"/>
  </r>
  <r>
    <n v="129"/>
    <s v="JPMorgan Asset Management (Japan) Limited"/>
    <n v="1.2E-4"/>
    <n v="1.22E-4"/>
    <n v="6.0999999999999999E-5"/>
    <m/>
    <m/>
    <m/>
    <m/>
    <m/>
    <m/>
    <n v="1.9000000000000001E-5"/>
    <n v="3.4999999999999997E-5"/>
    <n v="11075968"/>
    <n v="11313665"/>
    <n v="5667333"/>
    <m/>
    <m/>
    <m/>
    <m/>
    <m/>
    <m/>
    <n v="1795200"/>
    <n v="3195188"/>
    <n v="-237697"/>
    <n v="5646332"/>
    <n v="5667333"/>
    <m/>
    <m/>
    <m/>
    <m/>
    <m/>
    <m/>
    <n v="-1399988"/>
    <n v="0"/>
    <n v="66896921860.25"/>
    <n v="69469397395.199997"/>
    <n v="33153898057"/>
    <m/>
    <m/>
    <m/>
    <m/>
    <m/>
    <m/>
    <n v="4308480015.3000002"/>
    <n v="6949533941.75"/>
    <d v="2025-01-31T00:00:00"/>
    <d v="2024-11-30T00:00:00"/>
    <d v="2023-11-30T00:00:00"/>
    <m/>
    <m/>
    <m/>
    <m/>
    <m/>
    <m/>
    <d v="2016-01-31T00:00:00"/>
    <d v="2015-10-31T00:00:00"/>
    <s v="Aggregate MFs"/>
    <s v="Aggregate MFs"/>
    <s v="Aggregate MFs"/>
    <m/>
    <m/>
    <m/>
    <m/>
    <m/>
    <m/>
    <s v="Aggregate MFs"/>
    <s v="Aggregate MFs"/>
    <s v="Investment Managers"/>
    <s v="Investment Advisor/Hedge Fund"/>
    <n v="277232489791703"/>
    <s v="GARP"/>
    <s v="Low"/>
    <s v="Moderate"/>
    <s v="Moderate"/>
    <m/>
    <m/>
    <m/>
    <m/>
    <m/>
    <m/>
    <s v="Moderate"/>
    <s v="Moderate"/>
    <s v="Chiyoda-ku (Tokyo)"/>
    <s v="Japan"/>
  </r>
  <r>
    <n v="130"/>
    <s v="abrdn Asia Limited"/>
    <n v="1.2E-4"/>
    <n v="1.02E-4"/>
    <n v="1.54E-4"/>
    <n v="2.33E-4"/>
    <n v="2.6400000000000002E-4"/>
    <n v="1.6100000000000001E-4"/>
    <n v="1.55E-4"/>
    <n v="3.0000000000000001E-5"/>
    <m/>
    <n v="0"/>
    <n v="0"/>
    <n v="11070200"/>
    <n v="9384000"/>
    <n v="14241700"/>
    <n v="21528400"/>
    <n v="24369600"/>
    <n v="14836800"/>
    <n v="14358600"/>
    <n v="2800000"/>
    <m/>
    <n v="0"/>
    <n v="0"/>
    <n v="1686200"/>
    <n v="-4857700"/>
    <n v="-7286700"/>
    <n v="-2841200"/>
    <n v="9532800"/>
    <n v="478200"/>
    <n v="11558600"/>
    <n v="2800000"/>
    <m/>
    <n v="0"/>
    <n v="0"/>
    <n v="48694265999.400002"/>
    <n v="53356155676.699997"/>
    <n v="80821647472"/>
    <n v="106834685113.75"/>
    <n v="85508211420"/>
    <n v="46921379965.199997"/>
    <n v="50075617449"/>
    <n v="9414999931"/>
    <m/>
    <n v="0"/>
    <n v="0"/>
    <d v="2025-09-30T00:00:00"/>
    <d v="2024-12-31T00:00:00"/>
    <d v="2023-10-31T00:00:00"/>
    <d v="2022-12-31T00:00:00"/>
    <d v="2021-12-31T00:00:00"/>
    <d v="2020-12-31T00:00:00"/>
    <d v="2019-09-30T00:00:00"/>
    <d v="2018-09-30T00:00:00"/>
    <m/>
    <d v="2015-11-30T00:00:00"/>
    <d v="2015-11-30T00:00:00"/>
    <s v="Aggregate MFs"/>
    <s v="Aggregate MFs"/>
    <s v="Aggregate MFs"/>
    <s v="Aggregate MFs"/>
    <s v="Aggregate MFs"/>
    <s v="Aggregate MFs"/>
    <s v="Aggregate MFs"/>
    <s v="Aggregate MFs"/>
    <m/>
    <s v="Aggregate MFs"/>
    <s v="Aggregate MFs"/>
    <s v="Investment Managers"/>
    <s v="Investment Advisor"/>
    <n v="222040338455708"/>
    <s v="GARP"/>
    <s v="Low"/>
    <s v="Low"/>
    <s v="Moderate"/>
    <s v="Low"/>
    <s v="Low"/>
    <s v="Low"/>
    <s v="Low"/>
    <s v="Low"/>
    <m/>
    <s v="Low"/>
    <s v="Low"/>
    <s v="Singapore"/>
    <s v="Singapore"/>
  </r>
  <r>
    <n v="131"/>
    <s v="Pictet &amp; Cie (Europe) S.A."/>
    <n v="1.18E-4"/>
    <n v="1.08E-4"/>
    <n v="7.8999999999999996E-5"/>
    <n v="1.0900000000000001E-4"/>
    <m/>
    <m/>
    <m/>
    <m/>
    <m/>
    <m/>
    <m/>
    <n v="10934200"/>
    <n v="9965100"/>
    <n v="7301722"/>
    <n v="10084400"/>
    <m/>
    <m/>
    <m/>
    <m/>
    <m/>
    <m/>
    <m/>
    <n v="969100"/>
    <n v="2663378"/>
    <n v="-2782678"/>
    <n v="10084400"/>
    <m/>
    <m/>
    <m/>
    <m/>
    <m/>
    <m/>
    <m/>
    <n v="53461008940.5"/>
    <n v="56660211754.5"/>
    <n v="44175418139.550003"/>
    <n v="50043834965.300003"/>
    <m/>
    <m/>
    <m/>
    <m/>
    <m/>
    <m/>
    <m/>
    <d v="2025-06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Bank and Trust"/>
    <n v="81202838750226"/>
    <m/>
    <s v="Low"/>
    <s v="Low"/>
    <s v="Low"/>
    <s v="Low"/>
    <m/>
    <m/>
    <m/>
    <m/>
    <m/>
    <m/>
    <m/>
    <s v="Luxembourg"/>
    <s v="Luxembourg"/>
  </r>
  <r>
    <n v="132"/>
    <s v="Prastowo (Sigit)"/>
    <n v="1.18E-4"/>
    <n v="1.18E-4"/>
    <n v="6.7999999999999999E-5"/>
    <n v="3.0000000000000001E-5"/>
    <n v="1.9999999999999999E-6"/>
    <m/>
    <m/>
    <m/>
    <m/>
    <m/>
    <m/>
    <n v="10869800"/>
    <n v="10869800"/>
    <n v="6305100"/>
    <n v="2786800"/>
    <n v="166800"/>
    <m/>
    <m/>
    <m/>
    <m/>
    <m/>
    <m/>
    <n v="0"/>
    <n v="4564700"/>
    <n v="3518300"/>
    <n v="2620000"/>
    <n v="166800"/>
    <m/>
    <m/>
    <m/>
    <m/>
    <m/>
    <m/>
    <n v="61804213716.5"/>
    <n v="61804213716.5"/>
    <n v="38145854929.75"/>
    <n v="13829495028.799999"/>
    <n v="58526887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Indonesia Insider"/>
    <s v="Indonesia Insider"/>
    <s v="Indonesia Insider"/>
    <s v="Indonesia Insider"/>
    <s v="Indonesia Insider"/>
    <m/>
    <m/>
    <m/>
    <m/>
    <m/>
    <m/>
    <s v="Strategic Entities"/>
    <s v="Individual Investor"/>
    <n v="64070496258"/>
    <m/>
    <s v="Low"/>
    <s v="Low"/>
    <s v="Low"/>
    <s v="High"/>
    <s v="Low"/>
    <m/>
    <m/>
    <m/>
    <m/>
    <m/>
    <m/>
    <m/>
    <s v="Indonesia"/>
  </r>
  <r>
    <n v="133"/>
    <s v="Fourton Rahastoyhtiö Oy"/>
    <n v="1.16E-4"/>
    <n v="6.0000000000000002E-5"/>
    <n v="1.07E-4"/>
    <n v="1.7E-5"/>
    <n v="1.7E-5"/>
    <m/>
    <m/>
    <m/>
    <m/>
    <m/>
    <m/>
    <n v="10750000"/>
    <n v="5500000"/>
    <n v="9850000"/>
    <n v="1600000"/>
    <n v="1600000"/>
    <m/>
    <m/>
    <m/>
    <m/>
    <m/>
    <m/>
    <n v="5250000"/>
    <n v="-4350000"/>
    <n v="8250000"/>
    <n v="0"/>
    <n v="1600000"/>
    <m/>
    <m/>
    <m/>
    <m/>
    <m/>
    <m/>
    <n v="47285808607.800003"/>
    <n v="31272256584.200001"/>
    <n v="59592499957.800003"/>
    <n v="7940000055.8999996"/>
    <n v="5614090455"/>
    <m/>
    <m/>
    <m/>
    <m/>
    <m/>
    <m/>
    <d v="2025-09-30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7634537343510"/>
    <s v="Core Value"/>
    <s v="Low"/>
    <s v="Low"/>
    <s v="Low"/>
    <s v="Low"/>
    <s v="Low"/>
    <m/>
    <m/>
    <m/>
    <m/>
    <m/>
    <m/>
    <s v="Espoo"/>
    <s v="Finland"/>
  </r>
  <r>
    <n v="134"/>
    <s v="BNP Paribas Asset Management UK Limited"/>
    <n v="1.13E-4"/>
    <n v="5.3000000000000001E-5"/>
    <m/>
    <m/>
    <m/>
    <m/>
    <m/>
    <m/>
    <m/>
    <m/>
    <m/>
    <n v="10460700"/>
    <n v="4858300"/>
    <m/>
    <m/>
    <m/>
    <m/>
    <m/>
    <m/>
    <m/>
    <m/>
    <m/>
    <n v="5602400"/>
    <n v="4858300"/>
    <m/>
    <m/>
    <m/>
    <m/>
    <m/>
    <m/>
    <m/>
    <m/>
    <m/>
    <n v="46013270493.400002"/>
    <n v="27623637178.900002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999132166217868"/>
    <s v="GARP"/>
    <s v="Moderate"/>
    <s v="Moderate"/>
    <m/>
    <m/>
    <m/>
    <m/>
    <m/>
    <m/>
    <m/>
    <m/>
    <m/>
    <s v="London"/>
    <s v="United Kingdom"/>
  </r>
  <r>
    <n v="135"/>
    <s v="Lazard Frères Gestion S.A.S."/>
    <n v="1.13E-4"/>
    <n v="6.7000000000000002E-5"/>
    <n v="6.2000000000000003E-5"/>
    <n v="0"/>
    <n v="0"/>
    <n v="0"/>
    <n v="3.9999999999999998E-6"/>
    <m/>
    <m/>
    <m/>
    <m/>
    <n v="10430539"/>
    <n v="6231943"/>
    <n v="5732258"/>
    <n v="0"/>
    <n v="4506"/>
    <n v="0"/>
    <n v="329044"/>
    <m/>
    <m/>
    <m/>
    <m/>
    <n v="4198596"/>
    <n v="499685"/>
    <n v="5732258"/>
    <n v="-4506"/>
    <n v="4506"/>
    <n v="-329044"/>
    <n v="329044"/>
    <m/>
    <m/>
    <m/>
    <m/>
    <n v="45880601915.400002"/>
    <n v="35433985606.800003"/>
    <n v="34680160856.550003"/>
    <n v="0"/>
    <n v="15810660"/>
    <n v="0"/>
    <n v="1259077840.8"/>
    <m/>
    <m/>
    <m/>
    <m/>
    <d v="2025-09-30T00:00:00"/>
    <d v="2024-12-31T00:00:00"/>
    <d v="2023-12-31T00:00:00"/>
    <d v="2022-09-30T00:00:00"/>
    <d v="2021-12-31T00:00:00"/>
    <d v="2020-06-30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216292583945056"/>
    <s v="Core Value"/>
    <s v="Low"/>
    <s v="Low"/>
    <s v="Low"/>
    <s v="Low"/>
    <s v="Low"/>
    <s v="Moderate"/>
    <s v="Moderate"/>
    <m/>
    <m/>
    <m/>
    <m/>
    <s v="Paris"/>
    <s v="France"/>
  </r>
  <r>
    <n v="136"/>
    <s v="Utama (Timothy)"/>
    <n v="1.12E-4"/>
    <n v="7.6000000000000004E-5"/>
    <n v="3.8999999999999999E-5"/>
    <n v="1.2999999999999999E-5"/>
    <m/>
    <m/>
    <m/>
    <m/>
    <m/>
    <m/>
    <m/>
    <n v="10334300"/>
    <n v="7036600"/>
    <n v="3621900"/>
    <n v="1244200"/>
    <m/>
    <m/>
    <m/>
    <m/>
    <m/>
    <m/>
    <m/>
    <n v="3297700"/>
    <n v="3414700"/>
    <n v="2377700"/>
    <n v="1244200"/>
    <m/>
    <m/>
    <m/>
    <m/>
    <m/>
    <m/>
    <m/>
    <n v="45457277479.599998"/>
    <n v="40009156511.599998"/>
    <n v="21912494956.950001"/>
    <n v="6174342566.6999998"/>
    <m/>
    <m/>
    <m/>
    <m/>
    <m/>
    <m/>
    <m/>
    <d v="2025-09-30T00:00:00"/>
    <d v="2024-12-31T00:00:00"/>
    <d v="2023-12-31T00:00:00"/>
    <d v="2022-12-31T00:00:00"/>
    <m/>
    <m/>
    <m/>
    <m/>
    <m/>
    <m/>
    <m/>
    <s v="Indonesia Insider"/>
    <s v="Indonesia Insider"/>
    <s v="Indonesia Insider"/>
    <s v="Indonesia Insider"/>
    <m/>
    <m/>
    <m/>
    <m/>
    <m/>
    <m/>
    <m/>
    <s v="Strategic Entities"/>
    <s v="Individual Investor"/>
    <n v="51928852707.599998"/>
    <m/>
    <s v="Low"/>
    <s v="Low"/>
    <s v="Moderate"/>
    <s v="Moderate"/>
    <m/>
    <m/>
    <m/>
    <m/>
    <m/>
    <m/>
    <m/>
    <m/>
    <s v="Indonesia"/>
  </r>
  <r>
    <n v="137"/>
    <s v="Sephira Investment Advisors (UK) Limited"/>
    <n v="1.08E-4"/>
    <n v="7.6000000000000004E-5"/>
    <m/>
    <m/>
    <m/>
    <m/>
    <m/>
    <m/>
    <m/>
    <m/>
    <m/>
    <n v="9986726"/>
    <n v="7002128"/>
    <m/>
    <m/>
    <m/>
    <m/>
    <m/>
    <m/>
    <m/>
    <m/>
    <m/>
    <n v="2984598"/>
    <n v="7002128"/>
    <m/>
    <m/>
    <m/>
    <m/>
    <m/>
    <m/>
    <m/>
    <m/>
    <m/>
    <n v="47656393689.449997"/>
    <n v="39813153441.300003"/>
    <m/>
    <m/>
    <m/>
    <m/>
    <m/>
    <m/>
    <m/>
    <m/>
    <m/>
    <d v="2025-08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m/>
    <m/>
    <s v="High"/>
    <m/>
    <m/>
    <m/>
    <m/>
    <m/>
    <m/>
    <m/>
    <m/>
    <m/>
    <m/>
    <s v="London"/>
    <s v="United Kingdom"/>
  </r>
  <r>
    <n v="138"/>
    <s v="S-Bank Fund Management Ltd"/>
    <n v="1.0399999999999999E-4"/>
    <m/>
    <m/>
    <m/>
    <m/>
    <m/>
    <m/>
    <m/>
    <m/>
    <m/>
    <m/>
    <n v="9600000"/>
    <m/>
    <m/>
    <m/>
    <m/>
    <m/>
    <m/>
    <m/>
    <m/>
    <m/>
    <m/>
    <n v="9600000"/>
    <m/>
    <m/>
    <m/>
    <m/>
    <m/>
    <m/>
    <m/>
    <m/>
    <m/>
    <m/>
    <n v="49859764608.5"/>
    <m/>
    <m/>
    <m/>
    <m/>
    <m/>
    <m/>
    <m/>
    <m/>
    <m/>
    <m/>
    <d v="2025-03-31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/Hedge Fund"/>
    <n v="50178729947575.203"/>
    <s v="GARP"/>
    <s v="Low"/>
    <m/>
    <m/>
    <m/>
    <m/>
    <m/>
    <m/>
    <m/>
    <m/>
    <m/>
    <m/>
    <s v="Helsinki"/>
    <s v="Finland"/>
  </r>
  <r>
    <n v="139"/>
    <s v="Van Eck Associates Corporation"/>
    <n v="1.02E-4"/>
    <n v="6.2000000000000003E-5"/>
    <n v="5.7000000000000003E-5"/>
    <n v="7.6000000000000004E-5"/>
    <n v="1.5200000000000001E-4"/>
    <n v="1.06E-4"/>
    <n v="1.07E-4"/>
    <n v="1.11E-4"/>
    <n v="1.37E-4"/>
    <n v="2.7799999999999998E-4"/>
    <n v="3.3700000000000001E-4"/>
    <n v="9409504"/>
    <n v="5725804"/>
    <n v="5246004"/>
    <n v="7028204"/>
    <n v="14024404"/>
    <n v="9815804"/>
    <n v="9850604"/>
    <n v="10288004"/>
    <n v="12682604"/>
    <n v="25704604"/>
    <n v="31145404"/>
    <n v="3683700"/>
    <n v="479800"/>
    <n v="-1782200"/>
    <n v="-6996200"/>
    <n v="4208600"/>
    <n v="-34800"/>
    <n v="-437400"/>
    <n v="-2394600"/>
    <n v="-13022000"/>
    <n v="-5440800"/>
    <n v="-440400"/>
    <n v="41389395950"/>
    <n v="32556147675.700001"/>
    <n v="31738324148.549999"/>
    <n v="34877462397.800003"/>
    <n v="49208920230"/>
    <n v="31042480154.400002"/>
    <n v="37693067376.800003"/>
    <n v="37467852150"/>
    <n v="50730416029.099998"/>
    <n v="74382697910.699997"/>
    <n v="7204988029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703153816073570"/>
    <s v="Index"/>
    <s v="Low"/>
    <s v="Low"/>
    <s v="Low"/>
    <s v="Low"/>
    <s v="Low"/>
    <s v="Low"/>
    <s v="Low"/>
    <s v="Low"/>
    <s v="Low"/>
    <s v="Low"/>
    <s v="Low"/>
    <s v="New York"/>
    <s v="United States"/>
  </r>
  <r>
    <n v="140"/>
    <s v="Subari (Toni Eko Boy)"/>
    <n v="1.02E-4"/>
    <n v="6.6000000000000005E-5"/>
    <n v="3.4E-5"/>
    <n v="1.2999999999999999E-5"/>
    <n v="3.0000000000000001E-6"/>
    <n v="9.9999999999999995E-7"/>
    <m/>
    <m/>
    <m/>
    <m/>
    <m/>
    <n v="9379900"/>
    <n v="6082200"/>
    <n v="3117500"/>
    <n v="1204800"/>
    <n v="283800"/>
    <n v="117000"/>
    <m/>
    <m/>
    <m/>
    <m/>
    <m/>
    <n v="3297700"/>
    <n v="2964700"/>
    <n v="1912700"/>
    <n v="921000"/>
    <n v="166800"/>
    <n v="117000"/>
    <m/>
    <m/>
    <m/>
    <m/>
    <m/>
    <n v="45861509446.5"/>
    <n v="34582567166.800003"/>
    <n v="18860874964.450001"/>
    <n v="5978820017.5"/>
    <n v="995799262.5"/>
    <n v="370012546.80000001"/>
    <m/>
    <m/>
    <m/>
    <m/>
    <m/>
    <d v="2025-06-30T00:00:00"/>
    <d v="2024-12-31T00:00:00"/>
    <d v="2023-12-31T00:00:00"/>
    <d v="2022-12-31T00:00:00"/>
    <d v="2021-12-31T00:00:00"/>
    <d v="2020-12-31T00:00:00"/>
    <m/>
    <m/>
    <m/>
    <m/>
    <m/>
    <s v="Indonesia Insider"/>
    <s v="Indonesia Insider"/>
    <s v="Indonesia Insider"/>
    <s v="Indonesia Insider"/>
    <s v="Indonesia Insider"/>
    <s v="Indonesia Insider"/>
    <m/>
    <m/>
    <m/>
    <m/>
    <m/>
    <s v="Strategic Entities"/>
    <s v="Individual Investor"/>
    <n v="47133085494"/>
    <m/>
    <s v="Low"/>
    <s v="Low"/>
    <s v="Low"/>
    <s v="Moderate"/>
    <s v="Low"/>
    <m/>
    <m/>
    <m/>
    <m/>
    <m/>
    <m/>
    <m/>
    <s v="Indonesia"/>
  </r>
  <r>
    <n v="141"/>
    <s v="Mirae Asset Global Investments (Hong Kong) Limited"/>
    <n v="9.8999999999999994E-5"/>
    <n v="3.6900000000000002E-4"/>
    <n v="3.3000000000000003E-5"/>
    <m/>
    <m/>
    <m/>
    <n v="5.0000000000000004E-6"/>
    <n v="5.0000000000000004E-6"/>
    <n v="0"/>
    <n v="5.0000000000000004E-6"/>
    <n v="2.8600000000000001E-4"/>
    <n v="9149800"/>
    <n v="34066100"/>
    <n v="3087700"/>
    <m/>
    <m/>
    <m/>
    <n v="423400"/>
    <n v="423400"/>
    <n v="35600"/>
    <n v="507200"/>
    <n v="26417596"/>
    <n v="-24916300"/>
    <n v="30978400"/>
    <n v="3087700"/>
    <m/>
    <m/>
    <m/>
    <n v="0"/>
    <n v="387800"/>
    <n v="-471600"/>
    <n v="-25910396"/>
    <n v="-16681516"/>
    <n v="40247041074.800003"/>
    <n v="193695240409.60001"/>
    <n v="18680585043.150002"/>
    <m/>
    <m/>
    <m/>
    <n v="1407804937.5"/>
    <n v="1407804937.5"/>
    <n v="100569997.17"/>
    <n v="1280680060.3099999"/>
    <n v="61112857159.5"/>
    <d v="2025-09-30T00:00:00"/>
    <d v="2024-12-31T00:00:00"/>
    <d v="2023-12-31T00:00:00"/>
    <m/>
    <m/>
    <m/>
    <d v="2018-07-31T00:00:00"/>
    <d v="2018-07-31T00:00:00"/>
    <d v="2017-02-28T00:00:00"/>
    <d v="2016-07-31T00:00:00"/>
    <d v="2015-12-31T00:00:00"/>
    <s v="Aggregate MFs"/>
    <s v="Aggregate MFs"/>
    <s v="Aggregate MFs"/>
    <m/>
    <m/>
    <m/>
    <s v="Aggregate MFs"/>
    <s v="Aggregate MFs"/>
    <s v="Aggregate MFs"/>
    <s v="Aggregate MFs"/>
    <s v="Aggregate MFs"/>
    <s v="Investment Managers"/>
    <s v="Investment Advisor"/>
    <n v="57217132475620.797"/>
    <s v="Core Value"/>
    <s v="Moderate"/>
    <s v="Moderate"/>
    <s v="Moderate"/>
    <m/>
    <m/>
    <m/>
    <s v="Moderate"/>
    <s v="High"/>
    <s v="High"/>
    <s v="Moderate"/>
    <s v="High"/>
    <s v="Causeway Bay (Hong Kong)"/>
    <s v="Hong Kong"/>
  </r>
  <r>
    <n v="142"/>
    <s v="KLP Kapitalforvaltning AS"/>
    <n v="9.2999999999999997E-5"/>
    <n v="1.15E-4"/>
    <n v="1.4300000000000001E-4"/>
    <n v="1.2400000000000001E-4"/>
    <n v="1.08E-4"/>
    <n v="7.7999999999999999E-5"/>
    <m/>
    <m/>
    <m/>
    <m/>
    <m/>
    <n v="8572500"/>
    <n v="10645600"/>
    <n v="13254900"/>
    <n v="11484000"/>
    <n v="10011800"/>
    <n v="7230400"/>
    <m/>
    <m/>
    <m/>
    <m/>
    <m/>
    <n v="-2073100"/>
    <n v="-2609300"/>
    <n v="1770900"/>
    <n v="1472200"/>
    <n v="2781400"/>
    <n v="7230400"/>
    <m/>
    <m/>
    <m/>
    <m/>
    <m/>
    <n v="38815348771.5"/>
    <n v="60529442758.800003"/>
    <n v="80192144877.199997"/>
    <n v="56989349970.849998"/>
    <n v="35129469075"/>
    <n v="22866139998"/>
    <m/>
    <m/>
    <m/>
    <m/>
    <m/>
    <d v="2025-07-31T00:00:00"/>
    <d v="2024-12-31T00:00:00"/>
    <d v="2023-12-31T00:00:00"/>
    <d v="2022-12-31T00:00:00"/>
    <d v="2021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665196237604467"/>
    <m/>
    <s v="Low"/>
    <s v="Low"/>
    <s v="Low"/>
    <s v="Low"/>
    <s v="Low"/>
    <s v="Low"/>
    <m/>
    <m/>
    <m/>
    <m/>
    <m/>
    <s v="Oslo"/>
    <s v="Norway"/>
  </r>
  <r>
    <n v="143"/>
    <s v="Mirae Asset Global Investments (USA) LLC"/>
    <n v="8.7000000000000001E-5"/>
    <n v="5.7000000000000003E-5"/>
    <n v="5.3000000000000001E-5"/>
    <n v="6.0000000000000002E-5"/>
    <n v="3.8999999999999999E-5"/>
    <n v="4.6999999999999997E-5"/>
    <n v="3.6000000000000001E-5"/>
    <n v="3.8999999999999999E-5"/>
    <n v="3.6999999999999998E-5"/>
    <n v="2.3E-5"/>
    <n v="9.6000000000000002E-5"/>
    <n v="8057368"/>
    <n v="5269068"/>
    <n v="4868612"/>
    <n v="5516322"/>
    <n v="3602892"/>
    <n v="4373704"/>
    <n v="3302704"/>
    <n v="3567304"/>
    <n v="3459884"/>
    <n v="2160392"/>
    <n v="8916312"/>
    <n v="2788300"/>
    <n v="400456"/>
    <n v="-647710"/>
    <n v="1913430"/>
    <n v="-770812"/>
    <n v="1071000"/>
    <n v="-264600"/>
    <n v="107420"/>
    <n v="1299492"/>
    <n v="-6755920"/>
    <n v="-468160"/>
    <n v="35441782447.400002"/>
    <n v="29959208481.900002"/>
    <n v="29455102629"/>
    <n v="27374747942.299999"/>
    <n v="12641850877.5"/>
    <n v="13831838888.4"/>
    <n v="12637706688"/>
    <n v="12991754125"/>
    <n v="13839536066.4"/>
    <n v="6251634303.3000002"/>
    <n v="20626453042.200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543443484884690"/>
    <s v="Index"/>
    <s v="Low"/>
    <s v="Low"/>
    <s v="Low"/>
    <s v="Low"/>
    <s v="Moderate"/>
    <s v="Moderate"/>
    <s v="Moderate"/>
    <s v="Moderate"/>
    <s v="Moderate"/>
    <s v="Moderate"/>
    <s v="Low"/>
    <s v="New York"/>
    <s v="United States"/>
  </r>
  <r>
    <n v="144"/>
    <s v="DWS Investments Hong Kong Limited"/>
    <n v="8.7000000000000001E-5"/>
    <n v="6.0000000000000002E-5"/>
    <n v="4.3000000000000002E-5"/>
    <m/>
    <m/>
    <m/>
    <m/>
    <m/>
    <m/>
    <m/>
    <m/>
    <n v="8000000"/>
    <n v="5500000"/>
    <n v="4000000"/>
    <m/>
    <m/>
    <m/>
    <m/>
    <m/>
    <m/>
    <m/>
    <m/>
    <n v="2500000"/>
    <n v="1500000"/>
    <n v="4000000"/>
    <m/>
    <m/>
    <m/>
    <m/>
    <m/>
    <m/>
    <m/>
    <m/>
    <n v="38175789412.949997"/>
    <n v="31272256584.200001"/>
    <n v="24199999981.299999"/>
    <m/>
    <m/>
    <m/>
    <m/>
    <m/>
    <m/>
    <m/>
    <m/>
    <d v="2025-08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86510307335696.406"/>
    <m/>
    <s v="Low"/>
    <s v="Low"/>
    <s v="Moderate"/>
    <m/>
    <m/>
    <m/>
    <m/>
    <m/>
    <m/>
    <m/>
    <m/>
    <s v="Kowloon"/>
    <s v="Hong Kong"/>
  </r>
  <r>
    <n v="145"/>
    <s v="JPMorgan Asset Management (China) Company Limited."/>
    <n v="8.5000000000000006E-5"/>
    <n v="7.6000000000000004E-5"/>
    <n v="6.3999999999999997E-5"/>
    <m/>
    <n v="0"/>
    <n v="0"/>
    <n v="0"/>
    <m/>
    <m/>
    <n v="0"/>
    <n v="0"/>
    <n v="7878300"/>
    <n v="6982400"/>
    <n v="5887300"/>
    <m/>
    <n v="0"/>
    <n v="0"/>
    <n v="0"/>
    <m/>
    <m/>
    <n v="0"/>
    <n v="0"/>
    <n v="895900"/>
    <n v="1095100"/>
    <n v="5887300"/>
    <m/>
    <n v="0"/>
    <n v="0"/>
    <n v="0"/>
    <m/>
    <m/>
    <n v="0"/>
    <n v="-33982800"/>
    <n v="38519678244"/>
    <n v="39700982649.900002"/>
    <n v="35618164966.849998"/>
    <m/>
    <n v="0"/>
    <n v="0"/>
    <n v="0"/>
    <m/>
    <m/>
    <n v="0"/>
    <n v="0"/>
    <d v="2025-06-30T00:00:00"/>
    <d v="2024-12-31T00:00:00"/>
    <d v="2023-12-31T00:00:00"/>
    <m/>
    <d v="2020-12-31T00:00:00"/>
    <d v="2020-12-31T00:00:00"/>
    <d v="2019-12-31T00:00:00"/>
    <m/>
    <m/>
    <d v="2015-12-31T00:00:00"/>
    <d v="2015-12-31T00:00:00"/>
    <s v="Aggregate MFs"/>
    <s v="Aggregate MFs"/>
    <s v="Aggregate MFs"/>
    <m/>
    <s v="Aggregate MFs"/>
    <s v="Aggregate MFs"/>
    <s v="Aggregate MFs"/>
    <m/>
    <m/>
    <s v="Aggregate MFs"/>
    <s v="Aggregate MFs"/>
    <s v="Investment Managers"/>
    <s v="Investment Advisor"/>
    <n v="125011034549532"/>
    <s v="Growth"/>
    <m/>
    <s v="Moderate"/>
    <s v="Moderate"/>
    <m/>
    <s v="Moderate"/>
    <s v="High"/>
    <s v="High"/>
    <m/>
    <m/>
    <s v="High"/>
    <s v="High"/>
    <s v="Shanghai"/>
    <s v="China (Mainland)"/>
  </r>
  <r>
    <n v="146"/>
    <s v="Invesco Advisers, Inc."/>
    <n v="8.2999999999999998E-5"/>
    <n v="5.0000000000000002E-5"/>
    <n v="1.03E-4"/>
    <n v="8.7999999999999998E-5"/>
    <n v="9.7999999999999997E-5"/>
    <n v="1.0000000000000001E-5"/>
    <n v="3.6540000000000001E-3"/>
    <n v="3.6779999999999998E-3"/>
    <n v="1.5855999999999999E-2"/>
    <n v="1.3155E-2"/>
    <n v="2.3089999999999999E-3"/>
    <n v="7680800"/>
    <n v="4655200"/>
    <n v="9561400"/>
    <n v="8125600"/>
    <n v="9075000"/>
    <n v="935916"/>
    <n v="337593916"/>
    <n v="339812516"/>
    <n v="1465098854"/>
    <n v="1215530416"/>
    <n v="213356516"/>
    <n v="3025600"/>
    <n v="-4906200"/>
    <n v="1435800"/>
    <n v="-949400"/>
    <n v="8139084"/>
    <n v="-336658000"/>
    <n v="-2218600"/>
    <n v="-1125286338"/>
    <n v="249568438"/>
    <n v="1002173900"/>
    <n v="-442269600"/>
    <n v="33785380440"/>
    <n v="26468838088.200001"/>
    <n v="57846470028.75"/>
    <n v="40323289964.650002"/>
    <n v="31842419152.5"/>
    <n v="2959834316.4000001"/>
    <n v="1291793904804.3999"/>
    <n v="1237562221587.5"/>
    <n v="5860395416906.9004"/>
    <n v="3517441143225.2998"/>
    <n v="493565966433.7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5073207641122910"/>
    <s v="GARP"/>
    <s v="Low"/>
    <s v="Low"/>
    <s v="Low"/>
    <s v="Low"/>
    <s v="Low"/>
    <s v="Low"/>
    <s v="Low"/>
    <s v="Low"/>
    <s v="Low"/>
    <s v="Low"/>
    <s v="Low"/>
    <s v="Atlanta"/>
    <s v="United States"/>
  </r>
  <r>
    <n v="147"/>
    <s v="Capital International, Inc."/>
    <n v="8.0000000000000007E-5"/>
    <n v="1.2799999999999999E-4"/>
    <n v="2.9599999999999998E-4"/>
    <n v="6.3500000000000004E-4"/>
    <n v="1.292E-3"/>
    <n v="2.0669999999999998E-3"/>
    <n v="8.2299999999999995E-4"/>
    <n v="5.8E-4"/>
    <n v="5.8E-4"/>
    <n v="7.3399999999999995E-4"/>
    <n v="6.9800000000000005E-4"/>
    <n v="7431700"/>
    <n v="11811600"/>
    <n v="27315000"/>
    <n v="58698400"/>
    <n v="119401600"/>
    <n v="190949816"/>
    <n v="76009976"/>
    <n v="53580376"/>
    <n v="53580376"/>
    <n v="67847576"/>
    <n v="64474240"/>
    <n v="-4379900"/>
    <n v="-15503400"/>
    <n v="-31383400"/>
    <n v="-60703200"/>
    <n v="-71548216"/>
    <n v="114939840"/>
    <n v="22429600"/>
    <n v="0"/>
    <n v="-14267200"/>
    <n v="3373336"/>
    <n v="-1017352"/>
    <n v="36336099562.199997"/>
    <n v="67159161210"/>
    <n v="165255749925.79999"/>
    <n v="291290810223.59998"/>
    <n v="418957112602.5"/>
    <n v="603878792400"/>
    <n v="290850098395.20001"/>
    <n v="195134216768.75"/>
    <n v="214321504004.60001"/>
    <n v="196333923198.29999"/>
    <n v="149150779096.35001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88646419670530"/>
    <s v="Growth"/>
    <s v="Low"/>
    <s v="Low"/>
    <s v="Low"/>
    <s v="Low"/>
    <s v="Low"/>
    <s v="Low"/>
    <s v="Moderate"/>
    <s v="Low"/>
    <s v="Moderate"/>
    <s v="Moderate"/>
    <s v="Low"/>
    <s v="Los Angeles"/>
    <s v="United States"/>
  </r>
  <r>
    <n v="148"/>
    <s v="Russell Investments Limited"/>
    <n v="7.8999999999999996E-5"/>
    <n v="9.0000000000000006E-5"/>
    <n v="1.5300000000000001E-4"/>
    <n v="3.7599999999999998E-4"/>
    <n v="4.0099999999999999E-4"/>
    <n v="4.0200000000000001E-4"/>
    <n v="3.1999999999999999E-5"/>
    <n v="2.0599999999999999E-4"/>
    <n v="7.4999999999999993E-5"/>
    <n v="5.5999999999999999E-5"/>
    <n v="4.6999999999999997E-5"/>
    <n v="7328600"/>
    <n v="8301888"/>
    <n v="14131088"/>
    <n v="34781988"/>
    <n v="37067700"/>
    <n v="37132400"/>
    <n v="2931600"/>
    <n v="19053000"/>
    <n v="6943600"/>
    <n v="5156896"/>
    <n v="4327164"/>
    <n v="-973288"/>
    <n v="-5829200"/>
    <n v="-20650900"/>
    <n v="-2285712"/>
    <n v="-64700"/>
    <n v="34200800"/>
    <n v="-16121400"/>
    <n v="12109400"/>
    <n v="1786704"/>
    <n v="829732"/>
    <n v="0"/>
    <n v="32236165374"/>
    <n v="47203413047.099998"/>
    <n v="85493082288.649994"/>
    <n v="172605615545.54999"/>
    <n v="130063387455"/>
    <n v="117431214825.60001"/>
    <n v="11217687332.4"/>
    <n v="69389065700"/>
    <n v="27774400034.650002"/>
    <n v="14922767787"/>
    <n v="10010197620.7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87944723531860.797"/>
    <s v="Core Value"/>
    <s v="Moderate"/>
    <s v="Moderate"/>
    <s v="Moderate"/>
    <s v="Moderate"/>
    <s v="Moderate"/>
    <s v="Moderate"/>
    <s v="Moderate"/>
    <s v="Moderate"/>
    <s v="Moderate"/>
    <s v="Moderate"/>
    <s v="Moderate"/>
    <s v="London"/>
    <s v="United Kingdom"/>
  </r>
  <r>
    <n v="149"/>
    <s v="DWS Investment GmbH"/>
    <n v="7.8999999999999996E-5"/>
    <n v="6.0000000000000002E-5"/>
    <n v="5.5999999999999999E-5"/>
    <n v="3.4E-5"/>
    <n v="9.8999999999999994E-5"/>
    <n v="2.0799999999999999E-4"/>
    <n v="1.03E-4"/>
    <n v="1.2400000000000001E-4"/>
    <n v="1.22E-4"/>
    <n v="1.2899999999999999E-4"/>
    <n v="5.8999999999999998E-5"/>
    <n v="7298000"/>
    <n v="5563700"/>
    <n v="5178900"/>
    <n v="3161000"/>
    <n v="9173000"/>
    <n v="19252000"/>
    <n v="9531000"/>
    <n v="11471632"/>
    <n v="11313228"/>
    <n v="11894400"/>
    <n v="5427600"/>
    <n v="1734300"/>
    <n v="384800"/>
    <n v="2017900"/>
    <n v="-6012000"/>
    <n v="-10079000"/>
    <n v="9721000"/>
    <n v="-1940632"/>
    <n v="158404"/>
    <n v="-581172"/>
    <n v="6466800"/>
    <n v="-417892"/>
    <n v="34825863990.75"/>
    <n v="31634446184.900002"/>
    <n v="31332344912.799999"/>
    <n v="15686462567.049999"/>
    <n v="32186282197.5"/>
    <n v="60884449891.199997"/>
    <n v="36470111403.199997"/>
    <n v="41778503525"/>
    <n v="45252912030.150002"/>
    <n v="34419419954.099998"/>
    <n v="12555879222.6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3369705320951430"/>
    <s v="GARP"/>
    <s v="Low"/>
    <s v="Low"/>
    <s v="Low"/>
    <s v="Low"/>
    <s v="Low"/>
    <s v="Low"/>
    <s v="Low"/>
    <s v="Low"/>
    <s v="Low"/>
    <s v="Low"/>
    <s v="Moderate"/>
    <s v="Frankfurt"/>
    <s v="Germany"/>
  </r>
  <r>
    <n v="150"/>
    <s v="Fidelity Investment Luxembourg S.A."/>
    <n v="7.8999999999999996E-5"/>
    <n v="3.4999999999999997E-5"/>
    <n v="3.9999999999999998E-6"/>
    <m/>
    <m/>
    <m/>
    <m/>
    <m/>
    <m/>
    <m/>
    <m/>
    <n v="7288000"/>
    <n v="3190400"/>
    <n v="328200"/>
    <m/>
    <m/>
    <m/>
    <m/>
    <m/>
    <m/>
    <m/>
    <m/>
    <n v="4097600"/>
    <n v="2862200"/>
    <n v="328200"/>
    <m/>
    <m/>
    <m/>
    <m/>
    <m/>
    <m/>
    <m/>
    <m/>
    <n v="35633501563.800003"/>
    <n v="18140183133.900002"/>
    <n v="1862535028"/>
    <m/>
    <m/>
    <m/>
    <m/>
    <m/>
    <m/>
    <m/>
    <m/>
    <d v="2025-06-30T00:00:00"/>
    <d v="2024-12-31T00:00:00"/>
    <d v="2023-10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0423396591798.801"/>
    <m/>
    <s v="Moderate"/>
    <s v="High"/>
    <s v="Moderate"/>
    <m/>
    <m/>
    <m/>
    <m/>
    <m/>
    <m/>
    <m/>
    <m/>
    <s v="Luxembourg"/>
    <s v="Luxembourg"/>
  </r>
  <r>
    <n v="151"/>
    <s v="Goldman Sachs Asset Management B.V."/>
    <n v="7.8999999999999996E-5"/>
    <n v="3.4999999999999997E-5"/>
    <n v="3.6000000000000001E-5"/>
    <n v="1.02E-4"/>
    <n v="1.21E-4"/>
    <n v="6.7999999999999999E-5"/>
    <n v="1.4E-5"/>
    <m/>
    <m/>
    <n v="1.7100000000000001E-4"/>
    <n v="1.7100000000000001E-4"/>
    <n v="7288000"/>
    <n v="3190400"/>
    <n v="3308300"/>
    <n v="9442900"/>
    <n v="11165800"/>
    <n v="6309400"/>
    <n v="1310552"/>
    <m/>
    <m/>
    <n v="15820524"/>
    <n v="15820524"/>
    <n v="4097600"/>
    <n v="-117900"/>
    <n v="-6134600"/>
    <n v="-1722900"/>
    <n v="4856400"/>
    <n v="4998848"/>
    <n v="1310552"/>
    <m/>
    <m/>
    <n v="0"/>
    <n v="0"/>
    <n v="32999272295.5"/>
    <n v="18140183133.900002"/>
    <n v="18774602430"/>
    <n v="46860391355.25"/>
    <n v="39178631797.5"/>
    <n v="19953477414"/>
    <n v="5014791394.8000002"/>
    <m/>
    <m/>
    <n v="31344413194.700001"/>
    <n v="31344413194.700001"/>
    <d v="2025-07-31T00:00:00"/>
    <d v="2024-12-31T00:00:00"/>
    <d v="2023-10-31T00:00:00"/>
    <d v="2022-12-31T00:00:00"/>
    <d v="2021-12-31T00:00:00"/>
    <d v="2020-12-31T00:00:00"/>
    <d v="2019-12-31T00:00:00"/>
    <m/>
    <m/>
    <d v="2015-09-30T00:00:00"/>
    <d v="2015-09-30T00:00:00"/>
    <s v="Aggregate MFs"/>
    <s v="Aggregate MFs"/>
    <s v="Aggregate MFs"/>
    <s v="Aggregate MFs"/>
    <s v="Aggregate MFs"/>
    <s v="Aggregate MFs"/>
    <s v="Aggregate MFs"/>
    <m/>
    <m/>
    <s v="Aggregate MFs"/>
    <s v="Aggregate MFs"/>
    <s v="Investment Managers"/>
    <s v="Investment Advisor"/>
    <n v="823806963140508"/>
    <m/>
    <s v="Low"/>
    <s v="Moderate"/>
    <s v="Moderate"/>
    <s v="Moderate"/>
    <s v="Moderate"/>
    <s v="Moderate"/>
    <s v="Moderate"/>
    <m/>
    <m/>
    <s v="Low"/>
    <s v="Low"/>
    <s v="The Hague"/>
    <s v="Netherlands"/>
  </r>
  <r>
    <n v="152"/>
    <s v="SEB Investment Management AB"/>
    <n v="7.7999999999999999E-5"/>
    <n v="2.4499999999999999E-4"/>
    <n v="4.73E-4"/>
    <n v="2.12E-4"/>
    <n v="3.8000000000000002E-5"/>
    <n v="1.6699999999999999E-4"/>
    <n v="5.1E-5"/>
    <n v="4.3000000000000002E-5"/>
    <n v="4.3999999999999999E-5"/>
    <n v="4.1E-5"/>
    <n v="5.0000000000000002E-5"/>
    <n v="7239700"/>
    <n v="22599106"/>
    <n v="43664242"/>
    <n v="19617378"/>
    <n v="3496014"/>
    <n v="15475054"/>
    <n v="4672314"/>
    <n v="3930332"/>
    <n v="4047142"/>
    <n v="3750000"/>
    <n v="4664000"/>
    <n v="-15359406"/>
    <n v="-21065136"/>
    <n v="24046864"/>
    <n v="16121364"/>
    <n v="-11979040"/>
    <n v="10802740"/>
    <n v="741982"/>
    <n v="-116810"/>
    <n v="297142"/>
    <n v="-914000"/>
    <n v="0"/>
    <n v="31845122687"/>
    <n v="128495462280.10001"/>
    <n v="264168663875.14999"/>
    <n v="97351238333.800003"/>
    <n v="12266836762.5"/>
    <n v="48939858258.800003"/>
    <n v="17878481971.599998"/>
    <n v="14313864706.25"/>
    <n v="16188567989.75"/>
    <n v="10851562524.299999"/>
    <n v="9240549938.4500008"/>
    <d v="2025-09-30T00:00:00"/>
    <d v="2024-12-31T00:00:00"/>
    <d v="2023-12-31T00:00:00"/>
    <d v="2022-12-31T00:00:00"/>
    <d v="2021-12-31T00:00:00"/>
    <d v="2020-11-30T00:00:00"/>
    <d v="2019-12-31T00:00:00"/>
    <d v="2018-12-31T00:00:00"/>
    <d v="2017-12-31T00:00:00"/>
    <d v="2016-12-31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059858560523320"/>
    <s v="Core Growth"/>
    <s v="Low"/>
    <s v="Low"/>
    <s v="Low"/>
    <s v="Low"/>
    <s v="Low"/>
    <s v="Low"/>
    <s v="Moderate"/>
    <s v="Moderate"/>
    <s v="Moderate"/>
    <s v="Low"/>
    <s v="Moderate"/>
    <s v="Stockholm"/>
    <s v="Sweden"/>
  </r>
  <r>
    <n v="153"/>
    <s v="MFS Investment Management"/>
    <n v="7.7000000000000001E-5"/>
    <n v="8.7000000000000001E-5"/>
    <n v="1.15E-4"/>
    <n v="1.16E-4"/>
    <n v="2.0000000000000002E-5"/>
    <n v="4.0000000000000003E-5"/>
    <n v="5.7000000000000003E-5"/>
    <n v="0"/>
    <n v="3.77E-4"/>
    <n v="3.9899999999999999E-4"/>
    <n v="2.6200000000000003E-4"/>
    <n v="7150600"/>
    <n v="8032400"/>
    <n v="10595200"/>
    <n v="10711200"/>
    <n v="1829400"/>
    <n v="3717400"/>
    <n v="5307600"/>
    <n v="0"/>
    <n v="34827200"/>
    <n v="36910000"/>
    <n v="24216800"/>
    <n v="-881800"/>
    <n v="-2562800"/>
    <n v="-116000"/>
    <n v="8881800"/>
    <n v="-1888000"/>
    <n v="-1590200"/>
    <n v="5307600"/>
    <n v="-34827200"/>
    <n v="-2082800"/>
    <n v="12693200"/>
    <n v="-5856800"/>
    <n v="31453200352"/>
    <n v="45671140786.5"/>
    <n v="64100959884.699997"/>
    <n v="53154330089.849998"/>
    <n v="6419010682.5"/>
    <n v="11756277468"/>
    <n v="20309386585.200001"/>
    <n v="0"/>
    <n v="139308799955.75"/>
    <n v="103347999993.17999"/>
    <n v="56021669852.400002"/>
    <d v="2025-09-30T00:00:00"/>
    <d v="2024-12-31T00:00:00"/>
    <d v="2023-12-31T00:00:00"/>
    <d v="2022-12-31T00:00:00"/>
    <d v="2021-12-31T00:00:00"/>
    <d v="2020-12-31T00:00:00"/>
    <d v="2019-12-31T00:00:00"/>
    <d v="2018-09-30T00:00:00"/>
    <d v="2017-12-31T00:00:00"/>
    <d v="2016-09-30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8695271919306670"/>
    <s v="Core Growth"/>
    <s v="Low"/>
    <s v="Low"/>
    <s v="Low"/>
    <s v="Low"/>
    <s v="Low"/>
    <s v="Low"/>
    <s v="Low"/>
    <s v="Low"/>
    <s v="Low"/>
    <s v="Low"/>
    <s v="Low"/>
    <s v="Boston"/>
    <s v="United States"/>
  </r>
  <r>
    <n v="154"/>
    <s v="Rudianto (Aquarius)"/>
    <n v="7.7000000000000001E-5"/>
    <n v="7.7000000000000001E-5"/>
    <n v="4.5000000000000003E-5"/>
    <n v="2.4000000000000001E-5"/>
    <n v="1.4E-5"/>
    <n v="6.0000000000000002E-6"/>
    <m/>
    <m/>
    <m/>
    <m/>
    <m/>
    <n v="7102000"/>
    <n v="7102000"/>
    <n v="4137300"/>
    <n v="2224600"/>
    <n v="1303600"/>
    <n v="561000"/>
    <m/>
    <m/>
    <m/>
    <m/>
    <m/>
    <n v="0"/>
    <n v="2964700"/>
    <n v="1912700"/>
    <n v="921000"/>
    <n v="742600"/>
    <n v="561000"/>
    <m/>
    <m/>
    <m/>
    <m/>
    <m/>
    <n v="40381012179.800003"/>
    <n v="40381012179.800003"/>
    <n v="25030664917.299999"/>
    <n v="11039577578.15"/>
    <n v="4574080140"/>
    <n v="1774162494"/>
    <m/>
    <m/>
    <m/>
    <m/>
    <m/>
    <d v="2024-12-31T00:00:00"/>
    <d v="2024-12-31T00:00:00"/>
    <d v="2023-12-31T00:00:00"/>
    <d v="2022-12-31T00:00:00"/>
    <d v="2021-12-31T00:00:00"/>
    <d v="2020-12-31T00:00:00"/>
    <m/>
    <m/>
    <m/>
    <m/>
    <m/>
    <s v="Indonesia Insider"/>
    <s v="Indonesia Insider"/>
    <s v="Indonesia Insider"/>
    <s v="Indonesia Insider"/>
    <s v="Indonesia Insider"/>
    <s v="Indonesia Insider"/>
    <m/>
    <m/>
    <m/>
    <m/>
    <m/>
    <s v="Strategic Entities"/>
    <s v="Individual Investor"/>
    <n v="41861732949.599998"/>
    <m/>
    <s v="Low"/>
    <s v="Low"/>
    <s v="Low"/>
    <s v="Low"/>
    <s v="Low"/>
    <s v="Low"/>
    <m/>
    <m/>
    <m/>
    <m/>
    <m/>
    <m/>
    <s v="Indonesia"/>
  </r>
  <r>
    <n v="155"/>
    <s v="FIL Pensions Management"/>
    <n v="7.4999999999999993E-5"/>
    <n v="4.0000000000000003E-5"/>
    <n v="4.0000000000000003E-5"/>
    <n v="1.1E-4"/>
    <m/>
    <m/>
    <m/>
    <m/>
    <m/>
    <m/>
    <m/>
    <n v="6974799"/>
    <n v="3726000"/>
    <n v="3713600"/>
    <n v="10178402"/>
    <m/>
    <m/>
    <m/>
    <m/>
    <m/>
    <m/>
    <m/>
    <n v="3248799"/>
    <n v="12400"/>
    <n v="-6464802"/>
    <n v="10178402"/>
    <m/>
    <m/>
    <m/>
    <m/>
    <m/>
    <m/>
    <m/>
    <n v="31581132271.5"/>
    <n v="21185532446"/>
    <n v="22467279953.450001"/>
    <n v="50510320038.75"/>
    <m/>
    <m/>
    <m/>
    <m/>
    <m/>
    <m/>
    <m/>
    <d v="2025-07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78200686614525.594"/>
    <m/>
    <s v="Moderate"/>
    <s v="High"/>
    <s v="Moderate"/>
    <s v="Moderate"/>
    <m/>
    <m/>
    <m/>
    <m/>
    <m/>
    <m/>
    <m/>
    <s v="London"/>
    <s v="United Kingdom"/>
  </r>
  <r>
    <n v="156"/>
    <s v="Asset Management One Co., Ltd."/>
    <n v="7.4999999999999993E-5"/>
    <n v="6.9999999999999994E-5"/>
    <n v="6.8999999999999997E-5"/>
    <n v="7.9999999999999996E-6"/>
    <n v="1.06E-4"/>
    <n v="3.0000000000000001E-6"/>
    <n v="3.0000000000000001E-6"/>
    <n v="2.1999999999999999E-5"/>
    <n v="8.6000000000000003E-5"/>
    <n v="9.9999999999999995E-7"/>
    <n v="3.1000000000000001E-5"/>
    <n v="6957322"/>
    <n v="6474641"/>
    <n v="6413081"/>
    <n v="710770"/>
    <n v="9807796"/>
    <n v="272446"/>
    <n v="318786"/>
    <n v="2068228"/>
    <n v="7985200"/>
    <n v="97728"/>
    <n v="2892196"/>
    <n v="482681"/>
    <n v="61560"/>
    <n v="5702311"/>
    <n v="-9097026"/>
    <n v="9535350"/>
    <n v="-46340"/>
    <n v="-1749442"/>
    <n v="-5916972"/>
    <n v="7887472"/>
    <n v="-2794468"/>
    <n v="0"/>
    <n v="36907802065.75"/>
    <n v="41437702440.400002"/>
    <n v="36714888738"/>
    <n v="2940810948.4000001"/>
    <n v="29423388038.75"/>
    <n v="607554592"/>
    <n v="1271159111.8399999"/>
    <n v="6876858099.75"/>
    <n v="27249495058.52"/>
    <n v="220498755.19999999"/>
    <n v="7772776718.3999996"/>
    <d v="2025-05-31T00:00:00"/>
    <d v="2024-07-31T00:00:00"/>
    <d v="2023-07-31T00:00:00"/>
    <d v="2022-07-31T00:00:00"/>
    <d v="2021-05-31T00:00:00"/>
    <d v="2020-04-30T00:00:00"/>
    <d v="2019-07-31T00:00:00"/>
    <d v="2018-07-31T00:00:00"/>
    <d v="2017-07-31T00:00:00"/>
    <d v="2016-05-31T00:00:00"/>
    <d v="2015-04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698921570231609"/>
    <s v="Growth"/>
    <s v="Low"/>
    <s v="Low"/>
    <s v="Low"/>
    <s v="Moderate"/>
    <s v="Low"/>
    <s v="Low"/>
    <s v="Moderate"/>
    <s v="Moderate"/>
    <s v="Low"/>
    <s v="High"/>
    <s v="Low"/>
    <s v="Chiyoda-ku (Tokyo)"/>
    <s v="Japan"/>
  </r>
  <r>
    <n v="157"/>
    <s v="Inspire Investing"/>
    <n v="7.4999999999999993E-5"/>
    <n v="4.3999999999999999E-5"/>
    <n v="4.1E-5"/>
    <n v="3.1999999999999999E-5"/>
    <m/>
    <m/>
    <m/>
    <m/>
    <m/>
    <m/>
    <m/>
    <n v="6939761"/>
    <n v="4085878"/>
    <n v="3831382"/>
    <n v="2958358"/>
    <m/>
    <m/>
    <m/>
    <m/>
    <m/>
    <m/>
    <m/>
    <n v="2853883"/>
    <n v="254496"/>
    <n v="873024"/>
    <n v="2958358"/>
    <m/>
    <m/>
    <m/>
    <m/>
    <m/>
    <m/>
    <m/>
    <n v="30525786965.799999"/>
    <n v="23231750038.5"/>
    <n v="23179861082.799999"/>
    <n v="14680851654.700001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24258391304750.398"/>
    <m/>
    <s v="Moderate"/>
    <s v="Moderate"/>
    <s v="Moderate"/>
    <s v="Moderate"/>
    <m/>
    <m/>
    <m/>
    <m/>
    <m/>
    <m/>
    <m/>
    <s v="Meridian"/>
    <s v="United States"/>
  </r>
  <r>
    <n v="158"/>
    <s v="Lansdowne Partners (UK) LLP"/>
    <n v="7.3999999999999996E-5"/>
    <n v="6.9999999999999994E-5"/>
    <n v="5.1999999999999997E-5"/>
    <m/>
    <m/>
    <m/>
    <m/>
    <m/>
    <m/>
    <m/>
    <m/>
    <n v="6844229"/>
    <n v="6470502"/>
    <n v="4766294"/>
    <m/>
    <m/>
    <m/>
    <m/>
    <m/>
    <m/>
    <m/>
    <m/>
    <n v="373727"/>
    <n v="1704208"/>
    <n v="4766294"/>
    <m/>
    <m/>
    <m/>
    <m/>
    <m/>
    <m/>
    <m/>
    <m/>
    <n v="32660480607.299999"/>
    <n v="36790399798.900002"/>
    <n v="28836078608.099998"/>
    <m/>
    <m/>
    <m/>
    <m/>
    <m/>
    <m/>
    <m/>
    <m/>
    <d v="2025-08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77703473652117.594"/>
    <s v="Hedge Fund"/>
    <s v="Low"/>
    <s v="Low"/>
    <s v="Moderate"/>
    <m/>
    <m/>
    <m/>
    <m/>
    <m/>
    <m/>
    <m/>
    <m/>
    <s v="London"/>
    <s v="United Kingdom"/>
  </r>
  <r>
    <n v="159"/>
    <s v="Handelsbanken Kapitalförvaltning AB"/>
    <n v="7.2999999999999999E-5"/>
    <n v="1.2E-4"/>
    <n v="1.2999999999999999E-4"/>
    <n v="1.16E-4"/>
    <n v="7.8999999999999996E-5"/>
    <n v="9.1000000000000003E-5"/>
    <n v="8.5000000000000006E-5"/>
    <n v="0"/>
    <n v="3.8000000000000002E-5"/>
    <n v="5.1999999999999997E-5"/>
    <n v="9.1000000000000003E-5"/>
    <n v="6742000"/>
    <n v="11101100"/>
    <n v="12023200"/>
    <n v="10680400"/>
    <n v="7282000"/>
    <n v="8451400"/>
    <n v="7839200"/>
    <n v="0"/>
    <n v="3467200"/>
    <n v="4798468"/>
    <n v="8403348"/>
    <n v="-4359100"/>
    <n v="-922100"/>
    <n v="1342800"/>
    <n v="3398400"/>
    <n v="-1169400"/>
    <n v="612200"/>
    <n v="7839200"/>
    <n v="-3467200"/>
    <n v="-1331268"/>
    <n v="-3604880"/>
    <n v="0"/>
    <n v="29655899726.599998"/>
    <n v="63119354162.400002"/>
    <n v="72740360007.649994"/>
    <n v="53001485058.5"/>
    <n v="25551129082.5"/>
    <n v="26727552493.200001"/>
    <n v="29996484816.400002"/>
    <n v="0"/>
    <n v="13868799976.549999"/>
    <n v="13885566741.6"/>
    <n v="19439793373.200001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760432802673270"/>
    <s v="Core Growth"/>
    <s v="High"/>
    <s v="Low"/>
    <s v="Low"/>
    <s v="Low"/>
    <s v="Low"/>
    <s v="Low"/>
    <s v="Low"/>
    <s v="Low"/>
    <s v="Low"/>
    <s v="Moderate"/>
    <s v="Moderate"/>
    <s v="Stockholm"/>
    <s v="Sweden"/>
  </r>
  <r>
    <n v="160"/>
    <s v="Vanguard Global Advisers LLC"/>
    <n v="7.1000000000000005E-5"/>
    <n v="6.6000000000000005E-5"/>
    <n v="5.3999999999999998E-5"/>
    <n v="4.6E-5"/>
    <n v="2.3E-5"/>
    <n v="3.0000000000000001E-6"/>
    <m/>
    <m/>
    <m/>
    <m/>
    <m/>
    <n v="6573309"/>
    <n v="6111409"/>
    <n v="4992200"/>
    <n v="4237400"/>
    <n v="2108600"/>
    <n v="247800"/>
    <m/>
    <m/>
    <m/>
    <m/>
    <m/>
    <n v="461900"/>
    <n v="1119209"/>
    <n v="754800"/>
    <n v="2128800"/>
    <n v="1860800"/>
    <n v="247800"/>
    <m/>
    <m/>
    <m/>
    <m/>
    <m/>
    <n v="28913881985.799999"/>
    <n v="34748645572.400002"/>
    <n v="30202809914.049999"/>
    <n v="21028097556.950001"/>
    <n v="7398669397.5"/>
    <n v="783667450.79999995"/>
    <m/>
    <m/>
    <m/>
    <m/>
    <m/>
    <d v="2025-09-30T00:00:00"/>
    <d v="2024-12-31T00:00:00"/>
    <d v="2023-12-31T00:00:00"/>
    <d v="2022-12-31T00:00:00"/>
    <d v="2021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1231972996150300"/>
    <m/>
    <s v="Low"/>
    <s v="Low"/>
    <s v="Low"/>
    <s v="Low"/>
    <s v="Low"/>
    <s v="Low"/>
    <m/>
    <m/>
    <m/>
    <m/>
    <m/>
    <s v="Malvern"/>
    <s v="United States"/>
  </r>
  <r>
    <n v="161"/>
    <s v="MFS International Singapore Pte. Ltd"/>
    <n v="6.9999999999999994E-5"/>
    <n v="3.1000000000000001E-5"/>
    <n v="6.0000000000000002E-6"/>
    <n v="0"/>
    <n v="6.0000000000000002E-5"/>
    <n v="7.7000000000000001E-5"/>
    <n v="8.0000000000000007E-5"/>
    <n v="1.6699999999999999E-4"/>
    <n v="1.2E-4"/>
    <n v="1.5200000000000001E-4"/>
    <n v="1.8E-5"/>
    <n v="6466000"/>
    <n v="2888700"/>
    <n v="565400"/>
    <n v="0"/>
    <n v="5538600"/>
    <n v="7132400"/>
    <n v="7352400"/>
    <n v="15466200"/>
    <n v="11118400"/>
    <n v="14060400"/>
    <n v="1660000"/>
    <n v="3577300"/>
    <n v="2323300"/>
    <n v="565400"/>
    <n v="-5538600"/>
    <n v="-1593800"/>
    <n v="-220000"/>
    <n v="-8113800"/>
    <n v="4347800"/>
    <n v="-2942000"/>
    <n v="12400400"/>
    <n v="0"/>
    <n v="28441864035.200001"/>
    <n v="16424757759.700001"/>
    <n v="3420670010.1500001"/>
    <n v="0"/>
    <n v="19433875830"/>
    <n v="22556215000.799999"/>
    <n v="28133757864"/>
    <n v="56326309137.5"/>
    <n v="44473600067.150002"/>
    <n v="40687282509.300003"/>
    <n v="3527499991.8000002"/>
    <d v="2025-09-30T00:00:00"/>
    <d v="2024-12-31T00:00:00"/>
    <d v="2023-12-31T00:00:00"/>
    <d v="2022-04-30T00:00:00"/>
    <d v="2021-12-31T00:00:00"/>
    <d v="2020-12-31T00:00:00"/>
    <d v="2019-12-31T00:00:00"/>
    <d v="2018-12-31T00:00:00"/>
    <d v="2017-12-31T00:00:00"/>
    <d v="2016-12-31T00:00:00"/>
    <d v="2015-11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7226309698617.5996"/>
    <s v="Core Value"/>
    <s v="Moderate"/>
    <s v="Low"/>
    <s v="High"/>
    <s v="Low"/>
    <s v="Low"/>
    <s v="Low"/>
    <s v="Low"/>
    <s v="Low"/>
    <s v="High"/>
    <s v="High"/>
    <s v="High"/>
    <s v="Singapore"/>
    <s v="Singapore"/>
  </r>
  <r>
    <n v="162"/>
    <s v="PensionDanmark A/S"/>
    <n v="6.9999999999999994E-5"/>
    <n v="6.9999999999999994E-5"/>
    <n v="7.4999999999999993E-5"/>
    <n v="4.6E-5"/>
    <n v="5.8999999999999998E-5"/>
    <n v="5.8999999999999998E-5"/>
    <m/>
    <m/>
    <m/>
    <m/>
    <m/>
    <n v="6448694"/>
    <n v="6448694"/>
    <n v="6904079"/>
    <n v="4228032"/>
    <n v="5476192"/>
    <n v="5476192"/>
    <m/>
    <m/>
    <m/>
    <m/>
    <m/>
    <n v="0"/>
    <n v="-455385"/>
    <n v="2676047"/>
    <n v="-1248160"/>
    <n v="0"/>
    <n v="5476192"/>
    <m/>
    <m/>
    <m/>
    <m/>
    <m/>
    <n v="46957733813.699997"/>
    <n v="46957733813.699997"/>
    <n v="41597076013.5"/>
    <n v="16277923269.4"/>
    <n v="17318457234"/>
    <n v="17318457234"/>
    <m/>
    <m/>
    <m/>
    <m/>
    <m/>
    <d v="2024-10-31T00:00:00"/>
    <d v="2024-10-31T00:00:00"/>
    <d v="2023-08-31T00:00:00"/>
    <d v="2022-02-28T00:00:00"/>
    <d v="2020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Pension Fund"/>
    <n v="245228405501678"/>
    <s v="Core Value"/>
    <s v="Low"/>
    <s v="Low"/>
    <s v="Moderate"/>
    <s v="Low"/>
    <s v="Low"/>
    <s v="High"/>
    <m/>
    <m/>
    <m/>
    <m/>
    <m/>
    <s v="Copenhagen"/>
    <s v="Denmark"/>
  </r>
  <r>
    <n v="163"/>
    <s v="Wellington Management Singapore Pte. Ltd."/>
    <n v="6.9999999999999994E-5"/>
    <n v="6.9999999999999994E-5"/>
    <m/>
    <m/>
    <m/>
    <m/>
    <m/>
    <m/>
    <m/>
    <m/>
    <m/>
    <n v="6424300"/>
    <n v="6424300"/>
    <m/>
    <m/>
    <m/>
    <m/>
    <m/>
    <m/>
    <m/>
    <m/>
    <m/>
    <n v="0"/>
    <n v="6424300"/>
    <m/>
    <m/>
    <m/>
    <m/>
    <m/>
    <m/>
    <m/>
    <m/>
    <m/>
    <n v="46576175049"/>
    <n v="46576175049"/>
    <m/>
    <m/>
    <m/>
    <m/>
    <m/>
    <m/>
    <m/>
    <m/>
    <m/>
    <d v="2024-03-31T00:00:00"/>
    <d v="2024-03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6411297989056.4"/>
    <m/>
    <s v="Low"/>
    <s v="Low"/>
    <m/>
    <m/>
    <m/>
    <m/>
    <m/>
    <m/>
    <m/>
    <m/>
    <m/>
    <s v="Singapore"/>
    <s v="Singapore"/>
  </r>
  <r>
    <n v="164"/>
    <s v="Pzena Investment Management, LLC"/>
    <n v="6.8999999999999997E-5"/>
    <n v="6.2399999999999999E-4"/>
    <n v="4.5899999999999999E-4"/>
    <n v="1.387E-3"/>
    <n v="9.8400000000000007E-4"/>
    <n v="9.7499999999999996E-4"/>
    <n v="3.9899999999999999E-4"/>
    <n v="5.0000000000000004E-6"/>
    <m/>
    <m/>
    <m/>
    <n v="6377600"/>
    <n v="57698103"/>
    <n v="42380000"/>
    <n v="128148000"/>
    <n v="90945400"/>
    <n v="90096400"/>
    <n v="36828800"/>
    <n v="424600"/>
    <m/>
    <m/>
    <m/>
    <n v="-51320503"/>
    <n v="15318103"/>
    <n v="-85768000"/>
    <n v="37202600"/>
    <n v="849000"/>
    <n v="53267600"/>
    <n v="36404200"/>
    <n v="424600"/>
    <m/>
    <m/>
    <m/>
    <n v="30433739394.450001"/>
    <n v="328063615440.70001"/>
    <n v="254269756384.5"/>
    <n v="635934450515.09998"/>
    <n v="319109812462.5"/>
    <n v="284929864736.40002"/>
    <n v="140924397986.79999"/>
    <n v="1546349512.5"/>
    <m/>
    <m/>
    <m/>
    <d v="2025-08-31T00:00:00"/>
    <d v="2024-12-31T00:00:00"/>
    <d v="2023-09-30T00:00:00"/>
    <d v="2022-12-31T00:00:00"/>
    <d v="2021-12-31T00:00:00"/>
    <d v="2020-12-31T00:00:00"/>
    <d v="2019-12-31T00:00:00"/>
    <d v="2018-12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/Hedge Fund"/>
    <n v="895424743172127"/>
    <s v="Core Value"/>
    <s v="Low"/>
    <s v="Low"/>
    <s v="Low"/>
    <s v="Low"/>
    <s v="Low"/>
    <s v="Low"/>
    <s v="Low"/>
    <s v="Low"/>
    <m/>
    <m/>
    <m/>
    <s v="New York"/>
    <s v="United States"/>
  </r>
  <r>
    <n v="165"/>
    <s v="Oddo BHF Asset Management GmbH"/>
    <n v="6.7999999999999999E-5"/>
    <n v="6.7000000000000002E-5"/>
    <m/>
    <m/>
    <m/>
    <m/>
    <m/>
    <m/>
    <m/>
    <m/>
    <m/>
    <n v="6257000"/>
    <n v="6217000"/>
    <m/>
    <m/>
    <m/>
    <m/>
    <m/>
    <m/>
    <m/>
    <m/>
    <m/>
    <n v="40000"/>
    <n v="6217000"/>
    <m/>
    <m/>
    <m/>
    <m/>
    <m/>
    <m/>
    <m/>
    <m/>
    <m/>
    <n v="27522539912"/>
    <n v="35349021718.199997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54010008436808.398"/>
    <s v="GARP"/>
    <s v="Moderate"/>
    <s v="Moderate"/>
    <m/>
    <m/>
    <m/>
    <m/>
    <m/>
    <m/>
    <m/>
    <m/>
    <m/>
    <s v="Düsseldorf"/>
    <s v="Germany"/>
  </r>
  <r>
    <n v="166"/>
    <s v="PIMCO (US)"/>
    <n v="6.7000000000000002E-5"/>
    <n v="0"/>
    <n v="3.9999999999999998E-6"/>
    <n v="2.3E-5"/>
    <n v="9.9999999999999995E-7"/>
    <n v="3.8000000000000002E-5"/>
    <n v="1.5E-5"/>
    <n v="0"/>
    <m/>
    <m/>
    <m/>
    <n v="6203800"/>
    <n v="0"/>
    <n v="336700"/>
    <n v="2170800"/>
    <n v="137800"/>
    <n v="3493800"/>
    <n v="1362800"/>
    <n v="0"/>
    <m/>
    <m/>
    <m/>
    <n v="6203800"/>
    <n v="-336700"/>
    <n v="-1834100"/>
    <n v="2033000"/>
    <n v="-3356000"/>
    <n v="2131000"/>
    <n v="1362800"/>
    <n v="0"/>
    <m/>
    <m/>
    <m/>
    <n v="27288530220"/>
    <n v="0"/>
    <n v="2037034994.2"/>
    <n v="10772595024.4"/>
    <n v="483513472.5"/>
    <n v="8647155004.6000004"/>
    <n v="4752764969.6999998"/>
    <n v="0"/>
    <m/>
    <m/>
    <m/>
    <d v="2025-09-30T00:00:00"/>
    <d v="2024-12-31T00:00:00"/>
    <d v="2023-12-31T00:00:00"/>
    <d v="2022-12-31T00:00:00"/>
    <d v="2021-12-31T00:00:00"/>
    <d v="2020-06-30T00:00:00"/>
    <d v="2019-09-30T00:00:00"/>
    <d v="2018-08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/Hedge Fund"/>
    <n v="616173007451298"/>
    <s v="Yield"/>
    <s v="Low"/>
    <s v="Moderate"/>
    <s v="Moderate"/>
    <s v="Moderate"/>
    <s v="Moderate"/>
    <s v="Moderate"/>
    <s v="Moderate"/>
    <s v="High"/>
    <m/>
    <m/>
    <m/>
    <s v="Newport Beach"/>
    <s v="United States"/>
  </r>
  <r>
    <n v="167"/>
    <s v="Oaktree Capital Management, L.P."/>
    <n v="6.6000000000000005E-5"/>
    <n v="8.2000000000000001E-5"/>
    <n v="8.2000000000000001E-5"/>
    <n v="8.2000000000000001E-5"/>
    <n v="1.8200000000000001E-4"/>
    <n v="1.8200000000000001E-4"/>
    <n v="1.6200000000000001E-4"/>
    <m/>
    <m/>
    <m/>
    <m/>
    <n v="6134866"/>
    <n v="7566600"/>
    <n v="7566600"/>
    <n v="7566600"/>
    <n v="16797236"/>
    <n v="16797236"/>
    <n v="14924926"/>
    <m/>
    <m/>
    <m/>
    <m/>
    <n v="-1431734"/>
    <n v="0"/>
    <n v="0"/>
    <n v="-9230636"/>
    <n v="0"/>
    <n v="1872310"/>
    <n v="14924926"/>
    <m/>
    <m/>
    <m/>
    <m/>
    <n v="26985311556"/>
    <n v="38211329970.449997"/>
    <n v="38211329970.449997"/>
    <n v="37549252549.599998"/>
    <n v="41657145258.400002"/>
    <n v="41657145258.400002"/>
    <n v="57109822001.199997"/>
    <m/>
    <m/>
    <m/>
    <m/>
    <d v="2025-09-30T00:00:00"/>
    <d v="2023-05-31T00:00:00"/>
    <d v="2023-05-31T00:00:00"/>
    <d v="2022-12-31T00:00:00"/>
    <d v="2020-09-30T00:00:00"/>
    <d v="2020-09-30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/Hedge Fund"/>
    <n v="80027380724664"/>
    <s v="Hedge Fund"/>
    <s v="Low"/>
    <s v="Low"/>
    <s v="Low"/>
    <s v="Low"/>
    <s v="Moderate"/>
    <s v="Moderate"/>
    <s v="Low"/>
    <m/>
    <m/>
    <m/>
    <m/>
    <s v="Los Angeles"/>
    <s v="United States"/>
  </r>
  <r>
    <n v="168"/>
    <s v="ClearBridge Investment Management Limited"/>
    <n v="6.4999999999999994E-5"/>
    <n v="6.4999999999999994E-5"/>
    <n v="7.4999999999999993E-5"/>
    <n v="7.4999999999999993E-5"/>
    <n v="7.4999999999999993E-5"/>
    <n v="9.8999999999999994E-5"/>
    <n v="7.4999999999999993E-5"/>
    <n v="7.4999999999999993E-5"/>
    <n v="9.7E-5"/>
    <n v="0"/>
    <n v="1.8900000000000001E-4"/>
    <n v="6025000"/>
    <n v="6025000"/>
    <n v="6966100"/>
    <n v="6936000"/>
    <n v="6936000"/>
    <n v="9169200"/>
    <n v="6886800"/>
    <n v="6909000"/>
    <n v="8985200"/>
    <n v="0"/>
    <n v="17457200"/>
    <n v="0"/>
    <n v="-941100"/>
    <n v="30100"/>
    <n v="0"/>
    <n v="-2233200"/>
    <n v="2282400"/>
    <n v="-22200"/>
    <n v="-2076200"/>
    <n v="8985200"/>
    <n v="-17457200"/>
    <n v="0"/>
    <n v="42175000018"/>
    <n v="42175000018"/>
    <n v="40751684980.650002"/>
    <n v="34419899960.599998"/>
    <n v="24337082092.5"/>
    <n v="28997595010.799999"/>
    <n v="26352152155.200001"/>
    <n v="25161867175"/>
    <n v="35940799978.150002"/>
    <n v="0"/>
    <n v="34587077461.5"/>
    <d v="2024-02-29T00:00:00"/>
    <d v="2024-02-29T00:00:00"/>
    <d v="2023-11-30T00:00:00"/>
    <d v="2022-12-31T00:00:00"/>
    <d v="2021-12-31T00:00:00"/>
    <d v="2020-12-31T00:00:00"/>
    <d v="2019-12-31T00:00:00"/>
    <d v="2018-12-31T00:00:00"/>
    <d v="2017-12-31T00:00:00"/>
    <d v="2016-05-31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15258422491735"/>
    <s v="Core Growth"/>
    <s v="Low"/>
    <s v="Low"/>
    <s v="Low"/>
    <s v="Low"/>
    <s v="Low"/>
    <s v="Moderate"/>
    <s v="Low"/>
    <s v="Low"/>
    <s v="Low"/>
    <s v="Low"/>
    <s v="Low"/>
    <s v="Edinburgh"/>
    <s v="United Kingdom"/>
  </r>
  <r>
    <n v="169"/>
    <s v="Union Investment Luxembourg S.A."/>
    <n v="6.4999999999999994E-5"/>
    <n v="6.4999999999999994E-5"/>
    <n v="5.5999999999999999E-5"/>
    <n v="8.3999999999999995E-5"/>
    <n v="0"/>
    <n v="0"/>
    <n v="5.9999999999999995E-4"/>
    <n v="6.4999999999999994E-5"/>
    <n v="4.3000000000000002E-5"/>
    <n v="0"/>
    <n v="4.3000000000000002E-5"/>
    <n v="6000000"/>
    <n v="6000000"/>
    <n v="5155100"/>
    <n v="7798400"/>
    <n v="0"/>
    <n v="0"/>
    <n v="55418400"/>
    <n v="6000000"/>
    <n v="4000000"/>
    <n v="0"/>
    <n v="4000000"/>
    <n v="0"/>
    <n v="844900"/>
    <n v="-2643300"/>
    <n v="7798400"/>
    <n v="0"/>
    <n v="-55418400"/>
    <n v="49418400"/>
    <n v="2000000"/>
    <n v="4000000"/>
    <n v="-4000000"/>
    <n v="-4000000"/>
    <n v="41550000019.949997"/>
    <n v="41550000019.949997"/>
    <n v="31188355015.950001"/>
    <n v="38699560060.150002"/>
    <n v="0"/>
    <n v="0"/>
    <n v="212056994942.39999"/>
    <n v="21851382731.25"/>
    <n v="15999999975.200001"/>
    <n v="0"/>
    <n v="9253356319.5"/>
    <d v="2024-09-30T00:00:00"/>
    <d v="2024-09-30T00:00:00"/>
    <d v="2023-12-31T00:00:00"/>
    <d v="2022-12-31T00:00:00"/>
    <d v="2020-09-30T00:00:00"/>
    <d v="2020-09-30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46314351515358"/>
    <m/>
    <s v="Low"/>
    <s v="Moderate"/>
    <s v="Moderate"/>
    <s v="Low"/>
    <s v="Moderate"/>
    <s v="Moderate"/>
    <s v="Moderate"/>
    <s v="Moderate"/>
    <s v="Moderate"/>
    <s v="Moderate"/>
    <s v="Moderate"/>
    <s v="Senningerberg"/>
    <s v="Luxembourg"/>
  </r>
  <r>
    <n v="170"/>
    <s v="PIMCO Asia Limited"/>
    <n v="6.4999999999999994E-5"/>
    <m/>
    <m/>
    <m/>
    <m/>
    <m/>
    <m/>
    <m/>
    <m/>
    <m/>
    <m/>
    <n v="5988600"/>
    <m/>
    <m/>
    <m/>
    <m/>
    <m/>
    <m/>
    <m/>
    <m/>
    <m/>
    <m/>
    <n v="5988600"/>
    <m/>
    <m/>
    <m/>
    <m/>
    <m/>
    <m/>
    <m/>
    <m/>
    <m/>
    <m/>
    <n v="29280294681"/>
    <m/>
    <m/>
    <m/>
    <m/>
    <m/>
    <m/>
    <m/>
    <m/>
    <m/>
    <m/>
    <d v="2025-06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/Hedge Fund"/>
    <n v="24522821551347.602"/>
    <m/>
    <s v="Moderate"/>
    <m/>
    <m/>
    <m/>
    <m/>
    <m/>
    <m/>
    <m/>
    <m/>
    <m/>
    <m/>
    <s v="Central (Hong Kong)"/>
    <s v="Hong Kong"/>
  </r>
  <r>
    <n v="171"/>
    <s v="Hafas (Rohan)"/>
    <n v="6.4999999999999994E-5"/>
    <n v="6.4999999999999994E-5"/>
    <n v="3.1999999999999999E-5"/>
    <n v="1.2E-5"/>
    <n v="1.9999999999999999E-6"/>
    <m/>
    <m/>
    <m/>
    <m/>
    <m/>
    <m/>
    <n v="5965200"/>
    <n v="5965200"/>
    <n v="3000500"/>
    <n v="1087800"/>
    <n v="166800"/>
    <m/>
    <m/>
    <m/>
    <m/>
    <m/>
    <m/>
    <n v="0"/>
    <n v="2964700"/>
    <n v="1912700"/>
    <n v="921000"/>
    <n v="166800"/>
    <m/>
    <m/>
    <m/>
    <m/>
    <m/>
    <m/>
    <n v="33917320968"/>
    <n v="33917320968"/>
    <n v="18153025026.5"/>
    <n v="5398207538.8999996"/>
    <n v="58526887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Indonesia Insider"/>
    <s v="Indonesia Insider"/>
    <s v="Indonesia Insider"/>
    <s v="Indonesia Insider"/>
    <s v="Indonesia Insider"/>
    <m/>
    <m/>
    <m/>
    <m/>
    <m/>
    <m/>
    <s v="Strategic Entities"/>
    <s v="Individual Investor"/>
    <n v="35161026336"/>
    <m/>
    <s v="Low"/>
    <s v="Moderate"/>
    <s v="Low"/>
    <s v="Moderate"/>
    <s v="Low"/>
    <m/>
    <m/>
    <m/>
    <m/>
    <m/>
    <m/>
    <m/>
    <s v="Indonesia"/>
  </r>
  <r>
    <n v="172"/>
    <s v="DJE Kapital AG"/>
    <n v="6.2000000000000003E-5"/>
    <n v="2.5999999999999998E-5"/>
    <n v="1.9999999999999999E-6"/>
    <n v="1.9999999999999999E-6"/>
    <m/>
    <m/>
    <m/>
    <n v="0"/>
    <n v="0"/>
    <m/>
    <n v="0"/>
    <n v="5770200"/>
    <n v="2441200"/>
    <n v="224000"/>
    <n v="224000"/>
    <m/>
    <m/>
    <m/>
    <n v="0"/>
    <n v="0"/>
    <m/>
    <n v="0"/>
    <n v="3329000"/>
    <n v="2217200"/>
    <n v="0"/>
    <n v="224000"/>
    <m/>
    <m/>
    <m/>
    <n v="0"/>
    <n v="0"/>
    <m/>
    <n v="0"/>
    <n v="28212463092.299999"/>
    <n v="13880333268.799999"/>
    <n v="1111600001.5999999"/>
    <n v="1111600001.5999999"/>
    <m/>
    <m/>
    <m/>
    <n v="0"/>
    <n v="0"/>
    <m/>
    <n v="0"/>
    <d v="2025-06-30T00:00:00"/>
    <d v="2024-12-31T00:00:00"/>
    <d v="2022-12-31T00:00:00"/>
    <d v="2022-12-31T00:00:00"/>
    <m/>
    <m/>
    <m/>
    <d v="2017-08-31T00:00:00"/>
    <d v="2017-08-31T00:00:00"/>
    <m/>
    <d v="2014-06-30T00:00:00"/>
    <s v="Aggregate MFs"/>
    <s v="Aggregate MFs"/>
    <s v="Aggregate MFs"/>
    <s v="Aggregate MFs"/>
    <m/>
    <m/>
    <m/>
    <s v="Aggregate MFs"/>
    <s v="Aggregate MFs"/>
    <m/>
    <s v="Aggregate MFs"/>
    <s v="Investment Managers"/>
    <s v="Investment Advisor/Hedge Fund"/>
    <n v="169034384743432"/>
    <s v="GARP"/>
    <s v="Low"/>
    <s v="Moderate"/>
    <s v="High"/>
    <s v="Moderate"/>
    <m/>
    <m/>
    <m/>
    <s v="High"/>
    <s v="High"/>
    <m/>
    <s v="Moderate"/>
    <s v="Pullach"/>
    <s v="Germany"/>
  </r>
  <r>
    <n v="173"/>
    <s v="NH-Amundi Asset Management Co., Ltd."/>
    <n v="6.2000000000000003E-5"/>
    <n v="6.7000000000000002E-5"/>
    <n v="6.3E-5"/>
    <n v="6.9999999999999994E-5"/>
    <n v="3.3000000000000003E-5"/>
    <n v="3.1999999999999999E-5"/>
    <n v="5.5000000000000002E-5"/>
    <n v="6.6000000000000005E-5"/>
    <n v="4.5000000000000003E-5"/>
    <n v="3.1000000000000001E-5"/>
    <n v="1.4E-5"/>
    <n v="5739904"/>
    <n v="6187904"/>
    <n v="5846604"/>
    <n v="6447204"/>
    <n v="3065604"/>
    <n v="2946604"/>
    <n v="5106376"/>
    <n v="6095404"/>
    <n v="4159404"/>
    <n v="2857092"/>
    <n v="1289804"/>
    <n v="-448000"/>
    <n v="341300"/>
    <n v="-600600"/>
    <n v="3381600"/>
    <n v="119000"/>
    <n v="-2159772"/>
    <n v="-989028"/>
    <n v="1936000"/>
    <n v="1302312"/>
    <n v="1567288"/>
    <n v="-1785992"/>
    <n v="29811485615.450001"/>
    <n v="35183585786.300003"/>
    <n v="35371954117.400002"/>
    <n v="31994249893.650002"/>
    <n v="10756611360"/>
    <n v="9318635118"/>
    <n v="19539408436.799999"/>
    <n v="22198834243.75"/>
    <n v="16637616017.700001"/>
    <n v="8267709947.1000004"/>
    <n v="2983754014.0500002"/>
    <d v="2025-03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4838113035192"/>
    <m/>
    <s v="Low"/>
    <s v="Low"/>
    <s v="Low"/>
    <s v="Low"/>
    <s v="Moderate"/>
    <s v="Moderate"/>
    <s v="Moderate"/>
    <s v="High"/>
    <s v="High"/>
    <s v="Moderate"/>
    <s v="Moderate"/>
    <s v="Seoul"/>
    <s v="South Korea"/>
  </r>
  <r>
    <n v="174"/>
    <s v="Eurizon Capital S.A."/>
    <n v="6.2000000000000003E-5"/>
    <n v="1.07E-4"/>
    <n v="1.1400000000000001E-4"/>
    <n v="1.37E-4"/>
    <n v="4.3000000000000002E-5"/>
    <n v="1.66E-4"/>
    <n v="6.3999999999999997E-5"/>
    <n v="6.2000000000000003E-5"/>
    <n v="5.5000000000000002E-5"/>
    <n v="5.5000000000000002E-5"/>
    <n v="3.3000000000000003E-5"/>
    <n v="5719385"/>
    <n v="9886444"/>
    <n v="10521833"/>
    <n v="12616318"/>
    <n v="4010918"/>
    <n v="15374316"/>
    <n v="5926576"/>
    <n v="5697390"/>
    <n v="5103794"/>
    <n v="5086812"/>
    <n v="3049164"/>
    <n v="-4167059"/>
    <n v="-635389"/>
    <n v="-2094485"/>
    <n v="8605400"/>
    <n v="-11363398"/>
    <n v="9447740"/>
    <n v="229186"/>
    <n v="593596"/>
    <n v="16982"/>
    <n v="2037648"/>
    <n v="0"/>
    <n v="25157743709"/>
    <n v="56212984412.099998"/>
    <n v="63657089551.25"/>
    <n v="62608478092.050003"/>
    <n v="14038213044.799999"/>
    <n v="48621274228.800003"/>
    <n v="22677881305.599998"/>
    <n v="20749308262.5"/>
    <n v="20415176056.299999"/>
    <n v="14719962254.700001"/>
    <n v="7413279955.3999996"/>
    <d v="2025-09-30T00:00:00"/>
    <d v="2024-12-31T00:00:00"/>
    <d v="2023-12-31T00:00:00"/>
    <d v="2022-12-31T00:00:00"/>
    <d v="2021-11-30T00:00:00"/>
    <d v="2020-12-31T00:00:00"/>
    <d v="2019-12-31T00:00:00"/>
    <d v="2018-12-31T00:00:00"/>
    <d v="2017-12-31T00:00:00"/>
    <d v="2016-12-31T00:00:00"/>
    <d v="2014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70478003917586"/>
    <s v="Core Value"/>
    <s v="Moderate"/>
    <s v="Moderate"/>
    <s v="Moderate"/>
    <s v="Moderate"/>
    <s v="Moderate"/>
    <s v="Moderate"/>
    <s v="Moderate"/>
    <s v="Moderate"/>
    <s v="High"/>
    <s v="High"/>
    <s v="Moderate"/>
    <s v="Luxembourg"/>
    <s v="Luxembourg"/>
  </r>
  <r>
    <n v="175"/>
    <s v="BMO Asset Management Inc."/>
    <n v="5.8999999999999998E-5"/>
    <n v="5.8999999999999998E-5"/>
    <n v="8.5000000000000006E-5"/>
    <n v="8.5000000000000006E-5"/>
    <n v="1.0900000000000001E-4"/>
    <n v="1.22E-4"/>
    <n v="3.8999999999999999E-5"/>
    <n v="1.8E-5"/>
    <n v="1.8E-5"/>
    <n v="1.8E-5"/>
    <n v="1.8E-5"/>
    <n v="5423887"/>
    <n v="5473902"/>
    <n v="7853700"/>
    <n v="7842000"/>
    <n v="10061400"/>
    <n v="11232600"/>
    <n v="3578400"/>
    <n v="1677200"/>
    <n v="1677200"/>
    <n v="1677200"/>
    <n v="1677200"/>
    <n v="-50015"/>
    <n v="-2379798"/>
    <n v="11700"/>
    <n v="-2219400"/>
    <n v="-1171200"/>
    <n v="7654200"/>
    <n v="1901200"/>
    <n v="0"/>
    <n v="0"/>
    <n v="0"/>
    <n v="0"/>
    <n v="23857942504.200001"/>
    <n v="31123866881"/>
    <n v="47514884912.949997"/>
    <n v="38915925078.25"/>
    <n v="35303505892.5"/>
    <n v="35523097506"/>
    <n v="13692649980.799999"/>
    <n v="6108189781.25"/>
    <n v="6708799998.5"/>
    <n v="4853397521.3999996"/>
    <n v="3879932303.25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012607879583590"/>
    <s v="GARP"/>
    <s v="Low"/>
    <s v="Low"/>
    <s v="Low"/>
    <s v="Low"/>
    <s v="Low"/>
    <s v="Low"/>
    <s v="Low"/>
    <s v="Low"/>
    <s v="Low"/>
    <s v="Low"/>
    <s v="Low"/>
    <s v="Toronto"/>
    <s v="Canada"/>
  </r>
  <r>
    <n v="176"/>
    <s v="Mediolanum International Funds Limited"/>
    <n v="5.8E-5"/>
    <n v="9.3999999999999994E-5"/>
    <n v="6.8999999999999997E-5"/>
    <n v="3.8999999999999999E-5"/>
    <n v="2.8E-5"/>
    <n v="5.0000000000000002E-5"/>
    <n v="2.6699999999999998E-4"/>
    <n v="1.8599999999999999E-4"/>
    <n v="5.5000000000000002E-5"/>
    <n v="6.4999999999999994E-5"/>
    <m/>
    <n v="5325800"/>
    <n v="8649300"/>
    <n v="6381400"/>
    <n v="3613840"/>
    <n v="2615640"/>
    <n v="4659600"/>
    <n v="24696600"/>
    <n v="17160400"/>
    <n v="5102880"/>
    <n v="5996280"/>
    <m/>
    <n v="-3323500"/>
    <n v="2267900"/>
    <n v="2767560"/>
    <n v="998200"/>
    <n v="-2043960"/>
    <n v="-20037000"/>
    <n v="7536200"/>
    <n v="12057520"/>
    <n v="-893400"/>
    <n v="5996280"/>
    <m/>
    <n v="26039640843"/>
    <n v="49178750810.699997"/>
    <n v="38607470002.050003"/>
    <n v="17933681077.400002"/>
    <n v="9177774630"/>
    <n v="11532510054.4"/>
    <n v="94500865852.399994"/>
    <n v="62496411181.25"/>
    <n v="20411520017.5"/>
    <n v="17351735299.799999"/>
    <m/>
    <d v="2025-06-30T00:00:00"/>
    <d v="2024-12-31T00:00:00"/>
    <d v="2023-12-31T00:00:00"/>
    <d v="2022-12-31T00:00:00"/>
    <d v="2021-12-31T00:00:00"/>
    <d v="2020-06-30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492342913561262"/>
    <s v="Hedge Fund"/>
    <s v="Low"/>
    <s v="Low"/>
    <s v="Low"/>
    <s v="Moderate"/>
    <m/>
    <s v="Low"/>
    <s v="Moderate"/>
    <s v="Moderate"/>
    <s v="Moderate"/>
    <m/>
    <m/>
    <s v="Dublin"/>
    <s v="Ireland"/>
  </r>
  <r>
    <n v="177"/>
    <s v="Dodge &amp; Cox"/>
    <n v="5.5999999999999999E-5"/>
    <n v="2.9E-5"/>
    <m/>
    <m/>
    <m/>
    <m/>
    <m/>
    <m/>
    <m/>
    <m/>
    <m/>
    <n v="5200400"/>
    <n v="2687300"/>
    <m/>
    <m/>
    <m/>
    <m/>
    <m/>
    <m/>
    <m/>
    <m/>
    <m/>
    <n v="2513100"/>
    <n v="2687300"/>
    <m/>
    <m/>
    <m/>
    <m/>
    <m/>
    <m/>
    <m/>
    <m/>
    <m/>
    <n v="22874894880.599998"/>
    <n v="15279624575.6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3965786697582440"/>
    <s v="Deep Value"/>
    <s v="Low"/>
    <s v="Low"/>
    <m/>
    <m/>
    <m/>
    <m/>
    <m/>
    <m/>
    <m/>
    <m/>
    <m/>
    <s v="San Francisco"/>
    <s v="United States"/>
  </r>
  <r>
    <n v="178"/>
    <s v="LBP AM"/>
    <n v="5.5999999999999999E-5"/>
    <n v="2.5000000000000001E-5"/>
    <n v="7.9999999999999996E-6"/>
    <n v="9.0000000000000002E-6"/>
    <m/>
    <n v="7.9999999999999996E-6"/>
    <n v="7.9999999999999996E-6"/>
    <m/>
    <m/>
    <m/>
    <m/>
    <n v="5164389"/>
    <n v="2304923"/>
    <n v="755327"/>
    <n v="837322"/>
    <m/>
    <n v="712160"/>
    <n v="785360"/>
    <m/>
    <m/>
    <m/>
    <m/>
    <n v="2859466"/>
    <n v="1549596"/>
    <n v="-81995"/>
    <n v="837322"/>
    <m/>
    <n v="-73200"/>
    <n v="785360"/>
    <m/>
    <m/>
    <m/>
    <m/>
    <n v="25250447841.900002"/>
    <n v="13105480702.799999"/>
    <n v="4569728332.1000004"/>
    <n v="4155210453.3499999"/>
    <m/>
    <n v="2590481995.1999998"/>
    <n v="3005158661.1999998"/>
    <m/>
    <m/>
    <m/>
    <m/>
    <d v="2025-06-30T00:00:00"/>
    <d v="2024-12-31T00:00:00"/>
    <d v="2023-12-31T00:00:00"/>
    <d v="2022-12-31T00:00:00"/>
    <m/>
    <d v="2020-02-29T00:00:00"/>
    <d v="2019-12-31T00:00:00"/>
    <m/>
    <m/>
    <m/>
    <m/>
    <s v="Aggregate MFs"/>
    <s v="Aggregate MFs"/>
    <s v="Aggregate MFs"/>
    <s v="Aggregate MFs"/>
    <m/>
    <s v="Aggregate MFs"/>
    <s v="Aggregate MFs"/>
    <m/>
    <m/>
    <m/>
    <m/>
    <s v="Investment Managers"/>
    <s v="Investment Advisor"/>
    <n v="342584676554647"/>
    <s v="Core Growth"/>
    <s v="Moderate"/>
    <s v="Moderate"/>
    <s v="Low"/>
    <s v="Moderate"/>
    <m/>
    <s v="Low"/>
    <s v="Moderate"/>
    <m/>
    <m/>
    <m/>
    <m/>
    <s v="Paris"/>
    <s v="France"/>
  </r>
  <r>
    <n v="179"/>
    <s v="Peregrine Guernsey Ltd"/>
    <n v="5.3999999999999998E-5"/>
    <n v="2.4000000000000001E-5"/>
    <n v="3.0000000000000001E-5"/>
    <n v="0"/>
    <n v="0"/>
    <m/>
    <m/>
    <m/>
    <m/>
    <m/>
    <m/>
    <n v="5002377"/>
    <n v="2198114"/>
    <n v="2810999"/>
    <n v="0"/>
    <n v="0"/>
    <m/>
    <m/>
    <m/>
    <m/>
    <m/>
    <m/>
    <n v="2804263"/>
    <n v="-612885"/>
    <n v="2810999"/>
    <n v="0"/>
    <n v="0"/>
    <m/>
    <m/>
    <m/>
    <m/>
    <m/>
    <m/>
    <n v="24458316237"/>
    <n v="12498179099.200001"/>
    <n v="17006543981.5"/>
    <n v="0"/>
    <n v="0"/>
    <m/>
    <m/>
    <m/>
    <m/>
    <m/>
    <m/>
    <d v="2025-06-30T00:00:00"/>
    <d v="2024-12-31T00:00:00"/>
    <d v="2023-12-31T00:00:00"/>
    <d v="2022-03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9651292359164.4004"/>
    <m/>
    <s v="Low"/>
    <s v="Moderate"/>
    <s v="Low"/>
    <s v="Moderate"/>
    <s v="High"/>
    <m/>
    <m/>
    <m/>
    <m/>
    <m/>
    <m/>
    <s v="St. Peter Port"/>
    <s v="Guernsey"/>
  </r>
  <r>
    <n v="180"/>
    <s v="AllianceBernstein L.P."/>
    <n v="5.3000000000000001E-5"/>
    <n v="1.157E-3"/>
    <n v="1.1529999999999999E-3"/>
    <n v="2.2209999999999999E-3"/>
    <n v="1.9780000000000002E-3"/>
    <n v="3.19E-4"/>
    <n v="1.049E-3"/>
    <n v="1.2409999999999999E-3"/>
    <n v="2.006E-3"/>
    <n v="1.41E-3"/>
    <n v="8.2200000000000003E-4"/>
    <n v="4883697"/>
    <n v="106863297"/>
    <n v="106499096"/>
    <n v="205184254"/>
    <n v="182784682"/>
    <n v="29486200"/>
    <n v="96943216"/>
    <n v="114649998"/>
    <n v="185377426"/>
    <n v="130284400"/>
    <n v="75968000"/>
    <n v="-101979600"/>
    <n v="364201"/>
    <n v="-98685158"/>
    <n v="22399572"/>
    <n v="153298482"/>
    <n v="-67457016"/>
    <n v="-17706782"/>
    <n v="-70727428"/>
    <n v="55093026"/>
    <n v="54316400"/>
    <n v="-2626000"/>
    <n v="23304873513.599998"/>
    <n v="607610263540.59998"/>
    <n v="644319530312.90002"/>
    <n v="1018226861296.7"/>
    <n v="641356083982.5"/>
    <n v="93250107381.600006"/>
    <n v="370950569874.40002"/>
    <n v="417543496868.75"/>
    <n v="741509704133.40002"/>
    <n v="377010482730.59998"/>
    <n v="175739743242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5867136118082260"/>
    <s v="Core Growth"/>
    <s v="Low"/>
    <s v="Low"/>
    <s v="Low"/>
    <s v="Low"/>
    <s v="Low"/>
    <s v="Low"/>
    <s v="Low"/>
    <s v="Low"/>
    <s v="Low"/>
    <s v="Low"/>
    <s v="Low"/>
    <s v="New York"/>
    <s v="United States"/>
  </r>
  <r>
    <n v="181"/>
    <s v="Sophus Capital"/>
    <n v="5.0000000000000002E-5"/>
    <n v="1.22E-4"/>
    <n v="2.6400000000000002E-4"/>
    <n v="4.0299999999999998E-4"/>
    <n v="2.3499999999999999E-4"/>
    <n v="6.9999999999999999E-6"/>
    <n v="3.0000000000000001E-6"/>
    <m/>
    <m/>
    <m/>
    <m/>
    <n v="4617200"/>
    <n v="11306200"/>
    <n v="24428300"/>
    <n v="37262400"/>
    <n v="21690800"/>
    <n v="665000"/>
    <n v="304600"/>
    <m/>
    <m/>
    <m/>
    <m/>
    <n v="-6689000"/>
    <n v="-13122100"/>
    <n v="-12834100"/>
    <n v="15571600"/>
    <n v="21025800"/>
    <n v="360400"/>
    <n v="304600"/>
    <m/>
    <m/>
    <m/>
    <m/>
    <n v="22575055365.299999"/>
    <n v="64285525021.5"/>
    <n v="147791214855"/>
    <n v="184914660203.89999"/>
    <n v="76108820505"/>
    <n v="2103062551.2"/>
    <n v="1165543574.4000001"/>
    <m/>
    <m/>
    <m/>
    <m/>
    <d v="2025-06-30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2663796610270.4"/>
    <m/>
    <s v="Low"/>
    <s v="Moderate"/>
    <s v="Moderate"/>
    <s v="Moderate"/>
    <s v="Moderate"/>
    <s v="Moderate"/>
    <s v="High"/>
    <m/>
    <m/>
    <m/>
    <m/>
    <s v="Des Moines"/>
    <s v="United States"/>
  </r>
  <r>
    <n v="182"/>
    <s v="BlackRock Fund Advisors"/>
    <n v="4.8000000000000001E-5"/>
    <n v="4.6E-5"/>
    <m/>
    <m/>
    <m/>
    <m/>
    <m/>
    <m/>
    <m/>
    <m/>
    <m/>
    <n v="4417300"/>
    <n v="4214100"/>
    <m/>
    <m/>
    <m/>
    <m/>
    <m/>
    <m/>
    <m/>
    <m/>
    <m/>
    <n v="203200"/>
    <n v="4214100"/>
    <m/>
    <m/>
    <m/>
    <m/>
    <m/>
    <m/>
    <m/>
    <m/>
    <m/>
    <n v="19430288607.799999"/>
    <n v="23960803063.099998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428487732080150"/>
    <m/>
    <s v="Low"/>
    <s v="Moderate"/>
    <m/>
    <m/>
    <m/>
    <m/>
    <m/>
    <m/>
    <m/>
    <m/>
    <m/>
    <s v="San Francisco"/>
    <s v="United States"/>
  </r>
  <r>
    <n v="183"/>
    <s v="Franklin Advisers, Inc."/>
    <n v="4.8000000000000001E-5"/>
    <n v="3.0000000000000001E-6"/>
    <n v="5.0000000000000004E-6"/>
    <n v="9.9999999999999995E-7"/>
    <n v="0"/>
    <n v="0"/>
    <n v="1.1E-5"/>
    <m/>
    <m/>
    <n v="0"/>
    <n v="0"/>
    <n v="4415600"/>
    <n v="266000"/>
    <n v="428500"/>
    <n v="96000"/>
    <n v="0"/>
    <n v="0"/>
    <n v="1000000"/>
    <m/>
    <m/>
    <n v="0"/>
    <n v="0"/>
    <n v="4149600"/>
    <n v="-162500"/>
    <n v="332500"/>
    <n v="96000"/>
    <n v="0"/>
    <n v="-1000000"/>
    <n v="1000000"/>
    <m/>
    <m/>
    <n v="0"/>
    <n v="0"/>
    <n v="19422810933.400002"/>
    <n v="1512440048.4000001"/>
    <n v="2592425014.1999998"/>
    <n v="476399978.44999999"/>
    <n v="0"/>
    <n v="0"/>
    <n v="3826472683.5999999"/>
    <m/>
    <m/>
    <n v="0"/>
    <n v="0"/>
    <d v="2025-09-30T00:00:00"/>
    <d v="2024-12-31T00:00:00"/>
    <d v="2023-12-31T00:00:00"/>
    <d v="2022-12-31T00:00:00"/>
    <d v="2020-09-30T00:00:00"/>
    <d v="2020-09-30T00:00:00"/>
    <d v="2019-12-31T00:00:00"/>
    <m/>
    <m/>
    <d v="2015-09-30T00:00:00"/>
    <d v="2015-09-30T00:00:00"/>
    <s v="Aggregate MFs"/>
    <s v="Aggregate MFs"/>
    <s v="Aggregate MFs"/>
    <s v="Aggregate MFs"/>
    <s v="Aggregate MFs"/>
    <s v="Aggregate MFs"/>
    <s v="Aggregate MFs"/>
    <m/>
    <m/>
    <s v="Aggregate MFs"/>
    <s v="Aggregate MFs"/>
    <s v="Investment Managers"/>
    <s v="Investment Advisor/Hedge Fund"/>
    <n v="3503989256419120"/>
    <s v="Income Value"/>
    <s v="Low"/>
    <s v="Low"/>
    <s v="Low"/>
    <s v="Low"/>
    <s v="Low"/>
    <s v="Low"/>
    <s v="Low"/>
    <m/>
    <m/>
    <s v="Moderate"/>
    <s v="Low"/>
    <s v="San Mateo"/>
    <s v="United States"/>
  </r>
  <r>
    <n v="184"/>
    <s v="Fitria (Eka)"/>
    <n v="4.6E-5"/>
    <n v="1.2999999999999999E-5"/>
    <n v="1.9999999999999999E-6"/>
    <m/>
    <m/>
    <m/>
    <m/>
    <m/>
    <m/>
    <m/>
    <m/>
    <n v="4293600"/>
    <n v="1197500"/>
    <n v="170000"/>
    <m/>
    <m/>
    <m/>
    <m/>
    <m/>
    <m/>
    <m/>
    <m/>
    <n v="3096100"/>
    <n v="1027500"/>
    <n v="170000"/>
    <m/>
    <m/>
    <m/>
    <m/>
    <m/>
    <m/>
    <m/>
    <m/>
    <n v="18886171841.599998"/>
    <n v="6808823159.8999996"/>
    <n v="1028499923"/>
    <m/>
    <m/>
    <m/>
    <m/>
    <m/>
    <m/>
    <m/>
    <m/>
    <d v="2025-09-30T00:00:00"/>
    <d v="2024-12-31T00:00:00"/>
    <d v="2023-12-31T00:00:00"/>
    <m/>
    <m/>
    <m/>
    <m/>
    <m/>
    <m/>
    <m/>
    <m/>
    <s v="Indonesia Insider"/>
    <s v="Indonesia Insider"/>
    <s v="Indonesia Insider"/>
    <m/>
    <m/>
    <m/>
    <m/>
    <m/>
    <m/>
    <m/>
    <m/>
    <s v="Strategic Entities"/>
    <s v="Individual Investor"/>
    <n v="21574922474.400002"/>
    <m/>
    <s v="Low"/>
    <s v="High"/>
    <s v="Low"/>
    <m/>
    <m/>
    <m/>
    <m/>
    <m/>
    <m/>
    <m/>
    <m/>
    <m/>
    <s v="Indonesia"/>
  </r>
  <r>
    <n v="185"/>
    <s v="DSM Capital Partners, LLC"/>
    <n v="4.6E-5"/>
    <n v="4.6E-5"/>
    <n v="3.8000000000000002E-5"/>
    <n v="4.0000000000000003E-5"/>
    <m/>
    <m/>
    <m/>
    <m/>
    <m/>
    <m/>
    <m/>
    <n v="4249900"/>
    <n v="4249900"/>
    <n v="3525000"/>
    <n v="3740800"/>
    <m/>
    <m/>
    <m/>
    <m/>
    <m/>
    <m/>
    <m/>
    <n v="0"/>
    <n v="724900"/>
    <n v="-215800"/>
    <n v="3740800"/>
    <m/>
    <m/>
    <m/>
    <m/>
    <m/>
    <m/>
    <m/>
    <n v="30811775034.5"/>
    <n v="30811775034.5"/>
    <n v="21326249970.049999"/>
    <n v="18563720057.849998"/>
    <m/>
    <m/>
    <m/>
    <m/>
    <m/>
    <m/>
    <m/>
    <d v="2024-03-31T00:00:00"/>
    <d v="2024-03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14073965433201"/>
    <s v="Core Growth"/>
    <s v="Moderate"/>
    <s v="Moderate"/>
    <s v="Low"/>
    <s v="Low"/>
    <m/>
    <m/>
    <m/>
    <m/>
    <m/>
    <m/>
    <m/>
    <s v="Palm Beach Gardens"/>
    <s v="United States"/>
  </r>
  <r>
    <n v="186"/>
    <s v="Ateh (Muhammad Yusuf)"/>
    <n v="4.6E-5"/>
    <n v="2.9E-5"/>
    <n v="1.4E-5"/>
    <n v="3.9999999999999998E-6"/>
    <m/>
    <m/>
    <m/>
    <m/>
    <m/>
    <m/>
    <m/>
    <n v="4244800"/>
    <n v="2673600"/>
    <n v="1261100"/>
    <n v="349800"/>
    <m/>
    <m/>
    <m/>
    <m/>
    <m/>
    <m/>
    <m/>
    <n v="1571200"/>
    <n v="1412500"/>
    <n v="911300"/>
    <n v="349800"/>
    <m/>
    <m/>
    <m/>
    <m/>
    <m/>
    <m/>
    <m/>
    <n v="18671516404.799999"/>
    <n v="15201728219.5"/>
    <n v="7629655004.75"/>
    <n v="1735882578.0999999"/>
    <m/>
    <m/>
    <m/>
    <m/>
    <m/>
    <m/>
    <m/>
    <d v="2025-09-30T00:00:00"/>
    <d v="2024-12-31T00:00:00"/>
    <d v="2023-12-31T00:00:00"/>
    <d v="2022-12-31T00:00:00"/>
    <m/>
    <m/>
    <m/>
    <m/>
    <m/>
    <m/>
    <m/>
    <s v="Indonesia Insider"/>
    <s v="Indonesia Insider"/>
    <s v="Indonesia Insider"/>
    <s v="Indonesia Insider"/>
    <m/>
    <m/>
    <m/>
    <m/>
    <m/>
    <m/>
    <m/>
    <s v="Strategic Entities"/>
    <s v="Individual Investor"/>
    <n v="21329707292.400002"/>
    <m/>
    <s v="Low"/>
    <s v="Moderate"/>
    <s v="Moderate"/>
    <s v="Low"/>
    <m/>
    <m/>
    <m/>
    <m/>
    <m/>
    <m/>
    <m/>
    <m/>
    <s v="Indonesia"/>
  </r>
  <r>
    <n v="187"/>
    <s v="Banque Cantonale Vaudoise"/>
    <n v="4.6E-5"/>
    <n v="4.6E-5"/>
    <n v="2.4000000000000001E-5"/>
    <n v="2.4000000000000001E-5"/>
    <n v="7.2000000000000002E-5"/>
    <m/>
    <m/>
    <n v="3.1999999999999999E-5"/>
    <n v="3.1999999999999999E-5"/>
    <n v="1.5E-5"/>
    <m/>
    <n v="4240000"/>
    <n v="4240000"/>
    <n v="2240000"/>
    <n v="2240000"/>
    <n v="6640000"/>
    <m/>
    <m/>
    <n v="3000000"/>
    <n v="3000000"/>
    <n v="1400000"/>
    <m/>
    <n v="0"/>
    <n v="2000000"/>
    <n v="0"/>
    <n v="-4400000"/>
    <n v="6640000"/>
    <m/>
    <m/>
    <n v="0"/>
    <n v="1600000"/>
    <n v="1400000"/>
    <m/>
    <n v="18650402687"/>
    <n v="24108066949"/>
    <n v="13552000044.950001"/>
    <n v="11116000016"/>
    <n v="23298475260"/>
    <m/>
    <m/>
    <n v="9449999990.2000008"/>
    <n v="9449999990.2000008"/>
    <n v="3674999970.5"/>
    <m/>
    <d v="2025-09-30T00:00:00"/>
    <d v="2024-12-31T00:00:00"/>
    <d v="2023-12-31T00:00:00"/>
    <d v="2022-12-31T00:00:00"/>
    <d v="2021-12-31T00:00:00"/>
    <m/>
    <m/>
    <d v="2017-05-31T00:00:00"/>
    <d v="2017-05-31T00:00:00"/>
    <d v="2016-11-30T00:00:00"/>
    <m/>
    <s v="Aggregate MFs"/>
    <s v="Aggregate MFs"/>
    <s v="Aggregate MFs"/>
    <s v="Aggregate MFs"/>
    <s v="Aggregate MFs"/>
    <m/>
    <m/>
    <s v="Aggregate MFs"/>
    <s v="Aggregate MFs"/>
    <s v="Aggregate MFs"/>
    <m/>
    <s v="Investment Managers"/>
    <s v="Bank and Trust"/>
    <n v="214917029601565"/>
    <s v="Core Growth"/>
    <s v="Low"/>
    <s v="Low"/>
    <s v="Low"/>
    <s v="Low"/>
    <s v="Moderate"/>
    <m/>
    <m/>
    <s v="Low"/>
    <s v="Moderate"/>
    <s v="Moderate"/>
    <m/>
    <s v="Lausanne"/>
    <s v="Switzerland"/>
  </r>
  <r>
    <n v="188"/>
    <s v="Margetts Fund Management Limited"/>
    <n v="4.5000000000000003E-5"/>
    <n v="7.2000000000000002E-5"/>
    <n v="4.1E-5"/>
    <n v="1.5999999999999999E-5"/>
    <n v="0"/>
    <n v="4.1999999999999998E-5"/>
    <m/>
    <m/>
    <m/>
    <m/>
    <m/>
    <n v="4199600"/>
    <n v="6649400"/>
    <n v="3823600"/>
    <n v="1449400"/>
    <n v="0"/>
    <n v="3919400"/>
    <m/>
    <m/>
    <m/>
    <m/>
    <m/>
    <n v="-2449800"/>
    <n v="2825800"/>
    <n v="2374200"/>
    <n v="1449400"/>
    <n v="-3919400"/>
    <n v="3919400"/>
    <m/>
    <m/>
    <m/>
    <m/>
    <m/>
    <n v="20533267481.700001"/>
    <n v="37807589647.300003"/>
    <n v="23132779939.849998"/>
    <n v="7645585050.3000002"/>
    <n v="0"/>
    <n v="12395102522.4"/>
    <m/>
    <m/>
    <m/>
    <m/>
    <m/>
    <d v="2025-06-30T00:00:00"/>
    <d v="2024-12-31T00:00:00"/>
    <d v="2023-12-31T00:00:00"/>
    <d v="2022-10-31T00:00:00"/>
    <d v="2021-09-30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45500309464150.797"/>
    <s v="Growth"/>
    <s v="Low"/>
    <s v="Low"/>
    <s v="Moderate"/>
    <s v="Low"/>
    <s v="Moderate"/>
    <s v="Moderate"/>
    <m/>
    <m/>
    <m/>
    <m/>
    <m/>
    <s v="Birmingham"/>
    <s v="United Kingdom"/>
  </r>
  <r>
    <n v="189"/>
    <s v="Principal Asset Management Berhad"/>
    <n v="4.5000000000000003E-5"/>
    <n v="2.0999999999999999E-5"/>
    <n v="1.8100000000000001E-4"/>
    <n v="3.0000000000000001E-5"/>
    <n v="3.0000000000000001E-5"/>
    <n v="3.3000000000000003E-5"/>
    <n v="7.6000000000000004E-5"/>
    <n v="4.8000000000000001E-5"/>
    <n v="7.2000000000000002E-5"/>
    <n v="4.6999999999999997E-5"/>
    <n v="9.2E-5"/>
    <n v="4151400"/>
    <n v="1901100"/>
    <n v="16732000"/>
    <n v="2739400"/>
    <n v="2739400"/>
    <n v="3019000"/>
    <n v="7068000"/>
    <n v="4478620"/>
    <n v="6624420"/>
    <n v="4346620"/>
    <n v="8521820"/>
    <n v="2250300"/>
    <n v="-14830900"/>
    <n v="13992600"/>
    <n v="0"/>
    <n v="-279600"/>
    <n v="-4049000"/>
    <n v="2589380"/>
    <n v="-2145800"/>
    <n v="2277800"/>
    <n v="-4175200"/>
    <n v="-980800"/>
    <n v="18797088303"/>
    <n v="10809397638.700001"/>
    <n v="101228599983.05"/>
    <n v="8218200009.5"/>
    <n v="8218200009.5"/>
    <n v="9547587459.6000004"/>
    <n v="24649650033"/>
    <n v="16310673243.75"/>
    <n v="26497680004.799999"/>
    <n v="12578031686.4"/>
    <n v="19713859299.299999"/>
    <d v="2025-07-31T00:00:00"/>
    <d v="2024-12-31T00:00:00"/>
    <d v="2023-12-31T00:00:00"/>
    <d v="2021-05-31T00:00:00"/>
    <d v="2021-05-31T00:00:00"/>
    <d v="2020-11-30T00:00:00"/>
    <d v="2019-11-30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6108820678870.797"/>
    <s v="GARP"/>
    <s v="Low"/>
    <s v="High"/>
    <s v="High"/>
    <s v="Low"/>
    <s v="Low"/>
    <s v="Moderate"/>
    <s v="Moderate"/>
    <s v="Moderate"/>
    <s v="Moderate"/>
    <s v="Low"/>
    <s v="Moderate"/>
    <s v="Kuala Lumpur"/>
    <s v="Malaysia"/>
  </r>
  <r>
    <n v="190"/>
    <s v="Bank of Singapore Limited"/>
    <n v="4.5000000000000003E-5"/>
    <n v="7.4999999999999993E-5"/>
    <n v="7.4999999999999993E-5"/>
    <n v="5.3000000000000001E-5"/>
    <n v="5.3000000000000001E-5"/>
    <m/>
    <n v="3.8000000000000002E-5"/>
    <n v="3.8000000000000002E-5"/>
    <n v="2.6999999999999999E-5"/>
    <n v="1.8E-5"/>
    <m/>
    <n v="4140000"/>
    <n v="6908000"/>
    <n v="6908000"/>
    <n v="4908000"/>
    <n v="4908000"/>
    <m/>
    <n v="3472000"/>
    <n v="3472000"/>
    <n v="2472000"/>
    <n v="1672000"/>
    <m/>
    <n v="-2768000"/>
    <n v="0"/>
    <n v="2000000"/>
    <n v="0"/>
    <n v="4908000"/>
    <m/>
    <n v="0"/>
    <n v="1000000"/>
    <n v="800000"/>
    <n v="1672000"/>
    <m/>
    <n v="18745470341.5"/>
    <n v="42484200101.699997"/>
    <n v="39548300112"/>
    <n v="24355949968.349998"/>
    <n v="17221222470"/>
    <m/>
    <n v="12644666731.25"/>
    <n v="12644666731.25"/>
    <n v="9888000019.3999996"/>
    <n v="4838350049.6999998"/>
    <m/>
    <d v="2025-07-31T00:00:00"/>
    <d v="2024-06-30T00:00:00"/>
    <d v="2023-07-31T00:00:00"/>
    <d v="2022-12-31T00:00:00"/>
    <d v="2021-12-31T00:00:00"/>
    <m/>
    <d v="2018-12-31T00:00:00"/>
    <d v="2018-12-31T00:00:00"/>
    <d v="2017-12-31T00:00:00"/>
    <d v="2016-12-31T00:00:00"/>
    <m/>
    <s v="Aggregate MFs"/>
    <s v="Aggregate MFs"/>
    <s v="Aggregate MFs"/>
    <s v="Aggregate MFs"/>
    <s v="Aggregate MFs"/>
    <m/>
    <s v="Aggregate MFs"/>
    <s v="Aggregate MFs"/>
    <s v="Aggregate MFs"/>
    <s v="Aggregate MFs"/>
    <m/>
    <s v="Investment Managers"/>
    <s v="Bank and Trust"/>
    <n v="61720535898318"/>
    <m/>
    <s v="Moderate"/>
    <s v="Moderate"/>
    <s v="Low"/>
    <s v="Low"/>
    <s v="Low"/>
    <m/>
    <s v="Low"/>
    <s v="Low"/>
    <s v="Low"/>
    <s v="Moderate"/>
    <m/>
    <s v="Singapore"/>
    <s v="Singapore"/>
  </r>
  <r>
    <n v="191"/>
    <s v="GAM Investment Management (Switzerland) AG"/>
    <n v="4.5000000000000003E-5"/>
    <n v="1.4200000000000001E-4"/>
    <n v="1.54E-4"/>
    <m/>
    <n v="0"/>
    <n v="0"/>
    <m/>
    <m/>
    <m/>
    <m/>
    <m/>
    <n v="4133200"/>
    <n v="13089600"/>
    <n v="14253500"/>
    <m/>
    <n v="0"/>
    <n v="0"/>
    <m/>
    <m/>
    <m/>
    <m/>
    <m/>
    <n v="-8956400"/>
    <n v="-1163900"/>
    <n v="14253500"/>
    <m/>
    <n v="0"/>
    <n v="0"/>
    <m/>
    <m/>
    <m/>
    <m/>
    <m/>
    <n v="18180623673.799999"/>
    <n v="74425696439"/>
    <n v="86233674928.399994"/>
    <m/>
    <n v="0"/>
    <n v="0"/>
    <m/>
    <m/>
    <m/>
    <m/>
    <m/>
    <d v="2025-09-30T00:00:00"/>
    <d v="2024-12-31T00:00:00"/>
    <d v="2023-12-31T00:00:00"/>
    <m/>
    <d v="2020-09-30T00:00:00"/>
    <d v="2020-09-30T00:00:00"/>
    <m/>
    <m/>
    <m/>
    <m/>
    <m/>
    <s v="Aggregate MFs"/>
    <s v="Aggregate MFs"/>
    <s v="Aggregate MFs"/>
    <m/>
    <s v="Aggregate MFs"/>
    <s v="Aggregate MFs"/>
    <m/>
    <m/>
    <m/>
    <m/>
    <m/>
    <s v="Investment Managers"/>
    <s v="Investment Advisor/Hedge Fund"/>
    <n v="108440142813703"/>
    <s v="GARP"/>
    <s v="Low"/>
    <s v="Low"/>
    <s v="Low"/>
    <m/>
    <s v="Low"/>
    <s v="Low"/>
    <m/>
    <m/>
    <m/>
    <m/>
    <m/>
    <s v="Zurich"/>
    <s v="Switzerland"/>
  </r>
  <r>
    <n v="192"/>
    <s v="Parametric Portfolio Associates LLC"/>
    <n v="4.3000000000000002E-5"/>
    <n v="4.3000000000000002E-5"/>
    <n v="6.4999999999999994E-5"/>
    <n v="1.2899999999999999E-4"/>
    <n v="8.0000000000000007E-5"/>
    <n v="1.8599999999999999E-4"/>
    <n v="2.5599999999999999E-4"/>
    <n v="2.23E-4"/>
    <n v="2.7900000000000001E-4"/>
    <n v="3.01E-4"/>
    <n v="4.66E-4"/>
    <n v="3998000"/>
    <n v="3998000"/>
    <n v="6024400"/>
    <n v="11951600"/>
    <n v="7397600"/>
    <n v="17212000"/>
    <n v="23610000"/>
    <n v="20607792"/>
    <n v="25771200"/>
    <n v="27837200"/>
    <n v="43019200"/>
    <n v="0"/>
    <n v="-2026400"/>
    <n v="-5927200"/>
    <n v="4554000"/>
    <n v="-9814400"/>
    <n v="-6398000"/>
    <n v="3002208"/>
    <n v="-5163408"/>
    <n v="-2066000"/>
    <n v="-15182000"/>
    <n v="-13449600"/>
    <n v="19078350798.150002"/>
    <n v="22732087638.700001"/>
    <n v="36447620009.800003"/>
    <n v="59309815036.449997"/>
    <n v="25956747067.5"/>
    <n v="54432949989.599998"/>
    <n v="90343020522"/>
    <n v="75051458268.75"/>
    <n v="103084800081.35001"/>
    <n v="80553897590.699997"/>
    <n v="99517996600.649994"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878025726406300"/>
    <s v="Aggressive Growth"/>
    <s v="Low"/>
    <s v="Low"/>
    <s v="Low"/>
    <s v="Low"/>
    <s v="Low"/>
    <s v="Low"/>
    <s v="Low"/>
    <s v="Low"/>
    <s v="Low"/>
    <s v="Low"/>
    <s v="Low"/>
    <s v="Seattle"/>
    <s v="United States"/>
  </r>
  <r>
    <n v="193"/>
    <s v="FIL Investment Management (Australia) Limited"/>
    <n v="4.3000000000000002E-5"/>
    <n v="4.3000000000000002E-5"/>
    <n v="6.7000000000000002E-5"/>
    <n v="9.9999999999999995E-7"/>
    <m/>
    <m/>
    <m/>
    <m/>
    <m/>
    <m/>
    <m/>
    <n v="3950500"/>
    <n v="3977900"/>
    <n v="6192498"/>
    <n v="62620"/>
    <m/>
    <m/>
    <m/>
    <m/>
    <m/>
    <m/>
    <m/>
    <n v="-27400"/>
    <n v="-2214598"/>
    <n v="6129878"/>
    <n v="62620"/>
    <m/>
    <m/>
    <m/>
    <m/>
    <m/>
    <m/>
    <m/>
    <n v="18851682048.150002"/>
    <n v="22617801816.799999"/>
    <n v="37464612940.050003"/>
    <n v="310751800.69999999"/>
    <m/>
    <m/>
    <m/>
    <m/>
    <m/>
    <m/>
    <m/>
    <d v="2025-08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27798739977169"/>
    <s v="GARP"/>
    <s v="Low"/>
    <s v="Low"/>
    <s v="High"/>
    <s v="Low"/>
    <m/>
    <m/>
    <m/>
    <m/>
    <m/>
    <m/>
    <m/>
    <s v="Sydney"/>
    <s v="Australia"/>
  </r>
  <r>
    <n v="194"/>
    <s v="BNP Paribas Asset Management Europe SAS"/>
    <n v="4.3000000000000002E-5"/>
    <n v="4.3000000000000002E-5"/>
    <m/>
    <m/>
    <m/>
    <m/>
    <m/>
    <n v="0"/>
    <n v="0"/>
    <n v="7.9999999999999996E-6"/>
    <n v="3.7800000000000003E-4"/>
    <n v="3928200"/>
    <n v="3928200"/>
    <m/>
    <m/>
    <m/>
    <m/>
    <m/>
    <n v="0"/>
    <n v="0"/>
    <n v="782800"/>
    <n v="34972772"/>
    <n v="0"/>
    <n v="3928200"/>
    <m/>
    <m/>
    <m/>
    <m/>
    <m/>
    <n v="0"/>
    <n v="-782800"/>
    <n v="-34189972"/>
    <n v="-35292"/>
    <n v="27202784942.849998"/>
    <n v="27202784942.849998"/>
    <m/>
    <m/>
    <m/>
    <m/>
    <m/>
    <n v="0"/>
    <n v="0"/>
    <n v="2265227539.8000002"/>
    <n v="80903880201.899994"/>
    <d v="2024-09-30T00:00:00"/>
    <d v="2024-09-30T00:00:00"/>
    <m/>
    <m/>
    <m/>
    <m/>
    <m/>
    <d v="2017-04-30T00:00:00"/>
    <d v="2017-04-30T00:00:00"/>
    <d v="2016-12-31T00:00:00"/>
    <d v="2015-12-31T00:00:00"/>
    <s v="Aggregate MFs"/>
    <s v="Aggregate MFs"/>
    <m/>
    <m/>
    <m/>
    <m/>
    <m/>
    <s v="Aggregate MFs"/>
    <s v="Aggregate MFs"/>
    <s v="Aggregate MFs"/>
    <s v="Aggregate MFs"/>
    <s v="Investment Managers"/>
    <s v="Investment Advisor/Hedge Fund"/>
    <n v="898753770179191"/>
    <s v="Core Growth"/>
    <s v="Moderate"/>
    <s v="Moderate"/>
    <m/>
    <m/>
    <m/>
    <m/>
    <m/>
    <s v="Moderate"/>
    <s v="Moderate"/>
    <s v="Moderate"/>
    <s v="Moderate"/>
    <s v="Paris"/>
    <s v="France"/>
  </r>
  <r>
    <n v="195"/>
    <s v="HSBC Global Asset Management (Singapore) Limited"/>
    <n v="4.1999999999999998E-5"/>
    <n v="2.0999999999999999E-5"/>
    <m/>
    <m/>
    <m/>
    <m/>
    <m/>
    <m/>
    <m/>
    <m/>
    <m/>
    <n v="3922900"/>
    <n v="1949600"/>
    <m/>
    <m/>
    <m/>
    <m/>
    <m/>
    <m/>
    <m/>
    <m/>
    <m/>
    <n v="1973300"/>
    <n v="1949600"/>
    <m/>
    <m/>
    <m/>
    <m/>
    <m/>
    <m/>
    <m/>
    <m/>
    <m/>
    <n v="17762465059.5"/>
    <n v="11085162057"/>
    <m/>
    <m/>
    <m/>
    <m/>
    <m/>
    <m/>
    <m/>
    <m/>
    <m/>
    <d v="2025-07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1290050405032.801"/>
    <s v="GARP"/>
    <s v="Low"/>
    <s v="Moderate"/>
    <m/>
    <m/>
    <m/>
    <m/>
    <m/>
    <m/>
    <m/>
    <m/>
    <m/>
    <s v="Singapore"/>
    <s v="Singapore"/>
  </r>
  <r>
    <n v="196"/>
    <s v="Sanlam Investment Management (Pty) Ltd."/>
    <n v="4.1999999999999998E-5"/>
    <n v="1.1E-5"/>
    <n v="1.0000000000000001E-5"/>
    <n v="1.1E-5"/>
    <n v="3.0000000000000001E-6"/>
    <n v="3.0000000000000001E-6"/>
    <n v="3.9999999999999998E-6"/>
    <n v="3.9999999999999998E-6"/>
    <n v="5.0000000000000004E-6"/>
    <n v="3.9999999999999998E-6"/>
    <n v="5.0000000000000004E-6"/>
    <n v="3910136"/>
    <n v="1008136"/>
    <n v="928436"/>
    <n v="1050610"/>
    <n v="295278"/>
    <n v="266946"/>
    <n v="327846"/>
    <n v="327846"/>
    <n v="450280"/>
    <n v="364280"/>
    <n v="438120"/>
    <n v="2902000"/>
    <n v="79700"/>
    <n v="-122174"/>
    <n v="755332"/>
    <n v="28332"/>
    <n v="-60900"/>
    <n v="0"/>
    <n v="-122434"/>
    <n v="86000"/>
    <n v="-73840"/>
    <n v="0"/>
    <n v="19117979833.200001"/>
    <n v="5732125090.1000004"/>
    <n v="5617037866.1000004"/>
    <n v="5213652088.6999998"/>
    <n v="1036073325"/>
    <n v="844216776"/>
    <n v="1254493832"/>
    <n v="1102382162"/>
    <n v="1801120005"/>
    <n v="1054135260"/>
    <n v="1013520069"/>
    <d v="2025-06-30T00:00:00"/>
    <d v="2024-12-31T00:00:00"/>
    <d v="2023-12-31T00:00:00"/>
    <d v="2022-12-31T00:00:00"/>
    <d v="2021-12-31T00:00:00"/>
    <d v="2020-12-31T00:00:00"/>
    <d v="2019-12-31T00:00:00"/>
    <d v="2018-09-30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05166476493945"/>
    <s v="Core Value"/>
    <s v="Low"/>
    <s v="Low"/>
    <s v="Moderate"/>
    <s v="Low"/>
    <s v="Low"/>
    <s v="Low"/>
    <s v="Low"/>
    <s v="Low"/>
    <s v="High"/>
    <s v="Moderate"/>
    <s v="Low"/>
    <s v="Bellville"/>
    <s v="South Africa"/>
  </r>
  <r>
    <n v="197"/>
    <s v="UBS Asset Management Switzerland AG"/>
    <n v="4.1999999999999998E-5"/>
    <n v="3.8000000000000002E-5"/>
    <n v="3.1999999999999999E-5"/>
    <n v="4.8999999999999998E-5"/>
    <n v="4.3000000000000002E-5"/>
    <n v="5.7000000000000003E-5"/>
    <n v="6.2000000000000003E-5"/>
    <m/>
    <m/>
    <m/>
    <m/>
    <n v="3842218"/>
    <n v="3473100"/>
    <n v="2952800"/>
    <n v="4565318"/>
    <n v="3938918"/>
    <n v="5260318"/>
    <n v="5742600"/>
    <m/>
    <m/>
    <m/>
    <m/>
    <n v="369118"/>
    <n v="520300"/>
    <n v="-1612518"/>
    <n v="626400"/>
    <n v="-1321400"/>
    <n v="-482282"/>
    <n v="5742600"/>
    <m/>
    <m/>
    <m/>
    <m/>
    <n v="16900687020"/>
    <n v="19747577191"/>
    <n v="17864440055.349998"/>
    <n v="17062876024.799999"/>
    <n v="13786212978.4"/>
    <n v="16635755635.200001"/>
    <n v="21973902140.799999"/>
    <m/>
    <m/>
    <m/>
    <m/>
    <d v="2025-09-30T00:00:00"/>
    <d v="2024-12-31T00:00:00"/>
    <d v="2023-12-31T00:00:00"/>
    <d v="2022-01-31T00:00:00"/>
    <d v="2021-11-30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740599180693630"/>
    <m/>
    <s v="Low"/>
    <s v="Low"/>
    <s v="Low"/>
    <s v="Low"/>
    <s v="Low"/>
    <s v="Low"/>
    <s v="Low"/>
    <m/>
    <m/>
    <m/>
    <m/>
    <s v="Zurich"/>
    <s v="Switzerland"/>
  </r>
  <r>
    <n v="198"/>
    <s v="Cardano Asset Management NV"/>
    <n v="4.1E-5"/>
    <n v="0"/>
    <n v="0"/>
    <n v="2.6999999999999999E-5"/>
    <n v="5.1E-5"/>
    <n v="4.5000000000000003E-5"/>
    <n v="3.4E-5"/>
    <n v="3.8000000000000002E-5"/>
    <n v="2.9E-5"/>
    <n v="6.9999999999999999E-6"/>
    <m/>
    <n v="3820772"/>
    <n v="0"/>
    <n v="0"/>
    <n v="2480338"/>
    <n v="4706622"/>
    <n v="4185072"/>
    <n v="3108808"/>
    <n v="3471800"/>
    <n v="2677218"/>
    <n v="607908"/>
    <m/>
    <n v="3820772"/>
    <n v="0"/>
    <n v="-2480338"/>
    <n v="-2226284"/>
    <n v="521550"/>
    <n v="1076264"/>
    <n v="-362992"/>
    <n v="794582"/>
    <n v="2069310"/>
    <n v="607908"/>
    <m/>
    <n v="18232623480.75"/>
    <n v="0"/>
    <n v="0"/>
    <n v="12308677324.35"/>
    <n v="16514625960"/>
    <n v="13235290239.6"/>
    <n v="11895768915.6"/>
    <n v="12643938350"/>
    <n v="10708872022.450001"/>
    <n v="1595758568"/>
    <m/>
    <d v="2025-08-31T00:00:00"/>
    <d v="2023-06-30T00:00:00"/>
    <d v="2023-06-30T00:00:00"/>
    <d v="2022-12-31T00:00:00"/>
    <d v="2021-12-31T00:00:00"/>
    <d v="2020-12-31T00:00:00"/>
    <d v="2019-12-31T00:00:00"/>
    <d v="2018-12-31T00:00:00"/>
    <d v="2017-12-31T00:00:00"/>
    <d v="2016-11-30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510165466452593"/>
    <s v="Income Value"/>
    <s v="Low"/>
    <s v="Low"/>
    <s v="Low"/>
    <s v="Moderate"/>
    <s v="Low"/>
    <s v="Moderate"/>
    <s v="High"/>
    <s v="Low"/>
    <s v="Moderate"/>
    <s v="Moderate"/>
    <m/>
    <s v="Rotterdam"/>
    <s v="Netherlands"/>
  </r>
  <r>
    <n v="199"/>
    <s v="Keyridge Asset Management Limited"/>
    <n v="4.1E-5"/>
    <n v="1.0399999999999999E-4"/>
    <n v="1.0399999999999999E-4"/>
    <n v="6.7999999999999999E-5"/>
    <n v="5.5999999999999999E-5"/>
    <n v="3.1000000000000001E-5"/>
    <n v="1.5999999999999999E-5"/>
    <m/>
    <m/>
    <m/>
    <m/>
    <n v="3757500"/>
    <n v="9576300"/>
    <n v="9585400"/>
    <n v="6254200"/>
    <n v="5136800"/>
    <n v="2865954"/>
    <n v="1463992"/>
    <m/>
    <m/>
    <m/>
    <m/>
    <n v="-5818800"/>
    <n v="-9100"/>
    <n v="3331200"/>
    <n v="1117400"/>
    <n v="2270846"/>
    <n v="1401962"/>
    <n v="1463992"/>
    <m/>
    <m/>
    <m/>
    <m/>
    <n v="16528039638.6"/>
    <n v="54449547443.300003"/>
    <n v="57991669972.599998"/>
    <n v="31036467580.25"/>
    <n v="18024037402.5"/>
    <n v="9063579564"/>
    <n v="5105672040"/>
    <m/>
    <m/>
    <m/>
    <m/>
    <d v="2025-09-30T00:00:00"/>
    <d v="2024-12-31T00:00:00"/>
    <d v="2023-12-31T00:00:00"/>
    <d v="2022-12-31T00:00:00"/>
    <d v="2021-12-31T00:00:00"/>
    <d v="2020-12-31T00:00:00"/>
    <d v="2019-11-30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33268974117640"/>
    <s v="Core Value"/>
    <s v="Low"/>
    <s v="Low"/>
    <s v="Low"/>
    <s v="Low"/>
    <s v="Low"/>
    <s v="Moderate"/>
    <s v="Low"/>
    <m/>
    <m/>
    <m/>
    <m/>
    <s v="Dublin"/>
    <s v="Ireland"/>
  </r>
  <r>
    <n v="200"/>
    <s v="DWS International GmbH"/>
    <n v="4.0000000000000003E-5"/>
    <n v="3.8999999999999999E-5"/>
    <n v="4.5000000000000003E-5"/>
    <n v="4.5000000000000003E-5"/>
    <n v="4.6E-5"/>
    <m/>
    <m/>
    <m/>
    <n v="0"/>
    <n v="0"/>
    <n v="4.7800000000000002E-4"/>
    <n v="3738200"/>
    <n v="3580400"/>
    <n v="4168000"/>
    <n v="4168000"/>
    <n v="4246400"/>
    <m/>
    <m/>
    <m/>
    <n v="0"/>
    <n v="0"/>
    <n v="44140000"/>
    <n v="157800"/>
    <n v="-587600"/>
    <n v="0"/>
    <n v="-78400"/>
    <n v="4246400"/>
    <m/>
    <m/>
    <m/>
    <n v="0"/>
    <n v="-44140000"/>
    <n v="0"/>
    <n v="16926163509.5"/>
    <n v="21984761779.200001"/>
    <n v="25216400050.099998"/>
    <n v="21934099973.5"/>
    <n v="14899796010"/>
    <m/>
    <m/>
    <m/>
    <n v="0"/>
    <n v="0"/>
    <n v="102110786923.64999"/>
    <d v="2025-07-31T00:00:00"/>
    <d v="2024-11-30T00:00:00"/>
    <d v="2023-12-31T00:00:00"/>
    <d v="2022-11-30T00:00:00"/>
    <d v="2021-12-31T00:00:00"/>
    <m/>
    <m/>
    <m/>
    <d v="2016-04-30T00:00:00"/>
    <d v="2016-04-30T00:00:00"/>
    <d v="2015-12-31T00:00:00"/>
    <s v="Aggregate MFs"/>
    <s v="Aggregate MFs"/>
    <s v="Aggregate MFs"/>
    <s v="Aggregate MFs"/>
    <s v="Aggregate MFs"/>
    <m/>
    <m/>
    <m/>
    <s v="Aggregate MFs"/>
    <s v="Aggregate MFs"/>
    <s v="Aggregate MFs"/>
    <s v="Investment Managers"/>
    <s v="Investment Advisor"/>
    <n v="483534478716278"/>
    <m/>
    <s v="Low"/>
    <s v="Moderate"/>
    <s v="Low"/>
    <s v="Low"/>
    <s v="Low"/>
    <m/>
    <m/>
    <m/>
    <s v="Moderate"/>
    <s v="Low"/>
    <s v="Low"/>
    <s v="Frankfurt"/>
    <s v="Germany"/>
  </r>
  <r>
    <n v="201"/>
    <s v="DNB Asset Management AS"/>
    <n v="3.8999999999999999E-5"/>
    <n v="3.1000000000000001E-5"/>
    <n v="2.5000000000000001E-5"/>
    <n v="2.5399999999999999E-4"/>
    <n v="1.4E-5"/>
    <n v="1.2E-5"/>
    <n v="3.77E-4"/>
    <n v="2.81E-4"/>
    <m/>
    <n v="0"/>
    <n v="0"/>
    <n v="3566214"/>
    <n v="2909214"/>
    <n v="2301514"/>
    <n v="23489712"/>
    <n v="1262376"/>
    <n v="1092278"/>
    <n v="34836286"/>
    <n v="25924000"/>
    <m/>
    <n v="0"/>
    <n v="0"/>
    <n v="657000"/>
    <n v="607700"/>
    <n v="-21188198"/>
    <n v="22227336"/>
    <n v="170098"/>
    <n v="-33744008"/>
    <n v="8912286"/>
    <n v="25924000"/>
    <m/>
    <n v="0"/>
    <n v="0"/>
    <n v="17017879273.5"/>
    <n v="16541397548.6"/>
    <n v="13924159698.65"/>
    <n v="116567695967.25"/>
    <n v="4429433092.5"/>
    <n v="3454329153.5999999"/>
    <n v="133300097469.60001"/>
    <n v="94412540868.75"/>
    <m/>
    <n v="0"/>
    <n v="0"/>
    <d v="2025-08-31T00:00:00"/>
    <d v="2024-12-31T00:00:00"/>
    <d v="2023-12-31T00:00:00"/>
    <d v="2022-12-31T00:00:00"/>
    <d v="2021-12-31T00:00:00"/>
    <d v="2020-12-31T00:00:00"/>
    <d v="2019-12-31T00:00:00"/>
    <d v="2018-12-31T00:00:00"/>
    <m/>
    <d v="2015-11-30T00:00:00"/>
    <d v="2015-11-30T00:00:00"/>
    <s v="Aggregate MFs"/>
    <s v="Aggregate MFs"/>
    <s v="Aggregate MFs"/>
    <s v="Aggregate MFs"/>
    <s v="Aggregate MFs"/>
    <s v="Aggregate MFs"/>
    <s v="Aggregate MFs"/>
    <s v="Aggregate MFs"/>
    <m/>
    <s v="Aggregate MFs"/>
    <s v="Aggregate MFs"/>
    <s v="Investment Managers"/>
    <s v="Investment Advisor/Hedge Fund"/>
    <n v="865882798509794"/>
    <s v="Growth"/>
    <s v="Low"/>
    <s v="Low"/>
    <s v="Moderate"/>
    <s v="Low"/>
    <s v="Moderate"/>
    <s v="Moderate"/>
    <s v="Moderate"/>
    <s v="Low"/>
    <m/>
    <s v="Low"/>
    <s v="Moderate"/>
    <s v="Oslo"/>
    <s v="Norway"/>
  </r>
  <r>
    <n v="202"/>
    <s v="Asia Growth Capital Management AB"/>
    <n v="3.8999999999999999E-5"/>
    <n v="3.8999999999999999E-5"/>
    <n v="5.3999999999999998E-5"/>
    <n v="5.3999999999999998E-5"/>
    <n v="1.1900000000000001E-4"/>
    <n v="2.1599999999999999E-4"/>
    <n v="0"/>
    <n v="9.7E-5"/>
    <m/>
    <m/>
    <m/>
    <n v="3560000"/>
    <n v="3560000"/>
    <n v="5000000"/>
    <n v="5000000"/>
    <n v="11000000"/>
    <n v="20000000"/>
    <n v="0"/>
    <n v="9000000"/>
    <m/>
    <m/>
    <m/>
    <n v="0"/>
    <n v="-1440000"/>
    <n v="0"/>
    <n v="-6000000"/>
    <n v="-9000000"/>
    <n v="20000000"/>
    <n v="-9000000"/>
    <n v="9000000"/>
    <m/>
    <m/>
    <m/>
    <n v="25810000044.5"/>
    <n v="25810000044.5"/>
    <n v="29998791457.5"/>
    <n v="23562500036.25"/>
    <n v="33825000054.599998"/>
    <n v="49600000010.400002"/>
    <n v="0"/>
    <n v="30262500023"/>
    <m/>
    <m/>
    <m/>
    <d v="2024-03-31T00:00:00"/>
    <d v="2024-03-31T00:00:00"/>
    <d v="2023-09-30T00:00:00"/>
    <d v="2022-09-30T00:00:00"/>
    <d v="2021-09-30T00:00:00"/>
    <d v="2020-09-30T00:00:00"/>
    <d v="2019-03-31T00:00:00"/>
    <d v="2018-09-30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1115322556642.8"/>
    <s v="Growth"/>
    <m/>
    <s v="Low"/>
    <s v="Low"/>
    <s v="Low"/>
    <s v="Low"/>
    <s v="Moderate"/>
    <s v="Low"/>
    <s v="Low"/>
    <m/>
    <m/>
    <m/>
    <s v="Stockholm"/>
    <s v="Sweden"/>
  </r>
  <r>
    <n v="203"/>
    <s v="Silaban (Rionald)"/>
    <n v="3.6999999999999998E-5"/>
    <n v="3.6999999999999998E-5"/>
    <n v="2.1999999999999999E-5"/>
    <n v="1.2E-5"/>
    <n v="6.9999999999999999E-6"/>
    <n v="3.0000000000000001E-6"/>
    <m/>
    <m/>
    <m/>
    <m/>
    <m/>
    <n v="3430200"/>
    <n v="3430200"/>
    <n v="2017700"/>
    <n v="1106400"/>
    <n v="667600"/>
    <n v="257800"/>
    <m/>
    <m/>
    <m/>
    <m/>
    <m/>
    <n v="0"/>
    <n v="1412500"/>
    <n v="911300"/>
    <n v="438800"/>
    <n v="409800"/>
    <n v="257800"/>
    <m/>
    <m/>
    <m/>
    <m/>
    <m/>
    <n v="19503653595.5"/>
    <n v="19503653595.5"/>
    <n v="12207084993.5"/>
    <n v="5490510012.3500004"/>
    <n v="2342479267.5"/>
    <n v="815292550.79999995"/>
    <m/>
    <m/>
    <m/>
    <m/>
    <m/>
    <d v="2024-12-31T00:00:00"/>
    <d v="2024-12-31T00:00:00"/>
    <d v="2023-12-31T00:00:00"/>
    <d v="2022-12-31T00:00:00"/>
    <d v="2021-12-31T00:00:00"/>
    <d v="2020-12-31T00:00:00"/>
    <m/>
    <m/>
    <m/>
    <m/>
    <m/>
    <s v="Indonesia Insider"/>
    <s v="Indonesia Insider"/>
    <s v="Indonesia Insider"/>
    <s v="Indonesia Insider"/>
    <s v="Indonesia Insider"/>
    <s v="Indonesia Insider"/>
    <m/>
    <m/>
    <m/>
    <m/>
    <m/>
    <s v="Strategic Entities"/>
    <s v="Individual Investor"/>
    <n v="20218827966"/>
    <m/>
    <s v="Low"/>
    <s v="Low"/>
    <s v="Low"/>
    <s v="Low"/>
    <s v="Low"/>
    <s v="Low"/>
    <m/>
    <m/>
    <m/>
    <m/>
    <m/>
    <m/>
    <s v="Indonesia"/>
  </r>
  <r>
    <n v="204"/>
    <s v="Assetplus Investment Management Co., Ltd."/>
    <n v="3.6999999999999998E-5"/>
    <n v="4.5000000000000003E-5"/>
    <n v="3.4E-5"/>
    <n v="3.8999999999999999E-5"/>
    <n v="0"/>
    <n v="0"/>
    <m/>
    <m/>
    <m/>
    <m/>
    <m/>
    <n v="3405000"/>
    <n v="4155096"/>
    <n v="3121786"/>
    <n v="3597648"/>
    <n v="0"/>
    <n v="0"/>
    <m/>
    <m/>
    <m/>
    <m/>
    <m/>
    <n v="-750096"/>
    <n v="1033310"/>
    <n v="-475862"/>
    <n v="3597648"/>
    <n v="0"/>
    <n v="0"/>
    <m/>
    <m/>
    <m/>
    <m/>
    <m/>
    <n v="17684635225.950001"/>
    <n v="23625314334.700001"/>
    <n v="18886805224.799999"/>
    <n v="17853328165.75"/>
    <n v="0"/>
    <n v="0"/>
    <m/>
    <m/>
    <m/>
    <m/>
    <m/>
    <d v="2025-03-31T00:00:00"/>
    <d v="2024-12-31T00:00:00"/>
    <d v="2023-12-31T00:00:00"/>
    <d v="2022-12-31T00:00:00"/>
    <d v="2020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10841391743283.6"/>
    <s v="Core Value"/>
    <s v="Low"/>
    <s v="Low"/>
    <s v="High"/>
    <s v="High"/>
    <s v="Low"/>
    <s v="High"/>
    <m/>
    <m/>
    <m/>
    <m/>
    <m/>
    <s v="Gyeonggi-do"/>
    <s v="South Korea"/>
  </r>
  <r>
    <n v="205"/>
    <s v="Yuanta Securities Investment Trust Co., Ltd."/>
    <n v="3.6000000000000001E-5"/>
    <n v="2.6999999999999999E-5"/>
    <n v="3.0000000000000001E-5"/>
    <n v="2.8E-5"/>
    <n v="3.8999999999999999E-5"/>
    <n v="3.1999999999999999E-5"/>
    <n v="4.3000000000000002E-5"/>
    <n v="4.6E-5"/>
    <n v="3.1000000000000001E-5"/>
    <n v="3.0000000000000001E-5"/>
    <n v="4.1E-5"/>
    <n v="3336190"/>
    <n v="2503289"/>
    <n v="2804607"/>
    <n v="2586962"/>
    <n v="3612742"/>
    <n v="2916948"/>
    <n v="3936536"/>
    <n v="4218360"/>
    <n v="2890106"/>
    <n v="2796712"/>
    <n v="3787788"/>
    <n v="832901"/>
    <n v="-301318"/>
    <n v="217645"/>
    <n v="-1025780"/>
    <n v="695794"/>
    <n v="-1019588"/>
    <n v="-281824"/>
    <n v="1328254"/>
    <n v="93394"/>
    <n v="-991076"/>
    <n v="664604"/>
    <n v="14674831885"/>
    <n v="14233362993.4"/>
    <n v="16967872357.299999"/>
    <n v="12837798915.15"/>
    <n v="12676412685"/>
    <n v="9224848058.3999996"/>
    <n v="15063047503.6"/>
    <n v="15362833181.25"/>
    <n v="11560423986"/>
    <n v="8092985323.8000002"/>
    <n v="8762438007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799600828014617"/>
    <s v="Core Value"/>
    <s v="Low"/>
    <s v="Moderate"/>
    <s v="Low"/>
    <s v="Moderate"/>
    <s v="Moderate"/>
    <s v="Moderate"/>
    <s v="High"/>
    <s v="Moderate"/>
    <s v="High"/>
    <s v="Moderate"/>
    <s v="Moderate"/>
    <s v="Taipei"/>
    <s v="Taiwan"/>
  </r>
  <r>
    <n v="206"/>
    <s v="J.P. Morgan Investment Management, Inc. (SI)"/>
    <n v="3.4E-5"/>
    <n v="3.4E-5"/>
    <m/>
    <m/>
    <m/>
    <m/>
    <m/>
    <m/>
    <m/>
    <m/>
    <m/>
    <n v="3146700"/>
    <n v="3146700"/>
    <m/>
    <m/>
    <m/>
    <m/>
    <m/>
    <m/>
    <m/>
    <m/>
    <m/>
    <n v="0"/>
    <n v="3146700"/>
    <m/>
    <m/>
    <m/>
    <m/>
    <m/>
    <m/>
    <m/>
    <m/>
    <m/>
    <n v="20138879972.400002"/>
    <n v="20138879972.400002"/>
    <m/>
    <m/>
    <m/>
    <m/>
    <m/>
    <m/>
    <m/>
    <m/>
    <m/>
    <d v="2024-07-31T00:00:00"/>
    <d v="2024-07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443108609308961"/>
    <m/>
    <s v="Low"/>
    <s v="Low"/>
    <m/>
    <m/>
    <m/>
    <m/>
    <m/>
    <m/>
    <m/>
    <m/>
    <m/>
    <s v="Singapore"/>
    <s v="Singapore"/>
  </r>
  <r>
    <n v="207"/>
    <s v="Budimanta (Arif)"/>
    <n v="3.4E-5"/>
    <n v="3.4E-5"/>
    <n v="1.8E-5"/>
    <n v="9.0000000000000002E-6"/>
    <n v="3.9999999999999998E-6"/>
    <n v="0"/>
    <m/>
    <m/>
    <m/>
    <m/>
    <m/>
    <n v="3116400"/>
    <n v="3116400"/>
    <n v="1703900"/>
    <n v="792600"/>
    <n v="353800"/>
    <n v="0"/>
    <m/>
    <m/>
    <m/>
    <m/>
    <m/>
    <n v="0"/>
    <n v="1412500"/>
    <n v="911300"/>
    <n v="438800"/>
    <n v="353800"/>
    <n v="0"/>
    <m/>
    <m/>
    <m/>
    <m/>
    <m/>
    <n v="17719429151.200001"/>
    <n v="17719429151.200001"/>
    <n v="10308594992.549999"/>
    <n v="3933277523.4499998"/>
    <n v="1241415682.5"/>
    <n v="0"/>
    <m/>
    <m/>
    <m/>
    <m/>
    <m/>
    <d v="2024-12-31T00:00:00"/>
    <d v="2024-12-31T00:00:00"/>
    <d v="2023-12-31T00:00:00"/>
    <d v="2022-12-31T00:00:00"/>
    <d v="2021-12-31T00:00:00"/>
    <d v="2020-06-30T00:00:00"/>
    <m/>
    <m/>
    <m/>
    <m/>
    <m/>
    <s v="Indonesia Insider"/>
    <s v="Indonesia Insider"/>
    <s v="Indonesia Insider"/>
    <s v="Indonesia Insider"/>
    <s v="Indonesia Insider"/>
    <s v="Indonesia Insider"/>
    <m/>
    <m/>
    <m/>
    <m/>
    <m/>
    <s v="Strategic Entities"/>
    <s v="Individual Investor"/>
    <n v="18369178262.400002"/>
    <m/>
    <s v="Low"/>
    <s v="Low"/>
    <s v="Low"/>
    <s v="Low"/>
    <s v="Low"/>
    <s v="High"/>
    <m/>
    <m/>
    <m/>
    <m/>
    <m/>
    <m/>
    <s v="Indonesia"/>
  </r>
  <r>
    <n v="208"/>
    <s v="Utomo (Faried)"/>
    <n v="3.4E-5"/>
    <n v="3.4E-5"/>
    <n v="1.8E-5"/>
    <n v="9.0000000000000002E-6"/>
    <n v="3.9999999999999998E-6"/>
    <m/>
    <m/>
    <m/>
    <m/>
    <m/>
    <m/>
    <n v="3116400"/>
    <n v="3116400"/>
    <n v="1703900"/>
    <n v="792600"/>
    <n v="353800"/>
    <m/>
    <m/>
    <m/>
    <m/>
    <m/>
    <m/>
    <n v="0"/>
    <n v="1412500"/>
    <n v="911300"/>
    <n v="438800"/>
    <n v="353800"/>
    <m/>
    <m/>
    <m/>
    <m/>
    <m/>
    <m/>
    <n v="17719429151.200001"/>
    <n v="17719429151.200001"/>
    <n v="10308594992.549999"/>
    <n v="3933277523.4499998"/>
    <n v="1241415682.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Indonesia Insider"/>
    <s v="Indonesia Insider"/>
    <s v="Indonesia Insider"/>
    <s v="Indonesia Insider"/>
    <s v="Indonesia Insider"/>
    <m/>
    <m/>
    <m/>
    <m/>
    <m/>
    <m/>
    <s v="Strategic Entities"/>
    <s v="Individual Investor"/>
    <n v="18369178262.400002"/>
    <m/>
    <s v="Low"/>
    <s v="Low"/>
    <s v="Low"/>
    <s v="Low"/>
    <s v="Low"/>
    <m/>
    <m/>
    <m/>
    <m/>
    <m/>
    <m/>
    <m/>
    <s v="Indonesia"/>
  </r>
  <r>
    <n v="209"/>
    <s v="Nomura Asset Management Co., Ltd."/>
    <n v="3.4E-5"/>
    <n v="4.8999999999999998E-5"/>
    <n v="6.0999999999999999E-5"/>
    <n v="8.0000000000000007E-5"/>
    <n v="1.22E-4"/>
    <n v="1.05E-4"/>
    <n v="9.8999999999999994E-5"/>
    <n v="1.9000000000000001E-4"/>
    <n v="1.9599999999999999E-4"/>
    <n v="1.3300000000000001E-4"/>
    <n v="1.13E-4"/>
    <n v="3114454"/>
    <n v="4561061"/>
    <n v="5664988"/>
    <n v="7434144"/>
    <n v="11313396"/>
    <n v="9724794"/>
    <n v="9174588"/>
    <n v="17555128"/>
    <n v="18092388"/>
    <n v="12248000"/>
    <n v="10474800"/>
    <n v="-1446607"/>
    <n v="-1103927"/>
    <n v="-1769156"/>
    <n v="-3879252"/>
    <n v="1588602"/>
    <n v="550206"/>
    <n v="-8380540"/>
    <n v="-537260"/>
    <n v="5844388"/>
    <n v="1773200"/>
    <n v="118000"/>
    <n v="14862092467.950001"/>
    <n v="25933576402.5"/>
    <n v="34273177404.950001"/>
    <n v="36891939642.25"/>
    <n v="39696517695"/>
    <n v="30754660996.799999"/>
    <n v="35106310489.199997"/>
    <n v="60126313504"/>
    <n v="72369551997.300003"/>
    <n v="35136449976.389999"/>
    <n v="24231764159.549999"/>
    <d v="2025-08-31T00:00:00"/>
    <d v="2024-12-31T00:00:00"/>
    <d v="2023-12-31T00:00:00"/>
    <d v="2022-12-31T00:00:00"/>
    <d v="2021-12-31T00:00:00"/>
    <d v="2020-12-31T00:00:00"/>
    <d v="2019-12-31T00:00:00"/>
    <d v="2018-10-31T00:00:00"/>
    <d v="2017-12-31T00:00:00"/>
    <d v="2016-10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516415196661250"/>
    <s v="Core Growth"/>
    <s v="Low"/>
    <s v="Low"/>
    <s v="Low"/>
    <s v="Low"/>
    <s v="Low"/>
    <s v="High"/>
    <s v="Low"/>
    <s v="Low"/>
    <s v="Low"/>
    <s v="Low"/>
    <s v="Low"/>
    <s v="Chuo-ku (Tokyo)"/>
    <s v="Japan"/>
  </r>
  <r>
    <n v="210"/>
    <s v="BI Asset Management Fondsmæglerselskab A/S"/>
    <n v="3.1999999999999999E-5"/>
    <n v="0"/>
    <n v="9.7E-5"/>
    <n v="3.2699999999999998E-4"/>
    <n v="2.2599999999999999E-4"/>
    <m/>
    <m/>
    <m/>
    <m/>
    <m/>
    <m/>
    <n v="2944900"/>
    <n v="0"/>
    <n v="8984100"/>
    <n v="30244600"/>
    <n v="20882800"/>
    <m/>
    <m/>
    <m/>
    <m/>
    <m/>
    <m/>
    <n v="2944900"/>
    <n v="-8984100"/>
    <n v="-21260500"/>
    <n v="9361800"/>
    <n v="20882800"/>
    <m/>
    <m/>
    <m/>
    <m/>
    <m/>
    <m/>
    <n v="12953672291"/>
    <n v="0"/>
    <n v="54353804993.199997"/>
    <n v="150088827689.35001"/>
    <n v="73273704772.5"/>
    <m/>
    <m/>
    <m/>
    <m/>
    <m/>
    <m/>
    <d v="2025-09-30T00:00:00"/>
    <d v="2024-09-30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/Hedge Fund"/>
    <n v="324817685097266"/>
    <s v="Core Value"/>
    <s v="Moderate"/>
    <s v="Moderate"/>
    <s v="Moderate"/>
    <s v="Moderate"/>
    <s v="Moderate"/>
    <m/>
    <m/>
    <m/>
    <m/>
    <m/>
    <m/>
    <s v="Copenhagen"/>
    <s v="Denmark"/>
  </r>
  <r>
    <n v="211"/>
    <s v="Scottish Equity Partners LLP"/>
    <n v="3.1999999999999999E-5"/>
    <n v="1.2999999999999999E-5"/>
    <n v="7.9999999999999996E-6"/>
    <m/>
    <m/>
    <m/>
    <m/>
    <m/>
    <m/>
    <m/>
    <m/>
    <n v="2940100"/>
    <n v="1189300"/>
    <n v="727700"/>
    <m/>
    <m/>
    <m/>
    <m/>
    <m/>
    <m/>
    <m/>
    <m/>
    <n v="1750800"/>
    <n v="461600"/>
    <n v="727700"/>
    <m/>
    <m/>
    <m/>
    <m/>
    <m/>
    <m/>
    <m/>
    <m/>
    <n v="12932558739.799999"/>
    <n v="6762199006"/>
    <n v="4402584971.0500002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Venture Capital"/>
    <n v="10180934929854"/>
    <s v="VC/Private Equity"/>
    <s v="Low"/>
    <s v="Low"/>
    <s v="Moderate"/>
    <m/>
    <m/>
    <m/>
    <m/>
    <m/>
    <m/>
    <m/>
    <m/>
    <s v="Glasgow"/>
    <s v="United Kingdom"/>
  </r>
  <r>
    <n v="212"/>
    <s v="Capital Investment Trust Corporation"/>
    <n v="3.1000000000000001E-5"/>
    <n v="3.1999999999999999E-5"/>
    <n v="6.0999999999999999E-5"/>
    <n v="8.3999999999999995E-5"/>
    <m/>
    <m/>
    <m/>
    <m/>
    <n v="0"/>
    <n v="0"/>
    <n v="3.3000000000000003E-5"/>
    <n v="2850000"/>
    <n v="3000000"/>
    <n v="5602662"/>
    <n v="7790766"/>
    <m/>
    <m/>
    <m/>
    <m/>
    <n v="0"/>
    <n v="0"/>
    <n v="3008936"/>
    <n v="-150000"/>
    <n v="-2602662"/>
    <n v="-2188104"/>
    <n v="7790766"/>
    <m/>
    <m/>
    <m/>
    <m/>
    <n v="0"/>
    <n v="-3008936"/>
    <n v="3008936"/>
    <n v="12536237665"/>
    <n v="17057594515.1"/>
    <n v="33896105052.799999"/>
    <n v="38661676251"/>
    <m/>
    <m/>
    <m/>
    <m/>
    <n v="0"/>
    <n v="0"/>
    <n v="6960689294.5500002"/>
    <d v="2025-09-30T00:00:00"/>
    <d v="2024-12-31T00:00:00"/>
    <d v="2023-12-31T00:00:00"/>
    <d v="2022-12-31T00:00:00"/>
    <m/>
    <m/>
    <m/>
    <m/>
    <d v="2016-06-30T00:00:00"/>
    <d v="2016-06-30T00:00:00"/>
    <d v="2015-12-31T00:00:00"/>
    <s v="Aggregate MFs"/>
    <s v="Aggregate MFs"/>
    <s v="Aggregate MFs"/>
    <s v="Aggregate MFs"/>
    <m/>
    <m/>
    <m/>
    <m/>
    <s v="Aggregate MFs"/>
    <s v="Aggregate MFs"/>
    <s v="Aggregate MFs"/>
    <s v="Investment Managers"/>
    <s v="Investment Advisor"/>
    <n v="309952667841635"/>
    <s v="Aggressive Growth"/>
    <s v="Moderate"/>
    <s v="High"/>
    <s v="High"/>
    <s v="High"/>
    <m/>
    <m/>
    <m/>
    <m/>
    <s v="High"/>
    <s v="High"/>
    <s v="High"/>
    <s v="Taipei"/>
    <s v="Taiwan"/>
  </r>
  <r>
    <n v="213"/>
    <s v="Lannebo Kapitalförvaltning AB"/>
    <n v="3.0000000000000001E-5"/>
    <n v="3.0000000000000001E-5"/>
    <n v="3.8000000000000002E-5"/>
    <n v="5.3000000000000001E-5"/>
    <n v="7.8999999999999996E-5"/>
    <n v="6.7999999999999999E-5"/>
    <n v="6.7999999999999999E-5"/>
    <m/>
    <m/>
    <m/>
    <m/>
    <n v="2760000"/>
    <n v="2760000"/>
    <n v="3480000"/>
    <n v="4901400"/>
    <n v="7258000"/>
    <n v="6258000"/>
    <n v="6258000"/>
    <m/>
    <m/>
    <m/>
    <m/>
    <n v="0"/>
    <n v="-720000"/>
    <n v="-1421400"/>
    <n v="-2356600"/>
    <n v="1000000"/>
    <n v="0"/>
    <n v="6258000"/>
    <m/>
    <m/>
    <m/>
    <m/>
    <n v="12496980118"/>
    <n v="15692986973.200001"/>
    <n v="21054000017.599998"/>
    <n v="24323197472.75"/>
    <n v="25466917710"/>
    <n v="19790924961.599998"/>
    <n v="23946066230.799999"/>
    <m/>
    <m/>
    <m/>
    <m/>
    <d v="2025-07-31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255276843916217"/>
    <s v="Growth"/>
    <s v="Low"/>
    <s v="Low"/>
    <s v="Low"/>
    <s v="Low"/>
    <s v="Low"/>
    <s v="Low"/>
    <s v="Low"/>
    <m/>
    <m/>
    <m/>
    <m/>
    <s v="Stockholm"/>
    <s v="Sweden"/>
  </r>
  <r>
    <n v="214"/>
    <s v="Fisher Investments"/>
    <n v="2.6999999999999999E-5"/>
    <n v="2.6999999999999999E-5"/>
    <n v="4.7399999999999997E-4"/>
    <n v="4.6099999999999998E-4"/>
    <n v="8.4199999999999998E-4"/>
    <n v="7.9100000000000004E-4"/>
    <n v="9.4399999999999996E-4"/>
    <n v="7.8399999999999997E-4"/>
    <n v="1.2329999999999999E-3"/>
    <n v="1.567E-3"/>
    <n v="2.2699999999999999E-4"/>
    <n v="2532632"/>
    <n v="2532632"/>
    <n v="43754500"/>
    <n v="42587000"/>
    <n v="77829000"/>
    <n v="73062200"/>
    <n v="87252000"/>
    <n v="72482200"/>
    <n v="113923200"/>
    <n v="144783200"/>
    <n v="21001600"/>
    <n v="0"/>
    <n v="-41221868"/>
    <n v="1167500"/>
    <n v="-35242000"/>
    <n v="4766800"/>
    <n v="-14189800"/>
    <n v="14769800"/>
    <n v="-41441000"/>
    <n v="-30860000"/>
    <n v="123781600"/>
    <n v="1655200"/>
    <n v="15551142710.4"/>
    <n v="15551142710.4"/>
    <n v="264714724833.04999"/>
    <n v="211337987715.25"/>
    <n v="273086902672.5"/>
    <n v="231059207199.60001"/>
    <n v="333867396360"/>
    <n v="263972715081.25"/>
    <n v="455692800063.29999"/>
    <n v="418966385195.70001"/>
    <n v="48583822018.800003"/>
    <d v="2024-11-30T00:00:00"/>
    <d v="2024-11-30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4301039354354340"/>
    <s v="Core Value"/>
    <s v="Low"/>
    <s v="Low"/>
    <s v="Low"/>
    <s v="Low"/>
    <s v="Low"/>
    <s v="Low"/>
    <s v="Low"/>
    <s v="Low"/>
    <s v="Low"/>
    <s v="Low"/>
    <s v="Low"/>
    <s v="Plano"/>
    <s v="United States"/>
  </r>
  <r>
    <n v="215"/>
    <s v="Premia Partners Company Limited"/>
    <n v="2.6999999999999999E-5"/>
    <n v="5.8999999999999998E-5"/>
    <n v="6.9999999999999999E-6"/>
    <n v="5.1999999999999997E-5"/>
    <n v="4.3999999999999999E-5"/>
    <n v="4.0000000000000003E-5"/>
    <n v="4.3000000000000002E-5"/>
    <n v="3.6999999999999998E-5"/>
    <m/>
    <m/>
    <m/>
    <n v="2505042"/>
    <n v="5469565"/>
    <n v="616906"/>
    <n v="4797188"/>
    <n v="4022448"/>
    <n v="3690800"/>
    <n v="3959400"/>
    <n v="3448800"/>
    <m/>
    <m/>
    <m/>
    <n v="-2964523"/>
    <n v="4852659"/>
    <n v="-4180282"/>
    <n v="774740"/>
    <n v="331648"/>
    <n v="-268600"/>
    <n v="510600"/>
    <n v="3448800"/>
    <m/>
    <m/>
    <m/>
    <n v="11018877851.799999"/>
    <n v="38970650644.5"/>
    <n v="3732281282.8000002"/>
    <n v="23806045522.599998"/>
    <n v="14113991730"/>
    <n v="11672154982.799999"/>
    <n v="15150536058.4"/>
    <n v="12560174793.75"/>
    <m/>
    <m/>
    <m/>
    <d v="2025-09-30T00:00:00"/>
    <d v="2024-08-31T00:00:00"/>
    <d v="2023-12-31T00:00:00"/>
    <d v="2022-12-31T00:00:00"/>
    <d v="2021-12-31T00:00:00"/>
    <d v="2020-12-31T00:00:00"/>
    <d v="2019-12-31T00:00:00"/>
    <d v="2018-12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3714716690167.2002"/>
    <m/>
    <s v="Low"/>
    <s v="High"/>
    <s v="High"/>
    <s v="Moderate"/>
    <s v="Moderate"/>
    <s v="Moderate"/>
    <s v="Moderate"/>
    <s v="Moderate"/>
    <m/>
    <m/>
    <m/>
    <s v="Central (Hong Kong)"/>
    <s v="Hong Kong"/>
  </r>
  <r>
    <n v="216"/>
    <s v="CI Global Asset Management"/>
    <n v="2.6999999999999999E-5"/>
    <n v="2.3270000000000001E-3"/>
    <n v="9.0700000000000004E-4"/>
    <n v="1.413E-3"/>
    <n v="1.178E-3"/>
    <n v="6.5700000000000003E-4"/>
    <n v="1.129E-3"/>
    <m/>
    <n v="0"/>
    <n v="0"/>
    <n v="2.209E-3"/>
    <n v="2485523"/>
    <n v="215040724"/>
    <n v="83820366"/>
    <n v="130574636"/>
    <n v="108844304"/>
    <n v="60719624"/>
    <n v="104347620"/>
    <m/>
    <n v="0"/>
    <n v="0"/>
    <n v="204076056"/>
    <n v="-212555201"/>
    <n v="131220358"/>
    <n v="-46754270"/>
    <n v="21730332"/>
    <n v="48124680"/>
    <n v="-43627996"/>
    <n v="104347620"/>
    <m/>
    <n v="0"/>
    <n v="-204076056"/>
    <n v="42912000"/>
    <n v="10933020042"/>
    <n v="1222692492511.5"/>
    <n v="507113213906.40002"/>
    <n v="647976631691.94995"/>
    <n v="381913603620"/>
    <n v="192025810641.60001"/>
    <n v="399283319746.40002"/>
    <m/>
    <n v="0"/>
    <n v="0"/>
    <n v="472097115625.65002"/>
    <d v="2025-09-30T00:00:00"/>
    <d v="2024-12-31T00:00:00"/>
    <d v="2023-12-31T00:00:00"/>
    <d v="2022-12-31T00:00:00"/>
    <d v="2021-12-31T00:00:00"/>
    <d v="2020-12-31T00:00:00"/>
    <d v="2019-12-31T00:00:00"/>
    <m/>
    <d v="2016-09-30T00:00:00"/>
    <d v="2016-09-30T00:00:00"/>
    <d v="2015-12-31T00:00:00"/>
    <s v="Aggregate MFs"/>
    <s v="Aggregate MFs"/>
    <s v="Aggregate MFs"/>
    <s v="Aggregate MFs"/>
    <s v="Aggregate MFs"/>
    <s v="Aggregate MFs"/>
    <s v="Aggregate MFs"/>
    <m/>
    <s v="Aggregate MFs"/>
    <s v="Aggregate MFs"/>
    <s v="Aggregate MFs"/>
    <s v="Investment Managers"/>
    <s v="Investment Advisor/Hedge Fund"/>
    <n v="894658117282330"/>
    <s v="Core Value"/>
    <s v="Low"/>
    <s v="Low"/>
    <s v="Moderate"/>
    <s v="Moderate"/>
    <s v="Moderate"/>
    <s v="Moderate"/>
    <s v="Moderate"/>
    <m/>
    <s v="Moderate"/>
    <s v="High"/>
    <s v="Moderate"/>
    <s v="Toronto"/>
    <s v="Canada"/>
  </r>
  <r>
    <n v="217"/>
    <s v="Ox Capital Management Pty Ltd"/>
    <n v="2.5999999999999998E-5"/>
    <n v="2.5999999999999998E-5"/>
    <m/>
    <m/>
    <m/>
    <m/>
    <m/>
    <m/>
    <m/>
    <m/>
    <m/>
    <n v="2416405"/>
    <n v="2416405"/>
    <m/>
    <m/>
    <m/>
    <m/>
    <m/>
    <m/>
    <m/>
    <m/>
    <m/>
    <n v="0"/>
    <n v="2416405"/>
    <m/>
    <m/>
    <m/>
    <m/>
    <m/>
    <m/>
    <m/>
    <m/>
    <m/>
    <n v="11703382790.6"/>
    <n v="13739352206.1"/>
    <m/>
    <m/>
    <m/>
    <m/>
    <m/>
    <m/>
    <m/>
    <m/>
    <m/>
    <d v="2025-04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446568373623.59998"/>
    <m/>
    <s v="Low"/>
    <s v="High"/>
    <m/>
    <m/>
    <m/>
    <m/>
    <m/>
    <m/>
    <m/>
    <m/>
    <m/>
    <s v="Sydney"/>
    <s v="Australia"/>
  </r>
  <r>
    <n v="218"/>
    <s v="AllianceBernstein Japan Ltd."/>
    <n v="2.5999999999999998E-5"/>
    <n v="3.8000000000000002E-5"/>
    <n v="2.0999999999999999E-5"/>
    <n v="1.0399999999999999E-4"/>
    <n v="0"/>
    <n v="0"/>
    <n v="1.02E-4"/>
    <n v="3.0000000000000001E-6"/>
    <n v="9.1000000000000003E-5"/>
    <n v="6.7000000000000002E-5"/>
    <n v="5.1E-5"/>
    <n v="2390466"/>
    <n v="3539276"/>
    <n v="1901146"/>
    <n v="9625766"/>
    <n v="0"/>
    <n v="0"/>
    <n v="9444648"/>
    <n v="302628"/>
    <n v="8450740"/>
    <n v="6146596"/>
    <n v="4724020"/>
    <n v="-1148810"/>
    <n v="1638130"/>
    <n v="-7724620"/>
    <n v="9625766"/>
    <n v="0"/>
    <n v="-9444648"/>
    <n v="9142020"/>
    <n v="-8148112"/>
    <n v="2304144"/>
    <n v="1422576"/>
    <n v="0"/>
    <n v="11083069666.5"/>
    <n v="25217341525.5"/>
    <n v="11454404666.25"/>
    <n v="42594014492.400002"/>
    <n v="0"/>
    <n v="0"/>
    <n v="34236848959.400002"/>
    <n v="1044066553.75"/>
    <n v="27676173560.560001"/>
    <n v="17248885011.049999"/>
    <n v="10747145516.5"/>
    <d v="2025-02-28T00:00:00"/>
    <d v="2024-08-31T00:00:00"/>
    <d v="2023-08-31T00:00:00"/>
    <d v="2022-08-31T00:00:00"/>
    <d v="2020-08-31T00:00:00"/>
    <d v="2020-08-31T00:00:00"/>
    <d v="2019-08-31T00:00:00"/>
    <d v="2018-08-31T00:00:00"/>
    <d v="2017-08-31T00:00:00"/>
    <d v="2016-08-31T00:00:00"/>
    <d v="2015-08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1476183371876.398"/>
    <s v="GARP"/>
    <s v="Low"/>
    <s v="Low"/>
    <s v="Low"/>
    <s v="Low"/>
    <s v="Low"/>
    <s v="High"/>
    <s v="Low"/>
    <s v="Moderate"/>
    <s v="Low"/>
    <s v="Low"/>
    <s v="Low"/>
    <s v="Chiyoda-ku (Tokyo)"/>
    <s v="Japan"/>
  </r>
  <r>
    <n v="219"/>
    <s v="Maybank Asset Management Singapore Pte. Ltd."/>
    <n v="2.5999999999999998E-5"/>
    <n v="2.5999999999999998E-5"/>
    <n v="3.8999999999999999E-5"/>
    <n v="9.9999999999999995E-7"/>
    <n v="0"/>
    <n v="3.8999999999999999E-5"/>
    <m/>
    <m/>
    <m/>
    <m/>
    <m/>
    <n v="2389400"/>
    <n v="2389400"/>
    <n v="3608800"/>
    <n v="133000"/>
    <n v="0"/>
    <n v="3580000"/>
    <m/>
    <m/>
    <m/>
    <m/>
    <m/>
    <n v="0"/>
    <n v="-1219400"/>
    <n v="3475800"/>
    <n v="133000"/>
    <n v="-3580000"/>
    <n v="3580000"/>
    <m/>
    <m/>
    <m/>
    <m/>
    <m/>
    <n v="11402153903.700001"/>
    <n v="13585805497"/>
    <n v="21833239957.450001"/>
    <n v="660012500.95000005"/>
    <n v="0"/>
    <n v="11321749998"/>
    <m/>
    <m/>
    <m/>
    <m/>
    <m/>
    <d v="2025-08-31T00:00:00"/>
    <d v="2024-12-31T00:00:00"/>
    <d v="2023-12-31T00:00:00"/>
    <d v="2022-12-31T00:00:00"/>
    <d v="2021-06-30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7241269935573.5996"/>
    <m/>
    <s v="Low"/>
    <s v="High"/>
    <s v="High"/>
    <s v="Moderate"/>
    <s v="Moderate"/>
    <s v="High"/>
    <m/>
    <m/>
    <m/>
    <m/>
    <m/>
    <s v="Singapore"/>
    <s v="Singapore"/>
  </r>
  <r>
    <n v="220"/>
    <s v="Victory Capital Management Inc."/>
    <n v="2.5999999999999998E-5"/>
    <n v="5.0000000000000002E-5"/>
    <n v="5.3000000000000001E-5"/>
    <n v="1.02E-4"/>
    <n v="2.1999999999999999E-5"/>
    <n v="9.9999999999999995E-7"/>
    <n v="3.9999999999999998E-6"/>
    <n v="9.9999999999999995E-7"/>
    <n v="1.9999999999999999E-6"/>
    <n v="1.9999999999999999E-6"/>
    <m/>
    <n v="2387900"/>
    <n v="4615000"/>
    <n v="4876400"/>
    <n v="9398800"/>
    <n v="2038400"/>
    <n v="59444"/>
    <n v="374800"/>
    <n v="110600"/>
    <n v="227000"/>
    <n v="223200"/>
    <m/>
    <n v="-2227100"/>
    <n v="-261400"/>
    <n v="-4522400"/>
    <n v="7360400"/>
    <n v="1978956"/>
    <n v="-315356"/>
    <n v="264200"/>
    <n v="-116400"/>
    <n v="3800"/>
    <n v="223200"/>
    <m/>
    <n v="10503607709"/>
    <n v="26240266283.5"/>
    <n v="29502219950.200001"/>
    <n v="46641544964.849998"/>
    <n v="7152351165"/>
    <n v="187991668.80000001"/>
    <n v="1434161965.2"/>
    <n v="402793825"/>
    <n v="907999998.04999995"/>
    <n v="645885018.29999995"/>
    <m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/Hedge Fund"/>
    <n v="2860221659119860"/>
    <s v="Core Growth"/>
    <s v="Moderate"/>
    <s v="Low"/>
    <s v="Low"/>
    <s v="Low"/>
    <s v="Low"/>
    <s v="Low"/>
    <s v="Moderate"/>
    <s v="Moderate"/>
    <s v="Moderate"/>
    <s v="Moderate"/>
    <m/>
    <s v="Brooklyn"/>
    <s v="United States"/>
  </r>
  <r>
    <n v="221"/>
    <s v="BlackRock Financial Management, Inc."/>
    <n v="2.5000000000000001E-5"/>
    <n v="3.9999999999999998E-6"/>
    <n v="5.8999999999999998E-5"/>
    <n v="0"/>
    <n v="6.9999999999999999E-6"/>
    <n v="1.2179999999999999E-3"/>
    <n v="6.8900000000000005E-4"/>
    <n v="4.4000000000000002E-4"/>
    <n v="5.5999999999999999E-5"/>
    <n v="6.0000000000000002E-6"/>
    <n v="1.54E-4"/>
    <n v="2299642"/>
    <n v="367100"/>
    <n v="5485100"/>
    <n v="0"/>
    <n v="662200"/>
    <n v="112566200"/>
    <n v="63700600"/>
    <n v="40673600"/>
    <n v="5138600"/>
    <n v="568400"/>
    <n v="14256000"/>
    <n v="1932542"/>
    <n v="-5118000"/>
    <n v="5485100"/>
    <n v="-662200"/>
    <n v="-111904000"/>
    <n v="48865600"/>
    <n v="23027000"/>
    <n v="35535000"/>
    <n v="4570200"/>
    <n v="-13687600"/>
    <n v="-14066000"/>
    <n v="10412529225"/>
    <n v="2087281042.4000001"/>
    <n v="33184854975.150002"/>
    <n v="0"/>
    <n v="2019710025"/>
    <n v="355990607154"/>
    <n v="243748607099.20001"/>
    <n v="148129066456.25"/>
    <n v="20554400026.849998"/>
    <n v="1644807556.5"/>
    <n v="32978961884.099998"/>
    <d v="2025-07-31T00:00:00"/>
    <d v="2024-12-31T00:00:00"/>
    <d v="2023-12-31T00:00:00"/>
    <d v="2022-04-30T00:00:00"/>
    <d v="2021-08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5321196088878550"/>
    <s v="Core Growth"/>
    <s v="Low"/>
    <s v="Low"/>
    <s v="Low"/>
    <s v="Low"/>
    <s v="Low"/>
    <s v="Low"/>
    <s v="Low"/>
    <s v="Low"/>
    <s v="Low"/>
    <s v="Low"/>
    <s v="Low"/>
    <s v="New York"/>
    <s v="United States"/>
  </r>
  <r>
    <n v="222"/>
    <s v="Polen Capital Management, LLC"/>
    <n v="2.4000000000000001E-5"/>
    <n v="1.55E-4"/>
    <m/>
    <m/>
    <m/>
    <m/>
    <m/>
    <m/>
    <m/>
    <m/>
    <m/>
    <n v="2177447"/>
    <n v="14276573"/>
    <m/>
    <m/>
    <m/>
    <m/>
    <m/>
    <m/>
    <m/>
    <m/>
    <m/>
    <n v="-12099126"/>
    <n v="14276573"/>
    <m/>
    <m/>
    <m/>
    <m/>
    <m/>
    <m/>
    <m/>
    <m/>
    <m/>
    <n v="9859243509.5"/>
    <n v="81174664477.100006"/>
    <m/>
    <m/>
    <m/>
    <m/>
    <m/>
    <m/>
    <m/>
    <m/>
    <m/>
    <d v="2025-07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576676223747737"/>
    <s v="GARP"/>
    <s v="Low"/>
    <s v="Low"/>
    <m/>
    <m/>
    <m/>
    <m/>
    <m/>
    <m/>
    <m/>
    <m/>
    <m/>
    <s v="Boca Raton"/>
    <s v="United States"/>
  </r>
  <r>
    <n v="223"/>
    <s v="Sumitomo Mitsui Trust Asset Management Co., Ltd."/>
    <n v="2.3E-5"/>
    <n v="2.3E-5"/>
    <n v="1.2999999999999999E-5"/>
    <n v="1.4E-5"/>
    <n v="5.8999999999999998E-5"/>
    <n v="7.2000000000000002E-5"/>
    <n v="6.7000000000000002E-5"/>
    <n v="7.7999999999999999E-5"/>
    <n v="4.6999999999999997E-5"/>
    <n v="3.8999999999999999E-5"/>
    <n v="9.2E-5"/>
    <n v="2136978"/>
    <n v="2136978"/>
    <n v="1155827"/>
    <n v="1263988"/>
    <n v="5436566"/>
    <n v="6622658"/>
    <n v="6230460"/>
    <n v="7209908"/>
    <n v="4359470"/>
    <n v="3600000"/>
    <n v="8468800"/>
    <n v="0"/>
    <n v="981151"/>
    <n v="-108161"/>
    <n v="-4172578"/>
    <n v="-1186092"/>
    <n v="392198"/>
    <n v="-979448"/>
    <n v="2850438"/>
    <n v="759470"/>
    <n v="-4868800"/>
    <n v="0"/>
    <n v="12150568003.9"/>
    <n v="12150568003.9"/>
    <n v="6761588009.0500002"/>
    <n v="6651736920.3999996"/>
    <n v="19027980958.400002"/>
    <n v="20944155881.5"/>
    <n v="23840685106.799999"/>
    <n v="26257743143.75"/>
    <n v="17437879937.099998"/>
    <n v="10417499991"/>
    <n v="21277860004.799999"/>
    <d v="2024-12-31T00:00:00"/>
    <d v="2024-12-31T00:00:00"/>
    <d v="2023-11-30T00:00:00"/>
    <d v="2022-11-30T00:00:00"/>
    <d v="2021-11-30T00:00:00"/>
    <d v="2020-11-30T00:00:00"/>
    <d v="2019-12-31T00:00:00"/>
    <d v="2018-12-31T00:00:00"/>
    <d v="2017-12-31T00:00:00"/>
    <d v="2016-12-26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473509551448300"/>
    <s v="Core Growth"/>
    <s v="Moderate"/>
    <s v="Low"/>
    <s v="Low"/>
    <s v="Moderate"/>
    <s v="Low"/>
    <s v="Moderate"/>
    <s v="Low"/>
    <s v="High"/>
    <s v="Low"/>
    <s v="Low"/>
    <s v="Low"/>
    <s v="Minato-ku (Tokyo)"/>
    <s v="Japan"/>
  </r>
  <r>
    <n v="224"/>
    <s v="Columbia Threadneedle Investments (US)"/>
    <n v="2.3E-5"/>
    <n v="1.6100000000000001E-4"/>
    <n v="1.36E-4"/>
    <n v="3.8999999999999999E-5"/>
    <n v="1.5E-5"/>
    <n v="7.9999999999999996E-6"/>
    <n v="5.0000000000000004E-6"/>
    <n v="1.7E-5"/>
    <n v="3.3000000000000003E-5"/>
    <n v="4.8000000000000001E-5"/>
    <n v="9.7E-5"/>
    <n v="2116310"/>
    <n v="14901956"/>
    <n v="12530427"/>
    <n v="3599486"/>
    <n v="1361992"/>
    <n v="700236"/>
    <n v="466820"/>
    <n v="1578484"/>
    <n v="3070146"/>
    <n v="4434648"/>
    <n v="8920152"/>
    <n v="-12785646"/>
    <n v="2371529"/>
    <n v="8930941"/>
    <n v="2237494"/>
    <n v="661756"/>
    <n v="233416"/>
    <n v="-1111664"/>
    <n v="-1491662"/>
    <n v="-1364502"/>
    <n v="-4485504"/>
    <n v="-2566012"/>
    <n v="9308970255.2000008"/>
    <n v="84730507655.199997"/>
    <n v="75809083229.350006"/>
    <n v="17862449255.75"/>
    <n v="4778966355"/>
    <n v="2214496346.4000001"/>
    <n v="1786273969.2"/>
    <n v="5748676350"/>
    <n v="12280584003.049999"/>
    <n v="12832762721.700001"/>
    <n v="20635336234.049999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6602020332172260"/>
    <s v="Core Value"/>
    <s v="Low"/>
    <s v="Low"/>
    <s v="Low"/>
    <s v="Low"/>
    <s v="Low"/>
    <s v="Low"/>
    <s v="Low"/>
    <s v="Low"/>
    <s v="Low"/>
    <s v="Low"/>
    <s v="Low"/>
    <s v="Boston"/>
    <s v="United States"/>
  </r>
  <r>
    <n v="225"/>
    <s v="OFI Invest Asset Management"/>
    <n v="2.1999999999999999E-5"/>
    <n v="1.2999999999999999E-5"/>
    <n v="5.0000000000000004E-6"/>
    <n v="3.9999999999999998E-6"/>
    <n v="3.9999999999999998E-6"/>
    <n v="3.9999999999999998E-6"/>
    <n v="3.0000000000000001E-6"/>
    <n v="3.9999999999999998E-6"/>
    <n v="3.9999999999999998E-6"/>
    <n v="3.9999999999999998E-6"/>
    <n v="3.0000000000000001E-6"/>
    <n v="2003200"/>
    <n v="1214400"/>
    <n v="442300"/>
    <n v="376000"/>
    <n v="376000"/>
    <n v="376000"/>
    <n v="290000"/>
    <n v="330000"/>
    <n v="342000"/>
    <n v="342000"/>
    <n v="310000"/>
    <n v="788800"/>
    <n v="772100"/>
    <n v="66300"/>
    <n v="0"/>
    <n v="0"/>
    <n v="86000"/>
    <n v="-40000"/>
    <n v="-12000"/>
    <n v="0"/>
    <n v="32000"/>
    <n v="0"/>
    <n v="9559217614.7999992"/>
    <n v="6904914248.8999996"/>
    <n v="2664857480.25"/>
    <n v="1156200061.5"/>
    <n v="1156200061.5"/>
    <n v="1189099969.2"/>
    <n v="1109677129.5999999"/>
    <n v="1201826043.75"/>
    <n v="1368000000.05"/>
    <n v="989662452"/>
    <n v="717135125.10000002"/>
    <d v="2025-08-31T00:00:00"/>
    <d v="2024-12-31T00:00:00"/>
    <d v="2023-08-31T00:00:00"/>
    <d v="2021-09-30T00:00:00"/>
    <d v="2021-09-30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27224728576281"/>
    <s v="Core Growth"/>
    <s v="Low"/>
    <s v="Moderate"/>
    <s v="Moderate"/>
    <s v="Low"/>
    <s v="Moderate"/>
    <s v="High"/>
    <s v="Moderate"/>
    <s v="Moderate"/>
    <s v="Moderate"/>
    <s v="Moderate"/>
    <s v="Moderate"/>
    <s v="Paris"/>
    <s v="France"/>
  </r>
  <r>
    <n v="226"/>
    <s v="BNP Paribas Asset Management Belgium S.A."/>
    <n v="2.0999999999999999E-5"/>
    <n v="4.3999999999999999E-5"/>
    <n v="5.5999999999999999E-5"/>
    <n v="2.9E-4"/>
    <n v="4.5199999999999998E-4"/>
    <m/>
    <m/>
    <m/>
    <m/>
    <n v="0"/>
    <n v="0"/>
    <n v="1982900"/>
    <n v="4040100"/>
    <n v="5134500"/>
    <n v="26770600"/>
    <n v="41800200"/>
    <m/>
    <m/>
    <m/>
    <m/>
    <n v="1272"/>
    <n v="1272"/>
    <n v="-2057200"/>
    <n v="-1094400"/>
    <n v="-21636100"/>
    <n v="-15029600"/>
    <n v="41800200"/>
    <m/>
    <m/>
    <m/>
    <m/>
    <n v="0"/>
    <n v="0"/>
    <n v="9462346644.4500008"/>
    <n v="28785712459.5"/>
    <n v="31063724947.400002"/>
    <n v="132849102642.3"/>
    <n v="146668814272.5"/>
    <m/>
    <m/>
    <m/>
    <m/>
    <n v="2702935.2"/>
    <n v="2702935.2"/>
    <d v="2025-08-31T00:00:00"/>
    <d v="2024-08-31T00:00:00"/>
    <d v="2023-12-31T00:00:00"/>
    <d v="2022-12-31T00:00:00"/>
    <d v="2021-12-31T00:00:00"/>
    <m/>
    <m/>
    <m/>
    <m/>
    <d v="2015-11-30T00:00:00"/>
    <d v="2015-11-30T00:00:00"/>
    <s v="Aggregate MFs"/>
    <s v="Aggregate MFs"/>
    <s v="Aggregate MFs"/>
    <s v="Aggregate MFs"/>
    <s v="Aggregate MFs"/>
    <m/>
    <m/>
    <m/>
    <m/>
    <s v="Aggregate MFs"/>
    <s v="Aggregate MFs"/>
    <s v="Investment Managers"/>
    <s v="Investment Advisor"/>
    <n v="131172847260793"/>
    <s v="Core Value"/>
    <s v="Low"/>
    <s v="Low"/>
    <s v="Moderate"/>
    <s v="Moderate"/>
    <s v="Moderate"/>
    <m/>
    <m/>
    <m/>
    <m/>
    <s v="Moderate"/>
    <s v="Moderate"/>
    <s v="Brussels"/>
    <s v="Belgium"/>
  </r>
  <r>
    <n v="227"/>
    <s v="UOB Asset Management Ltd."/>
    <n v="2.0999999999999999E-5"/>
    <n v="2.0999999999999999E-5"/>
    <n v="2.9E-5"/>
    <n v="5.3999999999999998E-5"/>
    <n v="4.3000000000000002E-5"/>
    <n v="6.7999999999999999E-5"/>
    <n v="3.0000000000000001E-6"/>
    <n v="8.2000000000000001E-5"/>
    <n v="1.0900000000000001E-4"/>
    <n v="1.16E-4"/>
    <n v="7.6000000000000004E-5"/>
    <n v="1981000"/>
    <n v="1981000"/>
    <n v="2711900"/>
    <n v="5000000"/>
    <n v="4000000"/>
    <n v="6253800"/>
    <n v="300000"/>
    <n v="7554600"/>
    <n v="10092000"/>
    <n v="10704000"/>
    <n v="7020000"/>
    <n v="0"/>
    <n v="-730900"/>
    <n v="-2288100"/>
    <n v="1000000"/>
    <n v="-2253800"/>
    <n v="5953800"/>
    <n v="-7254600"/>
    <n v="-2537400"/>
    <n v="-612000"/>
    <n v="3684000"/>
    <n v="1299600"/>
    <n v="11263698306"/>
    <n v="11263698306"/>
    <n v="16406994943.5"/>
    <n v="24812500057.950001"/>
    <n v="14035226137.5"/>
    <n v="19777642419.599998"/>
    <n v="1147941791.2"/>
    <n v="27513075956.25"/>
    <n v="40367999939.599998"/>
    <n v="30974700081"/>
    <n v="16239640361.4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3500356268860.4"/>
    <s v="Core Value"/>
    <s v="Low"/>
    <s v="Moderate"/>
    <s v="Moderate"/>
    <s v="Low"/>
    <s v="Moderate"/>
    <s v="Moderate"/>
    <s v="Low"/>
    <s v="Low"/>
    <s v="Low"/>
    <s v="Low"/>
    <s v="Moderate"/>
    <s v="Singapore"/>
    <s v="Singapore"/>
  </r>
  <r>
    <n v="228"/>
    <s v="Fullerton Fund Management Company Ltd."/>
    <n v="2.0999999999999999E-5"/>
    <n v="2.0999999999999999E-5"/>
    <n v="6.2000000000000003E-5"/>
    <n v="2.5999999999999998E-5"/>
    <n v="2.1999999999999999E-5"/>
    <n v="3.4E-5"/>
    <n v="5.8999999999999998E-5"/>
    <n v="1.8699999999999999E-4"/>
    <n v="4.9299999999999995E-4"/>
    <n v="9.3499999999999996E-4"/>
    <n v="3.8400000000000001E-4"/>
    <n v="1977500"/>
    <n v="1974400"/>
    <n v="5696100"/>
    <n v="2420400"/>
    <n v="2066400"/>
    <n v="3172000"/>
    <n v="5439400"/>
    <n v="17314200"/>
    <n v="45556200"/>
    <n v="86374000"/>
    <n v="35488800"/>
    <n v="3100"/>
    <n v="-3721700"/>
    <n v="3275700"/>
    <n v="354000"/>
    <n v="-1105600"/>
    <n v="-2267400"/>
    <n v="-11874800"/>
    <n v="-28242000"/>
    <n v="-40817800"/>
    <n v="50885200"/>
    <n v="0"/>
    <n v="10270592208.799999"/>
    <n v="13672720018.35"/>
    <n v="34175223252"/>
    <n v="12767609969.299999"/>
    <n v="6354180059.3999996"/>
    <n v="7866559937.6000004"/>
    <n v="18969907459.799999"/>
    <n v="58218997523"/>
    <n v="153182722701.89999"/>
    <n v="241847199987.66"/>
    <n v="70312185068.199997"/>
    <d v="2025-03-31T00:00:00"/>
    <d v="2024-09-30T00:00:00"/>
    <d v="2023-09-30T00:00:00"/>
    <d v="2022-10-31T00:00:00"/>
    <d v="2021-09-30T00:00:00"/>
    <d v="2020-09-30T00:00:00"/>
    <d v="2019-09-30T00:00:00"/>
    <d v="2018-09-30T00:00:00"/>
    <d v="2017-09-30T00:00:00"/>
    <d v="2016-09-30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1921308519856.797"/>
    <s v="Core Value"/>
    <s v="High"/>
    <s v="High"/>
    <s v="High"/>
    <s v="High"/>
    <s v="High"/>
    <s v="High"/>
    <s v="Moderate"/>
    <s v="Low"/>
    <s v="Moderate"/>
    <s v="Moderate"/>
    <s v="Moderate"/>
    <s v="Singapore"/>
    <s v="Singapore"/>
  </r>
  <r>
    <n v="229"/>
    <s v="Anima SGR S.p.A."/>
    <n v="2.0999999999999999E-5"/>
    <n v="3.1000000000000001E-5"/>
    <n v="4.8000000000000001E-5"/>
    <n v="4.0000000000000003E-5"/>
    <n v="0"/>
    <n v="0"/>
    <n v="0"/>
    <n v="0"/>
    <n v="2.6999999999999999E-5"/>
    <n v="2.6999999999999999E-5"/>
    <m/>
    <n v="1908452"/>
    <n v="2823352"/>
    <n v="4458600"/>
    <n v="3664800"/>
    <n v="0"/>
    <n v="0"/>
    <n v="0"/>
    <n v="0"/>
    <n v="2489788"/>
    <n v="2489788"/>
    <m/>
    <n v="-914900"/>
    <n v="-1635248"/>
    <n v="793800"/>
    <n v="3664800"/>
    <n v="0"/>
    <n v="0"/>
    <n v="0"/>
    <n v="-2489788"/>
    <n v="0"/>
    <n v="2489788"/>
    <m/>
    <n v="9911975812.2000008"/>
    <n v="16053197825.700001"/>
    <n v="26974529987.299999"/>
    <n v="18186569990.599998"/>
    <n v="0"/>
    <n v="0"/>
    <n v="0"/>
    <n v="0"/>
    <n v="9959151971.2999992"/>
    <n v="7204824036.3000002"/>
    <m/>
    <d v="2025-03-31T00:00:00"/>
    <d v="2024-12-31T00:00:00"/>
    <d v="2023-12-31T00:00:00"/>
    <d v="2022-12-31T00:00:00"/>
    <d v="2020-09-30T00:00:00"/>
    <d v="2020-09-30T00:00:00"/>
    <d v="2018-11-30T00:00:00"/>
    <d v="2018-11-30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460709163650917"/>
    <s v="Core Growth"/>
    <s v="Low"/>
    <s v="Moderate"/>
    <s v="Moderate"/>
    <s v="Moderate"/>
    <s v="Moderate"/>
    <s v="Moderate"/>
    <s v="Moderate"/>
    <s v="High"/>
    <s v="High"/>
    <s v="High"/>
    <m/>
    <s v="Milan"/>
    <s v="Italy"/>
  </r>
  <r>
    <n v="230"/>
    <s v="SEI Investments Management Corporation"/>
    <n v="2.0000000000000002E-5"/>
    <n v="1.18E-4"/>
    <n v="4.8999999999999998E-5"/>
    <n v="5.5999999999999999E-5"/>
    <n v="2.8E-5"/>
    <n v="4.3000000000000002E-5"/>
    <n v="1.9000000000000001E-5"/>
    <n v="1.9000000000000001E-5"/>
    <m/>
    <m/>
    <m/>
    <n v="1893200"/>
    <n v="10863574"/>
    <n v="4503297"/>
    <n v="5129410"/>
    <n v="2615042"/>
    <n v="4018200"/>
    <n v="1738000"/>
    <n v="1738000"/>
    <m/>
    <m/>
    <m/>
    <n v="-8970374"/>
    <n v="6360277"/>
    <n v="-626113"/>
    <n v="2514368"/>
    <n v="-1403158"/>
    <n v="2280200"/>
    <n v="0"/>
    <n v="1738000"/>
    <m/>
    <m/>
    <m/>
    <n v="8327580801.3999996"/>
    <n v="61768813463.900002"/>
    <n v="27244946857.099998"/>
    <n v="25454697171.200001"/>
    <n v="9175676460"/>
    <n v="12707557527.6"/>
    <n v="5996099956.75"/>
    <n v="5996099956.75"/>
    <m/>
    <m/>
    <m/>
    <d v="2025-09-30T00:00:00"/>
    <d v="2024-12-31T00:00:00"/>
    <d v="2023-12-31T00:00:00"/>
    <d v="2022-12-31T00:00:00"/>
    <d v="2021-12-31T00:00:00"/>
    <d v="2020-12-31T00:00:00"/>
    <d v="2018-08-31T00:00:00"/>
    <d v="2018-08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/Hedge Fund"/>
    <n v="1632088946221180"/>
    <m/>
    <s v="Low"/>
    <s v="Low"/>
    <s v="Low"/>
    <s v="Low"/>
    <s v="Low"/>
    <s v="Low"/>
    <s v="Low"/>
    <s v="Moderate"/>
    <m/>
    <m/>
    <m/>
    <s v="Oaks"/>
    <s v="United States"/>
  </r>
  <r>
    <n v="231"/>
    <s v="TT International Asset Management Ltd"/>
    <n v="2.0000000000000002E-5"/>
    <n v="0"/>
    <n v="3.3100000000000002E-4"/>
    <n v="8.7000000000000001E-5"/>
    <m/>
    <m/>
    <m/>
    <m/>
    <m/>
    <m/>
    <n v="1.03E-4"/>
    <n v="1867900"/>
    <n v="0"/>
    <n v="30595800"/>
    <n v="8003400"/>
    <m/>
    <m/>
    <m/>
    <m/>
    <m/>
    <m/>
    <n v="9508000"/>
    <n v="1867900"/>
    <n v="-30595800"/>
    <n v="22592400"/>
    <n v="8003400"/>
    <m/>
    <m/>
    <m/>
    <m/>
    <m/>
    <m/>
    <n v="0"/>
    <n v="9908997135.7999992"/>
    <n v="0"/>
    <n v="185104589932.20001"/>
    <n v="39716872583.849998"/>
    <m/>
    <m/>
    <m/>
    <m/>
    <m/>
    <m/>
    <n v="26147000025.849998"/>
    <d v="2025-05-31T00:00:00"/>
    <d v="2024-03-31T00:00:00"/>
    <d v="2023-12-31T00:00:00"/>
    <d v="2022-12-31T00:00:00"/>
    <m/>
    <m/>
    <m/>
    <m/>
    <m/>
    <m/>
    <d v="2015-01-31T00:00:00"/>
    <s v="Aggregate MFs"/>
    <s v="Aggregate MFs"/>
    <s v="Aggregate MFs"/>
    <s v="Aggregate MFs"/>
    <m/>
    <m/>
    <m/>
    <m/>
    <m/>
    <m/>
    <s v="Aggregate MFs"/>
    <s v="Investment Managers"/>
    <s v="Investment Advisor/Hedge Fund"/>
    <n v="25417214314604.398"/>
    <s v="GARP"/>
    <s v="Moderate"/>
    <s v="High"/>
    <s v="High"/>
    <s v="High"/>
    <m/>
    <m/>
    <m/>
    <m/>
    <m/>
    <m/>
    <s v="Moderate"/>
    <s v="London"/>
    <s v="United Kingdom"/>
  </r>
  <r>
    <n v="232"/>
    <s v="PGIM Investments LLC"/>
    <n v="2.0000000000000002E-5"/>
    <n v="2.0000000000000002E-5"/>
    <m/>
    <m/>
    <n v="0"/>
    <n v="0"/>
    <m/>
    <m/>
    <m/>
    <m/>
    <m/>
    <n v="1857300"/>
    <n v="1857300"/>
    <m/>
    <m/>
    <n v="0"/>
    <n v="0"/>
    <m/>
    <m/>
    <m/>
    <m/>
    <m/>
    <n v="0"/>
    <n v="1857300"/>
    <m/>
    <m/>
    <n v="0"/>
    <n v="0"/>
    <m/>
    <m/>
    <m/>
    <m/>
    <m/>
    <n v="10560356779.6"/>
    <n v="10560356779.6"/>
    <m/>
    <m/>
    <n v="0"/>
    <n v="0"/>
    <m/>
    <m/>
    <m/>
    <m/>
    <m/>
    <d v="2024-12-31T00:00:00"/>
    <d v="2024-12-31T00:00:00"/>
    <m/>
    <m/>
    <d v="2020-06-30T00:00:00"/>
    <d v="2020-06-30T00:00:00"/>
    <m/>
    <m/>
    <m/>
    <m/>
    <m/>
    <s v="Aggregate MFs"/>
    <s v="Aggregate MFs"/>
    <m/>
    <m/>
    <s v="Aggregate MFs"/>
    <s v="Aggregate MFs"/>
    <m/>
    <m/>
    <m/>
    <m/>
    <m/>
    <s v="Investment Managers"/>
    <s v="Investment Advisor"/>
    <n v="41844199328248.797"/>
    <m/>
    <s v="Low"/>
    <s v="Moderate"/>
    <m/>
    <m/>
    <s v="High"/>
    <s v="Moderate"/>
    <m/>
    <m/>
    <m/>
    <m/>
    <m/>
    <s v="Newark"/>
    <s v="United States"/>
  </r>
  <r>
    <n v="233"/>
    <s v="AHAM Asset Management Berhad"/>
    <n v="1.9000000000000001E-5"/>
    <n v="1.9000000000000001E-4"/>
    <n v="1.9999999999999999E-6"/>
    <n v="1E-4"/>
    <n v="3.0000000000000001E-6"/>
    <n v="1.9999999999999999E-6"/>
    <n v="1.0399999999999999E-4"/>
    <n v="5.3999999999999998E-5"/>
    <n v="6.0000000000000002E-6"/>
    <n v="1.02E-4"/>
    <n v="1.15E-4"/>
    <n v="1725000"/>
    <n v="17527700"/>
    <n v="225800"/>
    <n v="9204400"/>
    <n v="272600"/>
    <n v="150000"/>
    <n v="9635400"/>
    <n v="5020200"/>
    <n v="556200"/>
    <n v="9387200"/>
    <n v="10603600"/>
    <n v="-15802700"/>
    <n v="17301900"/>
    <n v="-8978600"/>
    <n v="8931800"/>
    <n v="122600"/>
    <n v="-9485400"/>
    <n v="4615200"/>
    <n v="4464000"/>
    <n v="-8831000"/>
    <n v="-1216400"/>
    <n v="7737600"/>
    <n v="8434109553.3000002"/>
    <n v="99660133218.600006"/>
    <n v="1320930024.05"/>
    <n v="48438155051"/>
    <n v="817800046.75"/>
    <n v="474374934.10000002"/>
    <n v="36869595153.199997"/>
    <n v="18574740041"/>
    <n v="2057940047.52"/>
    <n v="26342830054.099998"/>
    <n v="24529722247.650002"/>
    <d v="2025-06-30T00:00:00"/>
    <d v="2024-12-31T00:00:00"/>
    <d v="2023-11-30T00:00:00"/>
    <d v="2022-11-30T00:00:00"/>
    <d v="2021-05-31T00:00:00"/>
    <d v="2020-11-30T00:00:00"/>
    <d v="2019-12-31T00:00:00"/>
    <d v="2018-11-30T00:00:00"/>
    <d v="2017-11-30T00:00:00"/>
    <d v="2016-08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15448931192034"/>
    <s v="Growth"/>
    <s v="Low"/>
    <s v="Moderate"/>
    <s v="Moderate"/>
    <s v="Moderate"/>
    <s v="Moderate"/>
    <s v="Moderate"/>
    <s v="Moderate"/>
    <s v="Moderate"/>
    <s v="Moderate"/>
    <s v="Moderate"/>
    <s v="Moderate"/>
    <s v="Kuala Lumpur"/>
    <s v="Malaysia"/>
  </r>
  <r>
    <n v="234"/>
    <s v="RAM Active Investments S.A."/>
    <n v="1.9000000000000001E-5"/>
    <n v="2.8E-5"/>
    <n v="0"/>
    <n v="3.8000000000000002E-5"/>
    <n v="0"/>
    <n v="1.0000000000000001E-5"/>
    <n v="0"/>
    <n v="0"/>
    <n v="9.3999999999999994E-5"/>
    <n v="0"/>
    <n v="0"/>
    <n v="1715040"/>
    <n v="2556640"/>
    <n v="0"/>
    <n v="3521600"/>
    <n v="0"/>
    <n v="937000"/>
    <n v="0"/>
    <n v="0"/>
    <n v="8680400"/>
    <n v="0"/>
    <n v="0"/>
    <n v="-841600"/>
    <n v="2556640"/>
    <n v="-3521600"/>
    <n v="3521600"/>
    <n v="-937000"/>
    <n v="937000"/>
    <n v="0"/>
    <n v="-8680400"/>
    <n v="8680400"/>
    <n v="0"/>
    <n v="-7018820"/>
    <n v="8385411762.8999996"/>
    <n v="14536709533.299999"/>
    <n v="0"/>
    <n v="17475939954"/>
    <n v="0"/>
    <n v="2963262463.1999998"/>
    <n v="0"/>
    <n v="0"/>
    <n v="34721600024.75"/>
    <n v="0"/>
    <n v="0"/>
    <d v="2025-06-30T00:00:00"/>
    <d v="2024-12-31T00:00:00"/>
    <d v="2023-06-30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8318626052408.801"/>
    <m/>
    <s v="Low"/>
    <s v="Moderate"/>
    <s v="High"/>
    <s v="High"/>
    <s v="High"/>
    <s v="High"/>
    <s v="Moderate"/>
    <s v="Moderate"/>
    <s v="Moderate"/>
    <s v="High"/>
    <s v="Moderate"/>
    <s v="Geneva"/>
    <s v="Switzerland"/>
  </r>
  <r>
    <n v="235"/>
    <s v="BlackRock (Luxembourg) S.A."/>
    <n v="1.8E-5"/>
    <n v="1.5999999999999999E-5"/>
    <n v="0"/>
    <n v="0"/>
    <m/>
    <m/>
    <m/>
    <m/>
    <m/>
    <m/>
    <m/>
    <n v="1697400"/>
    <n v="1453500"/>
    <n v="0"/>
    <n v="0"/>
    <m/>
    <m/>
    <m/>
    <m/>
    <m/>
    <m/>
    <m/>
    <n v="243900"/>
    <n v="1453500"/>
    <n v="0"/>
    <n v="0"/>
    <m/>
    <m/>
    <m/>
    <m/>
    <m/>
    <m/>
    <m/>
    <n v="8299163757.6000004"/>
    <n v="8264404527.1999998"/>
    <n v="0"/>
    <n v="0"/>
    <m/>
    <m/>
    <m/>
    <m/>
    <m/>
    <m/>
    <m/>
    <d v="2025-06-30T00:00:00"/>
    <d v="2024-12-31T00:00:00"/>
    <d v="2022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63335914494171"/>
    <s v="Specialty"/>
    <s v="Low"/>
    <s v="High"/>
    <s v="Low"/>
    <s v="Moderate"/>
    <m/>
    <m/>
    <m/>
    <m/>
    <m/>
    <m/>
    <m/>
    <s v="Luxembourg"/>
    <s v="Luxembourg"/>
  </r>
  <r>
    <n v="236"/>
    <s v="Kenanga Investors Berhad"/>
    <n v="1.8E-5"/>
    <n v="2.0000000000000002E-5"/>
    <n v="9.6000000000000002E-5"/>
    <n v="1.5200000000000001E-4"/>
    <n v="4.6E-5"/>
    <m/>
    <n v="0"/>
    <n v="5.0000000000000004E-6"/>
    <n v="3.9999999999999998E-6"/>
    <m/>
    <m/>
    <n v="1648900"/>
    <n v="1808900"/>
    <n v="8914900"/>
    <n v="14029400"/>
    <n v="4221200"/>
    <m/>
    <n v="0"/>
    <n v="471400"/>
    <n v="338800"/>
    <m/>
    <m/>
    <n v="-160000"/>
    <n v="-7106000"/>
    <n v="-5114500"/>
    <n v="9808200"/>
    <n v="4221200"/>
    <m/>
    <n v="-471400"/>
    <n v="132600"/>
    <n v="338800"/>
    <m/>
    <m/>
    <n v="8747227027.1499996"/>
    <n v="10285160981.9"/>
    <n v="52152164943.900002"/>
    <n v="69620897537.949997"/>
    <n v="14811374047.5"/>
    <m/>
    <n v="0"/>
    <n v="1626330013.5"/>
    <n v="1109569951.98"/>
    <m/>
    <m/>
    <d v="2025-05-31T00:00:00"/>
    <d v="2024-12-31T00:00:00"/>
    <d v="2023-11-30T00:00:00"/>
    <d v="2022-12-31T00:00:00"/>
    <d v="2021-12-31T00:00:00"/>
    <m/>
    <d v="2019-02-28T00:00:00"/>
    <d v="2018-08-31T00:00:00"/>
    <d v="2017-08-31T00:00:00"/>
    <m/>
    <m/>
    <s v="Aggregate MFs"/>
    <s v="Aggregate MFs"/>
    <s v="Aggregate MFs"/>
    <s v="Aggregate MFs"/>
    <s v="Aggregate MFs"/>
    <m/>
    <s v="Aggregate MFs"/>
    <s v="Aggregate MFs"/>
    <s v="Aggregate MFs"/>
    <m/>
    <m/>
    <s v="Investment Managers"/>
    <s v="Investment Advisor"/>
    <n v="19433666198354.398"/>
    <s v="Growth"/>
    <s v="Low"/>
    <s v="Low"/>
    <s v="Low"/>
    <s v="Low"/>
    <s v="Moderate"/>
    <m/>
    <s v="Moderate"/>
    <s v="Moderate"/>
    <s v="Moderate"/>
    <m/>
    <m/>
    <s v="Kuala Lumpur"/>
    <s v="Malaysia"/>
  </r>
  <r>
    <n v="237"/>
    <s v="BOCI-Prudential Asset Management Ltd."/>
    <n v="1.7E-5"/>
    <n v="1.7E-5"/>
    <n v="1.7E-5"/>
    <n v="1.8E-5"/>
    <n v="1.2E-5"/>
    <n v="1.2999999999999999E-5"/>
    <n v="1.1E-5"/>
    <n v="7.9999999999999996E-6"/>
    <n v="1.2E-5"/>
    <n v="0"/>
    <n v="6.0000000000000002E-6"/>
    <n v="1607200"/>
    <n v="1607200"/>
    <n v="1607200"/>
    <n v="1623800"/>
    <n v="1072000"/>
    <n v="1225200"/>
    <n v="1009000"/>
    <n v="698600"/>
    <n v="1115600"/>
    <n v="0"/>
    <n v="568000"/>
    <n v="0"/>
    <n v="0"/>
    <n v="-16600"/>
    <n v="551800"/>
    <n v="-153200"/>
    <n v="216200"/>
    <n v="310400"/>
    <n v="-417000"/>
    <n v="1115600"/>
    <n v="-568000"/>
    <n v="0"/>
    <n v="8347355643.5500002"/>
    <n v="11129860063.200001"/>
    <n v="9642811590"/>
    <n v="7652157471"/>
    <n v="3296399940.9000001"/>
    <n v="3038495936"/>
    <n v="3518887567.8000002"/>
    <n v="2349042514"/>
    <n v="3751204938.3000002"/>
    <n v="0"/>
    <n v="1125350064.8499999"/>
    <d v="2025-03-31T00:00:00"/>
    <d v="2024-09-30T00:00:00"/>
    <d v="2023-09-30T00:00:00"/>
    <d v="2022-09-30T00:00:00"/>
    <d v="2021-09-30T00:00:00"/>
    <d v="2020-09-30T00:00:00"/>
    <d v="2019-09-30T00:00:00"/>
    <d v="2018-09-30T00:00:00"/>
    <d v="2017-09-30T00:00:00"/>
    <d v="2016-09-30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90219761127243.594"/>
    <s v="Core Value"/>
    <s v="Low"/>
    <s v="Low"/>
    <s v="Low"/>
    <s v="Low"/>
    <s v="Low"/>
    <s v="Low"/>
    <s v="Low"/>
    <s v="Low"/>
    <s v="Moderate"/>
    <s v="Low"/>
    <s v="Moderate"/>
    <s v="Central (Hong Kong)"/>
    <s v="Hong Kong"/>
  </r>
  <r>
    <n v="238"/>
    <s v="Schroders IS Limited"/>
    <n v="1.7E-5"/>
    <n v="1.7E-5"/>
    <n v="3.4E-5"/>
    <m/>
    <m/>
    <m/>
    <m/>
    <m/>
    <m/>
    <m/>
    <m/>
    <n v="1576500"/>
    <n v="1576500"/>
    <n v="3151200"/>
    <m/>
    <m/>
    <m/>
    <m/>
    <m/>
    <m/>
    <m/>
    <m/>
    <n v="0"/>
    <n v="-1574700"/>
    <n v="3151200"/>
    <m/>
    <m/>
    <m/>
    <m/>
    <m/>
    <m/>
    <m/>
    <m/>
    <n v="10089600087.4"/>
    <n v="10089600087.4"/>
    <n v="19064760032.5"/>
    <m/>
    <m/>
    <m/>
    <m/>
    <m/>
    <m/>
    <m/>
    <m/>
    <d v="2024-07-31T00:00:00"/>
    <d v="2024-07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2159030175966"/>
    <m/>
    <s v="Low"/>
    <s v="Low"/>
    <s v="Low"/>
    <m/>
    <m/>
    <m/>
    <m/>
    <m/>
    <m/>
    <m/>
    <m/>
    <s v="London"/>
    <s v="United Kingdom"/>
  </r>
  <r>
    <n v="239"/>
    <s v="Assenagon Asset Management S.A."/>
    <n v="1.7E-5"/>
    <n v="2.0999999999999999E-5"/>
    <n v="2.4000000000000001E-5"/>
    <n v="2.9E-5"/>
    <n v="3.1000000000000001E-5"/>
    <n v="3.1999999999999999E-5"/>
    <n v="3.8999999999999999E-5"/>
    <n v="0"/>
    <n v="0"/>
    <n v="1.5E-5"/>
    <n v="1.5999999999999999E-5"/>
    <n v="1560833"/>
    <n v="1937332"/>
    <n v="2223595"/>
    <n v="2691018"/>
    <n v="2902866"/>
    <n v="2952264"/>
    <n v="3559672"/>
    <n v="0"/>
    <n v="0"/>
    <n v="1347656"/>
    <n v="1444912"/>
    <n v="-376499"/>
    <n v="-286263"/>
    <n v="-467423"/>
    <n v="-211848"/>
    <n v="-49398"/>
    <n v="-607408"/>
    <n v="3559672"/>
    <n v="0"/>
    <n v="-1347656"/>
    <n v="-97256"/>
    <n v="-305324"/>
    <n v="7448254018.8000002"/>
    <n v="11015407884.5"/>
    <n v="13452749711.549999"/>
    <n v="13354176817.85"/>
    <n v="10185595192.5"/>
    <n v="9336534854.3999996"/>
    <n v="13620987679.6"/>
    <n v="0"/>
    <n v="0"/>
    <n v="3899779577.0999999"/>
    <n v="3342571360.8000002"/>
    <d v="2025-08-31T00:00:00"/>
    <d v="2024-12-31T00:00:00"/>
    <d v="2023-12-31T00:00:00"/>
    <d v="2022-12-31T00:00:00"/>
    <d v="2021-12-31T00:00:00"/>
    <d v="2020-12-31T00:00:00"/>
    <d v="2019-12-31T00:00:00"/>
    <d v="2017-09-30T00:00:00"/>
    <d v="2017-09-30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185196387206580"/>
    <s v="Index"/>
    <s v="High"/>
    <s v="High"/>
    <s v="High"/>
    <s v="High"/>
    <s v="High"/>
    <s v="High"/>
    <s v="High"/>
    <s v="High"/>
    <s v="High"/>
    <s v="Moderate"/>
    <s v="Moderate"/>
    <s v="Munich"/>
    <s v="Germany"/>
  </r>
  <r>
    <n v="240"/>
    <s v="ARCA Fondi SGR S.p.A"/>
    <n v="1.5999999999999999E-5"/>
    <n v="1.8E-5"/>
    <m/>
    <m/>
    <m/>
    <m/>
    <m/>
    <m/>
    <m/>
    <m/>
    <m/>
    <n v="1517500"/>
    <n v="1668800"/>
    <m/>
    <m/>
    <m/>
    <m/>
    <m/>
    <m/>
    <m/>
    <m/>
    <m/>
    <n v="-151300"/>
    <n v="1668800"/>
    <m/>
    <m/>
    <m/>
    <m/>
    <m/>
    <m/>
    <m/>
    <m/>
    <m/>
    <n v="6674996766.1999998"/>
    <n v="9488571308.6000004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246953040671930"/>
    <m/>
    <s v="Low"/>
    <s v="Low"/>
    <m/>
    <m/>
    <m/>
    <m/>
    <m/>
    <m/>
    <m/>
    <m/>
    <m/>
    <s v="Milan"/>
    <s v="Italy"/>
  </r>
  <r>
    <n v="241"/>
    <s v="Lemanik Invest SA"/>
    <n v="1.5999999999999999E-5"/>
    <n v="0"/>
    <n v="0"/>
    <n v="0"/>
    <m/>
    <m/>
    <m/>
    <m/>
    <m/>
    <m/>
    <m/>
    <n v="1500000"/>
    <n v="0"/>
    <n v="0"/>
    <n v="0"/>
    <m/>
    <m/>
    <m/>
    <m/>
    <m/>
    <m/>
    <m/>
    <n v="1500000"/>
    <n v="0"/>
    <n v="0"/>
    <n v="0"/>
    <m/>
    <m/>
    <m/>
    <m/>
    <m/>
    <m/>
    <m/>
    <n v="7157960587.0500002"/>
    <n v="0"/>
    <n v="0"/>
    <n v="0"/>
    <m/>
    <m/>
    <m/>
    <m/>
    <m/>
    <m/>
    <m/>
    <d v="2025-08-31T00:00:00"/>
    <d v="2024-05-31T00:00:00"/>
    <d v="2022-07-31T00:00:00"/>
    <d v="2022-07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6656605534939.2002"/>
    <s v="GARP"/>
    <s v="Low"/>
    <s v="High"/>
    <s v="High"/>
    <s v="High"/>
    <m/>
    <m/>
    <m/>
    <m/>
    <m/>
    <m/>
    <m/>
    <s v="Lugano"/>
    <s v="Switzerland"/>
  </r>
  <r>
    <n v="242"/>
    <s v="Edinburgh Partners Limited"/>
    <n v="1.5999999999999999E-5"/>
    <n v="1.1E-5"/>
    <n v="1.1E-5"/>
    <n v="7.9999999999999996E-6"/>
    <m/>
    <m/>
    <n v="0"/>
    <n v="1.1E-5"/>
    <n v="7.3999999999999996E-5"/>
    <n v="2.7099999999999997E-4"/>
    <n v="6.6200000000000005E-4"/>
    <n v="1489600"/>
    <n v="999900"/>
    <n v="986900"/>
    <n v="697200"/>
    <m/>
    <m/>
    <n v="0"/>
    <n v="1023800"/>
    <n v="6793800"/>
    <n v="25026400"/>
    <n v="61170400"/>
    <n v="489700"/>
    <n v="13000"/>
    <n v="289700"/>
    <n v="697200"/>
    <m/>
    <m/>
    <n v="-1023800"/>
    <n v="-5770000"/>
    <n v="-18232600"/>
    <n v="-36144000"/>
    <n v="0"/>
    <n v="6552273541.8000002"/>
    <n v="5685296271.3999996"/>
    <n v="5970744918.8500004"/>
    <n v="3459854973.8499999"/>
    <m/>
    <m/>
    <n v="0"/>
    <n v="3728574275"/>
    <n v="27175199936.5"/>
    <n v="72420145042.5"/>
    <n v="141507876906.45001"/>
    <d v="2025-09-30T00:00:00"/>
    <d v="2024-12-31T00:00:00"/>
    <d v="2023-12-31T00:00:00"/>
    <d v="2022-12-31T00:00:00"/>
    <m/>
    <m/>
    <d v="2019-01-31T00:00:00"/>
    <d v="2018-12-31T00:00:00"/>
    <d v="2017-12-31T00:00:00"/>
    <d v="2016-12-31T00:00:00"/>
    <d v="2015-12-31T00:00:00"/>
    <s v="Aggregate MFs"/>
    <s v="Aggregate MFs"/>
    <s v="Aggregate MFs"/>
    <s v="Aggregate MFs"/>
    <m/>
    <m/>
    <s v="Aggregate MFs"/>
    <s v="Aggregate MFs"/>
    <s v="Aggregate MFs"/>
    <s v="Aggregate MFs"/>
    <s v="Aggregate MFs"/>
    <s v="Investment Managers"/>
    <s v="Investment Advisor"/>
    <n v="972507102775.19995"/>
    <s v="Core Value"/>
    <s v="Low"/>
    <s v="Moderate"/>
    <s v="Low"/>
    <s v="Low"/>
    <m/>
    <m/>
    <s v="Moderate"/>
    <s v="Low"/>
    <s v="Low"/>
    <s v="Low"/>
    <s v="Low"/>
    <s v="Edinburgh"/>
    <s v="United Kingdom"/>
  </r>
  <r>
    <n v="243"/>
    <s v="DFA Australia Ltd."/>
    <n v="1.5E-5"/>
    <n v="6.9999999999999999E-6"/>
    <m/>
    <m/>
    <m/>
    <m/>
    <m/>
    <m/>
    <m/>
    <m/>
    <m/>
    <n v="1428400"/>
    <n v="676800"/>
    <m/>
    <m/>
    <m/>
    <m/>
    <m/>
    <m/>
    <m/>
    <m/>
    <m/>
    <n v="751600"/>
    <n v="676800"/>
    <m/>
    <m/>
    <m/>
    <m/>
    <m/>
    <m/>
    <m/>
    <m/>
    <m/>
    <n v="6283074264.6000004"/>
    <n v="3848193329.3000002"/>
    <m/>
    <m/>
    <m/>
    <m/>
    <m/>
    <m/>
    <m/>
    <m/>
    <m/>
    <d v="2025-09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433760806515037"/>
    <s v="Index"/>
    <s v="Low"/>
    <s v="Low"/>
    <m/>
    <m/>
    <m/>
    <m/>
    <m/>
    <m/>
    <m/>
    <m/>
    <m/>
    <s v="Sydney"/>
    <s v="Australia"/>
  </r>
  <r>
    <n v="244"/>
    <s v="Principal Asset Management (S) Pte Ltd"/>
    <n v="1.5E-5"/>
    <n v="1.9999999999999999E-6"/>
    <n v="2.02E-4"/>
    <n v="1.8E-5"/>
    <n v="2.0999999999999999E-5"/>
    <n v="3.3000000000000003E-5"/>
    <n v="2.5000000000000001E-5"/>
    <n v="1.9000000000000001E-5"/>
    <n v="2.4000000000000001E-5"/>
    <n v="4.1E-5"/>
    <n v="6.3999999999999997E-5"/>
    <n v="1414900"/>
    <n v="217900"/>
    <n v="18668700"/>
    <n v="1708800"/>
    <n v="1917400"/>
    <n v="3003200"/>
    <n v="2303000"/>
    <n v="1777200"/>
    <n v="2234800"/>
    <n v="3760400"/>
    <n v="5895200"/>
    <n v="1197000"/>
    <n v="-18450800"/>
    <n v="16959900"/>
    <n v="-208600"/>
    <n v="-1085800"/>
    <n v="700200"/>
    <n v="525800"/>
    <n v="-457600"/>
    <n v="-1525600"/>
    <n v="-2134800"/>
    <n v="0"/>
    <n v="6406513529.5"/>
    <n v="1238949951.5999999"/>
    <n v="112945634877.39999"/>
    <n v="8479920021.1000004"/>
    <n v="6727785667.5"/>
    <n v="9497619986.3999996"/>
    <n v="8812366612.3999996"/>
    <n v="6472379543.75"/>
    <n v="8939200028.25"/>
    <n v="10881657467.700001"/>
    <n v="14811690018.200001"/>
    <d v="2025-07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1509149553972.398"/>
    <m/>
    <s v="Low"/>
    <s v="High"/>
    <s v="High"/>
    <s v="Low"/>
    <s v="Moderate"/>
    <s v="Low"/>
    <s v="Low"/>
    <s v="Moderate"/>
    <s v="Moderate"/>
    <m/>
    <s v="Moderate"/>
    <s v="Singapore"/>
    <s v="Singapore"/>
  </r>
  <r>
    <n v="245"/>
    <s v="Nykredit Bank AS"/>
    <n v="1.5E-5"/>
    <n v="0"/>
    <n v="2.5000000000000001E-5"/>
    <n v="3.4E-5"/>
    <n v="3.1000000000000001E-5"/>
    <n v="1.4E-5"/>
    <n v="1.8E-5"/>
    <n v="3.0000000000000001E-6"/>
    <m/>
    <m/>
    <m/>
    <n v="1343301"/>
    <n v="0"/>
    <n v="2276200"/>
    <n v="3103002"/>
    <n v="2888018"/>
    <n v="1336416"/>
    <n v="1704000"/>
    <n v="317200"/>
    <m/>
    <m/>
    <m/>
    <n v="1343301"/>
    <n v="-2276200"/>
    <n v="-826802"/>
    <n v="214984"/>
    <n v="1551602"/>
    <n v="-367584"/>
    <n v="1386800"/>
    <n v="317200"/>
    <m/>
    <m/>
    <m/>
    <n v="5908751053.8000002"/>
    <n v="0"/>
    <n v="13771009930.75"/>
    <n v="15398647506"/>
    <n v="10133496337.5"/>
    <n v="4226415570"/>
    <n v="6520309468.3999996"/>
    <n v="1173640039"/>
    <m/>
    <m/>
    <m/>
    <d v="2025-09-30T00:00:00"/>
    <d v="2024-05-31T00:00:00"/>
    <d v="2023-12-31T00:00:00"/>
    <d v="2022-12-31T00:00:00"/>
    <d v="2021-12-31T00:00:00"/>
    <d v="2020-12-31T00:00:00"/>
    <d v="2019-12-31T00:00:00"/>
    <d v="2018-11-30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Bank and Trust"/>
    <n v="373685794600946"/>
    <s v="Growth"/>
    <s v="Low"/>
    <s v="Low"/>
    <s v="Low"/>
    <s v="Low"/>
    <s v="Low"/>
    <s v="Low"/>
    <s v="Moderate"/>
    <s v="High"/>
    <m/>
    <m/>
    <m/>
    <s v="Copenhagen"/>
    <s v="Denmark"/>
  </r>
  <r>
    <n v="246"/>
    <s v="OP Varainhoito Oy"/>
    <n v="1.4E-5"/>
    <n v="1.5999999999999999E-5"/>
    <n v="1.21E-4"/>
    <n v="1.4100000000000001E-4"/>
    <m/>
    <m/>
    <m/>
    <m/>
    <m/>
    <m/>
    <m/>
    <n v="1307800"/>
    <n v="1455000"/>
    <n v="11211400"/>
    <n v="13003400"/>
    <m/>
    <m/>
    <m/>
    <m/>
    <m/>
    <m/>
    <m/>
    <n v="-147200"/>
    <n v="-9756400"/>
    <n v="-1792000"/>
    <n v="13003400"/>
    <m/>
    <m/>
    <m/>
    <m/>
    <m/>
    <m/>
    <m/>
    <n v="7898884740.75"/>
    <n v="10594936405.799999"/>
    <n v="67828969978.699997"/>
    <n v="57540044956.800003"/>
    <m/>
    <m/>
    <m/>
    <m/>
    <m/>
    <m/>
    <m/>
    <d v="2025-01-31T00:00:00"/>
    <d v="2024-10-31T00:00:00"/>
    <d v="2023-12-31T00:00:00"/>
    <d v="2022-08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/Hedge Fund"/>
    <n v="351059247040480"/>
    <s v="Core Growth"/>
    <s v="Low"/>
    <s v="Moderate"/>
    <s v="Moderate"/>
    <s v="Moderate"/>
    <m/>
    <m/>
    <m/>
    <m/>
    <m/>
    <m/>
    <m/>
    <s v="Helsinki"/>
    <s v="Finland"/>
  </r>
  <r>
    <n v="247"/>
    <s v="First Trust Advisors L.P."/>
    <n v="1.2999999999999999E-5"/>
    <n v="6.9999999999999999E-6"/>
    <n v="9.0000000000000002E-6"/>
    <n v="2.8E-5"/>
    <n v="3.0000000000000001E-6"/>
    <n v="3.0000000000000001E-6"/>
    <n v="1.9999999999999999E-6"/>
    <n v="9.9999999999999995E-7"/>
    <n v="9.9999999999999995E-7"/>
    <n v="0"/>
    <n v="0"/>
    <n v="1245784"/>
    <n v="608950"/>
    <n v="828000"/>
    <n v="2548626"/>
    <n v="248746"/>
    <n v="269674"/>
    <n v="174072"/>
    <n v="61582"/>
    <n v="64226"/>
    <n v="0"/>
    <n v="0"/>
    <n v="636834"/>
    <n v="-219050"/>
    <n v="-1720626"/>
    <n v="2299880"/>
    <n v="-20928"/>
    <n v="95602"/>
    <n v="112490"/>
    <n v="-2644"/>
    <n v="64226"/>
    <n v="0"/>
    <n v="0"/>
    <n v="5479805034.1999998"/>
    <n v="3462407421.8000002"/>
    <n v="5009399987.1999998"/>
    <n v="12647556480.9"/>
    <n v="872801527.5"/>
    <n v="852844075.20000005"/>
    <n v="666081768"/>
    <n v="224275300"/>
    <n v="256904008.09999999"/>
    <n v="0"/>
    <n v="0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5-10-31T00:00:00"/>
    <d v="2015-10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386519265161390"/>
    <s v="Index"/>
    <s v="Low"/>
    <s v="Low"/>
    <s v="Moderate"/>
    <s v="Moderate"/>
    <s v="Moderate"/>
    <s v="Moderate"/>
    <s v="Moderate"/>
    <s v="Moderate"/>
    <s v="Moderate"/>
    <s v="Moderate"/>
    <s v="Moderate"/>
    <s v="Wheaton"/>
    <s v="United States"/>
  </r>
  <r>
    <n v="248"/>
    <s v="Matthews International Capital Management, L.L.C."/>
    <n v="1.2999999999999999E-5"/>
    <n v="7.1000000000000005E-5"/>
    <n v="0"/>
    <n v="0"/>
    <m/>
    <n v="4.8299999999999998E-4"/>
    <n v="4.8299999999999998E-4"/>
    <n v="4.7199999999999998E-4"/>
    <n v="7.1500000000000003E-4"/>
    <n v="1.75E-4"/>
    <n v="1.6100000000000001E-4"/>
    <n v="1241300"/>
    <n v="6588600"/>
    <n v="0"/>
    <n v="0"/>
    <m/>
    <n v="44625600"/>
    <n v="44625600"/>
    <n v="43585800"/>
    <n v="66053000"/>
    <n v="16153200"/>
    <n v="14915600"/>
    <n v="-5347300"/>
    <n v="6588600"/>
    <n v="0"/>
    <n v="0"/>
    <m/>
    <n v="0"/>
    <n v="1039800"/>
    <n v="-22467200"/>
    <n v="49899800"/>
    <n v="1237600"/>
    <n v="0"/>
    <n v="5460081260.1999998"/>
    <n v="37461889078.599998"/>
    <n v="0"/>
    <n v="0"/>
    <m/>
    <n v="155631779925.60001"/>
    <n v="155631779925.60001"/>
    <n v="158734999243.75"/>
    <n v="264212000057.64999"/>
    <n v="46743322579.5"/>
    <n v="34504840351.800003"/>
    <d v="2025-09-30T00:00:00"/>
    <d v="2024-12-31T00:00:00"/>
    <d v="2022-11-30T00:00:00"/>
    <d v="2022-11-30T00:00:00"/>
    <m/>
    <d v="2019-09-30T00:00:00"/>
    <d v="2019-09-30T00:00:00"/>
    <d v="2018-12-31T00:00:00"/>
    <d v="2017-12-31T00:00:00"/>
    <d v="2016-12-31T00:00:00"/>
    <d v="2015-12-31T00:00:00"/>
    <s v="Aggregate MFs"/>
    <s v="Aggregate MFs"/>
    <s v="Aggregate MFs"/>
    <s v="Aggregate MFs"/>
    <m/>
    <s v="Aggregate MFs"/>
    <s v="Aggregate MFs"/>
    <s v="Aggregate MFs"/>
    <s v="Aggregate MFs"/>
    <s v="Aggregate MFs"/>
    <s v="Aggregate MFs"/>
    <s v="Investment Managers"/>
    <s v="Investment Advisor"/>
    <n v="105148109682082"/>
    <s v="GARP"/>
    <s v="Moderate"/>
    <s v="Moderate"/>
    <s v="Moderate"/>
    <s v="Moderate"/>
    <m/>
    <s v="Moderate"/>
    <s v="Low"/>
    <s v="Low"/>
    <s v="Low"/>
    <s v="Low"/>
    <s v="Low"/>
    <s v="San Francisco"/>
    <s v="United States"/>
  </r>
  <r>
    <n v="249"/>
    <s v="Momentum Global Investment Management Limited"/>
    <n v="1.2999999999999999E-5"/>
    <n v="2.0000000000000002E-5"/>
    <n v="2.4000000000000001E-5"/>
    <n v="2.3E-5"/>
    <n v="1.2E-5"/>
    <n v="2.0000000000000002E-5"/>
    <n v="0"/>
    <m/>
    <m/>
    <m/>
    <m/>
    <n v="1236600"/>
    <n v="1852900"/>
    <n v="2188600"/>
    <n v="2160000"/>
    <n v="1080000"/>
    <n v="1833400"/>
    <n v="0"/>
    <m/>
    <m/>
    <m/>
    <m/>
    <n v="-616300"/>
    <n v="-335700"/>
    <n v="28600"/>
    <n v="1080000"/>
    <n v="-753400"/>
    <n v="1833400"/>
    <n v="0"/>
    <m/>
    <m/>
    <m/>
    <m/>
    <n v="5599190464"/>
    <n v="10535338921.299999"/>
    <n v="13241029974.049999"/>
    <n v="11394000030.049999"/>
    <n v="3789511050"/>
    <n v="5798127441.6000004"/>
    <n v="0"/>
    <m/>
    <m/>
    <m/>
    <m/>
    <d v="2025-07-31T00:00:00"/>
    <d v="2024-12-31T00:00:00"/>
    <d v="2023-12-31T00:00:00"/>
    <d v="2022-10-31T00:00:00"/>
    <d v="2021-12-31T00:00:00"/>
    <d v="2020-12-31T00:00:00"/>
    <d v="2019-05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2467571611936.398"/>
    <s v="GARP"/>
    <s v="Low"/>
    <s v="Moderate"/>
    <s v="Moderate"/>
    <s v="Moderate"/>
    <s v="Low"/>
    <s v="Moderate"/>
    <s v="Moderate"/>
    <m/>
    <m/>
    <m/>
    <m/>
    <s v="London"/>
    <s v="United Kingdom"/>
  </r>
  <r>
    <n v="250"/>
    <s v="Daiwa Asset Management Co., Ltd."/>
    <n v="1.2999999999999999E-5"/>
    <n v="1.5999999999999999E-5"/>
    <n v="1.2999999999999999E-5"/>
    <n v="7.9999999999999996E-6"/>
    <n v="1.0000000000000001E-5"/>
    <n v="6.9999999999999999E-6"/>
    <n v="1.0000000000000001E-5"/>
    <n v="1.18E-4"/>
    <n v="7.9999999999999996E-6"/>
    <n v="6.0000000000000002E-6"/>
    <n v="9.1000000000000003E-5"/>
    <n v="1230053"/>
    <n v="1451653"/>
    <n v="1216052"/>
    <n v="768526"/>
    <n v="880446"/>
    <n v="613566"/>
    <n v="946840"/>
    <n v="10945600"/>
    <n v="764598"/>
    <n v="571800"/>
    <n v="8396000"/>
    <n v="-221600"/>
    <n v="235601"/>
    <n v="447526"/>
    <n v="-111920"/>
    <n v="266880"/>
    <n v="-333274"/>
    <n v="-9998760"/>
    <n v="10181002"/>
    <n v="192798"/>
    <n v="-7824200"/>
    <n v="0"/>
    <n v="6525291367.6000004"/>
    <n v="8253902745.1000004"/>
    <n v="7357114548.6499996"/>
    <n v="4044368142.0999999"/>
    <n v="3081561039.1999998"/>
    <n v="1940402518.3"/>
    <n v="3623057397.1999998"/>
    <n v="36804579996"/>
    <n v="2570960844.3000002"/>
    <n v="1290123717.25"/>
    <n v="19992975001.5"/>
    <d v="2025-05-31T00:00:00"/>
    <d v="2024-12-31T00:00:00"/>
    <d v="2023-12-31T00:00:00"/>
    <d v="2022-11-30T00:00:00"/>
    <d v="2021-11-30T00:00:00"/>
    <d v="2020-11-30T00:00:00"/>
    <d v="2019-12-31T00:00:00"/>
    <d v="2018-09-30T00:00:00"/>
    <d v="2017-09-30T00:00:00"/>
    <d v="2016-05-31T00:00:00"/>
    <d v="2015-07-06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644657439704320"/>
    <s v="GARP"/>
    <s v="Low"/>
    <s v="Low"/>
    <s v="Low"/>
    <s v="Low"/>
    <s v="Low"/>
    <s v="Low"/>
    <s v="Low"/>
    <s v="Low"/>
    <s v="Low"/>
    <s v="Low"/>
    <s v="Low"/>
    <s v="Chiyoda-ku (Tokyo)"/>
    <s v="Japan"/>
  </r>
  <r>
    <n v="251"/>
    <s v="Desjardins Global Asset Management"/>
    <n v="1.2999999999999999E-5"/>
    <n v="1.9999999999999999E-6"/>
    <n v="3.0000000000000001E-6"/>
    <n v="9.0000000000000002E-6"/>
    <n v="1.0000000000000001E-5"/>
    <m/>
    <m/>
    <m/>
    <m/>
    <m/>
    <m/>
    <n v="1217000"/>
    <n v="205074"/>
    <n v="276396"/>
    <n v="822626"/>
    <n v="900200"/>
    <m/>
    <m/>
    <m/>
    <m/>
    <m/>
    <m/>
    <n v="1011926"/>
    <n v="-71322"/>
    <n v="-546230"/>
    <n v="-77574"/>
    <n v="900200"/>
    <m/>
    <m/>
    <m/>
    <m/>
    <m/>
    <m/>
    <n v="5807491912.9499998"/>
    <n v="1166022992"/>
    <n v="1672195816.95"/>
    <n v="4082281579.75"/>
    <n v="3158627640"/>
    <m/>
    <m/>
    <m/>
    <m/>
    <m/>
    <m/>
    <d v="2025-08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124760101120925"/>
    <s v="Core Value"/>
    <s v="Moderate"/>
    <s v="Moderate"/>
    <s v="High"/>
    <s v="Moderate"/>
    <s v="Moderate"/>
    <m/>
    <m/>
    <m/>
    <m/>
    <m/>
    <m/>
    <s v="Montreal"/>
    <s v="Canada"/>
  </r>
  <r>
    <n v="252"/>
    <s v="Degroof Petercam Asset Management"/>
    <n v="1.2999999999999999E-5"/>
    <n v="1.2999999999999999E-5"/>
    <n v="9.0000000000000002E-6"/>
    <n v="1.1E-5"/>
    <n v="1.5999999999999999E-5"/>
    <n v="4.0000000000000003E-5"/>
    <n v="5.5000000000000002E-5"/>
    <n v="5.3999999999999998E-5"/>
    <n v="1.03E-4"/>
    <n v="1.12E-4"/>
    <n v="6.3999999999999997E-5"/>
    <n v="1216000"/>
    <n v="1216000"/>
    <n v="834000"/>
    <n v="1014000"/>
    <n v="1442788"/>
    <n v="3673386"/>
    <n v="5052370"/>
    <n v="4992000"/>
    <n v="9548200"/>
    <n v="10340400"/>
    <n v="5872400"/>
    <n v="0"/>
    <n v="382000"/>
    <n v="-180000"/>
    <n v="-428788"/>
    <n v="-2230598"/>
    <n v="-1378984"/>
    <n v="60370"/>
    <n v="-4556200"/>
    <n v="-792200"/>
    <n v="4468000"/>
    <n v="0"/>
    <n v="5945436085.5"/>
    <n v="6914011695.8000002"/>
    <n v="5045700011.6499996"/>
    <n v="5031975073.9499998"/>
    <n v="5062463977.5"/>
    <n v="11617083223.200001"/>
    <n v="19332755918"/>
    <n v="18180350431.25"/>
    <n v="38192799964.349998"/>
    <n v="29922532518.599998"/>
    <n v="13584852414.450001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51800292350163"/>
    <s v="GARP"/>
    <s v="Low"/>
    <s v="High"/>
    <s v="Moderate"/>
    <s v="Moderate"/>
    <s v="Low"/>
    <s v="Moderate"/>
    <s v="Low"/>
    <s v="Moderate"/>
    <s v="Low"/>
    <s v="Low"/>
    <s v="Moderate"/>
    <s v="Brussels"/>
    <s v="Belgium"/>
  </r>
  <r>
    <n v="253"/>
    <s v="Eurizon Capital SGR S.p.A."/>
    <n v="1.2999999999999999E-5"/>
    <n v="4.8000000000000001E-5"/>
    <n v="2.6800000000000001E-4"/>
    <n v="3.6200000000000002E-4"/>
    <n v="2.14E-4"/>
    <n v="2.14E-4"/>
    <n v="0"/>
    <m/>
    <m/>
    <m/>
    <m/>
    <n v="1208400"/>
    <n v="4410800"/>
    <n v="24758200"/>
    <n v="33464000"/>
    <n v="19766400"/>
    <n v="19766400"/>
    <n v="0"/>
    <m/>
    <m/>
    <m/>
    <m/>
    <n v="-3202400"/>
    <n v="-20347400"/>
    <n v="-8705800"/>
    <n v="13697600"/>
    <n v="0"/>
    <n v="19766400"/>
    <n v="0"/>
    <m/>
    <m/>
    <m/>
    <m/>
    <n v="5315364836.6000004"/>
    <n v="25079212688"/>
    <n v="149787109944.64999"/>
    <n v="166065100127.85001"/>
    <n v="62511239980.800003"/>
    <n v="62511239980.800003"/>
    <n v="0"/>
    <m/>
    <m/>
    <m/>
    <m/>
    <d v="2025-09-30T00:00:00"/>
    <d v="2024-12-31T00:00:00"/>
    <d v="2023-12-31T00:00:00"/>
    <d v="2022-12-31T00:00:00"/>
    <d v="2020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857356395937772"/>
    <s v="Core Growth"/>
    <s v="Moderate"/>
    <s v="Moderate"/>
    <s v="Moderate"/>
    <s v="Moderate"/>
    <s v="Moderate"/>
    <s v="Moderate"/>
    <s v="Moderate"/>
    <m/>
    <m/>
    <m/>
    <m/>
    <s v="Milan"/>
    <s v="Italy"/>
  </r>
  <r>
    <n v="254"/>
    <s v="Artico Partners AG"/>
    <n v="1.2999999999999999E-5"/>
    <n v="1.2999999999999999E-5"/>
    <n v="3.0000000000000001E-6"/>
    <n v="1.5999999999999999E-5"/>
    <n v="2.5000000000000001E-5"/>
    <n v="0"/>
    <m/>
    <m/>
    <m/>
    <m/>
    <m/>
    <n v="1193500"/>
    <n v="1193500"/>
    <n v="256000"/>
    <n v="1434000"/>
    <n v="2274000"/>
    <n v="0"/>
    <m/>
    <m/>
    <m/>
    <m/>
    <m/>
    <n v="0"/>
    <n v="937500"/>
    <n v="-1178000"/>
    <n v="-840000"/>
    <n v="2274000"/>
    <n v="0"/>
    <m/>
    <m/>
    <m/>
    <m/>
    <m/>
    <n v="8264987545.3500004"/>
    <n v="8264987545.3500004"/>
    <n v="1548799965.55"/>
    <n v="7116225076.9499998"/>
    <n v="7979026012.5"/>
    <n v="0"/>
    <m/>
    <m/>
    <m/>
    <m/>
    <m/>
    <d v="2024-09-30T00:00:00"/>
    <d v="2024-09-30T00:00:00"/>
    <d v="2023-12-31T00:00:00"/>
    <d v="2022-12-31T00:00:00"/>
    <d v="2021-12-31T00:00:00"/>
    <d v="2020-11-30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1781567793276"/>
    <m/>
    <m/>
    <s v="Moderate"/>
    <s v="Moderate"/>
    <s v="High"/>
    <s v="Moderate"/>
    <s v="Moderate"/>
    <m/>
    <m/>
    <m/>
    <m/>
    <m/>
    <s v="Zurich"/>
    <s v="Switzerland"/>
  </r>
  <r>
    <n v="255"/>
    <s v="AmFunds Management Berhad"/>
    <n v="1.2999999999999999E-5"/>
    <n v="1.1E-5"/>
    <n v="3.0000000000000001E-6"/>
    <n v="1.9999999999999999E-6"/>
    <n v="0"/>
    <n v="0"/>
    <n v="0"/>
    <n v="9.9999999999999995E-7"/>
    <n v="1.9999999999999999E-6"/>
    <n v="9.9999999999999995E-7"/>
    <n v="0"/>
    <n v="1176000"/>
    <n v="1008000"/>
    <n v="280000"/>
    <n v="160000"/>
    <n v="25200"/>
    <n v="0"/>
    <n v="20800"/>
    <n v="59800"/>
    <n v="171600"/>
    <n v="82800"/>
    <n v="0"/>
    <n v="168000"/>
    <n v="728000"/>
    <n v="120000"/>
    <n v="134800"/>
    <n v="25200"/>
    <n v="-20800"/>
    <n v="-39000"/>
    <n v="-111800"/>
    <n v="88800"/>
    <n v="82800"/>
    <n v="-491600"/>
    <n v="5749862475.6000004"/>
    <n v="6189431371.1999998"/>
    <n v="1694000063.3499999"/>
    <n v="794000067.85000002"/>
    <n v="88421962.5"/>
    <n v="0"/>
    <n v="72539988"/>
    <n v="221260039"/>
    <n v="634920018.60000002"/>
    <n v="232357566.34999999"/>
    <n v="0"/>
    <d v="2025-06-30T00:00:00"/>
    <d v="2024-11-30T00:00:00"/>
    <d v="2023-12-31T00:00:00"/>
    <d v="2022-12-31T00:00:00"/>
    <d v="2021-12-31T00:00:00"/>
    <d v="2020-11-30T00:00:00"/>
    <d v="2019-11-30T00:00:00"/>
    <d v="2018-11-30T00:00:00"/>
    <d v="2017-11-30T00:00:00"/>
    <d v="2016-08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276075676552"/>
    <m/>
    <s v="Low"/>
    <s v="Moderate"/>
    <s v="Moderate"/>
    <s v="Low"/>
    <s v="Moderate"/>
    <s v="Low"/>
    <s v="Moderate"/>
    <s v="Low"/>
    <s v="Moderate"/>
    <s v="Low"/>
    <s v="Low"/>
    <s v="Kuala Lumpur"/>
    <s v="Malaysia"/>
  </r>
  <r>
    <n v="256"/>
    <s v="Stefnir hf."/>
    <n v="1.2999999999999999E-5"/>
    <n v="1.2999999999999999E-5"/>
    <n v="1.0000000000000001E-5"/>
    <n v="3.9999999999999998E-6"/>
    <m/>
    <m/>
    <m/>
    <m/>
    <m/>
    <m/>
    <m/>
    <n v="1170260"/>
    <n v="1170260"/>
    <n v="907860"/>
    <n v="386660"/>
    <m/>
    <m/>
    <m/>
    <m/>
    <m/>
    <m/>
    <m/>
    <n v="0"/>
    <n v="262400"/>
    <n v="521200"/>
    <n v="386660"/>
    <m/>
    <m/>
    <m/>
    <m/>
    <m/>
    <m/>
    <m/>
    <n v="8104050430.9499998"/>
    <n v="8104050430.9499998"/>
    <n v="5492552972.3999996"/>
    <n v="1918800279"/>
    <m/>
    <m/>
    <m/>
    <m/>
    <m/>
    <m/>
    <m/>
    <d v="2024-09-30T00:00:00"/>
    <d v="2024-09-30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6090554696033.6"/>
    <m/>
    <s v="Low"/>
    <s v="Low"/>
    <s v="Low"/>
    <s v="Moderate"/>
    <m/>
    <m/>
    <m/>
    <m/>
    <m/>
    <m/>
    <m/>
    <s v="Reykjavík"/>
    <s v="Iceland"/>
  </r>
  <r>
    <n v="257"/>
    <s v="Nomura Asset Management U.S.A. Inc."/>
    <n v="1.2E-5"/>
    <n v="1.2E-5"/>
    <n v="1.2E-5"/>
    <n v="2.1999999999999999E-5"/>
    <n v="0"/>
    <n v="2.0000000000000002E-5"/>
    <n v="0"/>
    <m/>
    <m/>
    <n v="0"/>
    <n v="0"/>
    <n v="1140900"/>
    <n v="1140900"/>
    <n v="1075500"/>
    <n v="2023200"/>
    <n v="0"/>
    <n v="1869200"/>
    <n v="0"/>
    <m/>
    <m/>
    <n v="0"/>
    <n v="0"/>
    <n v="0"/>
    <n v="65400"/>
    <n v="-947700"/>
    <n v="2023200"/>
    <n v="-1869200"/>
    <n v="1869200"/>
    <n v="0"/>
    <m/>
    <m/>
    <n v="0"/>
    <n v="0"/>
    <n v="7900732440.8999996"/>
    <n v="7900732440.8999996"/>
    <n v="6506774956.6000004"/>
    <n v="10040129938.85"/>
    <n v="0"/>
    <n v="5911345018.8000002"/>
    <n v="0"/>
    <m/>
    <m/>
    <n v="0"/>
    <n v="0"/>
    <d v="2024-09-30T00:00:00"/>
    <d v="2024-09-30T00:00:00"/>
    <d v="2023-12-31T00:00:00"/>
    <d v="2022-12-31T00:00:00"/>
    <d v="2021-04-30T00:00:00"/>
    <d v="2020-12-31T00:00:00"/>
    <d v="2019-10-31T00:00:00"/>
    <m/>
    <m/>
    <d v="2015-06-30T00:00:00"/>
    <d v="2015-06-30T00:00:00"/>
    <s v="Aggregate MFs"/>
    <s v="Aggregate MFs"/>
    <s v="Aggregate MFs"/>
    <s v="Aggregate MFs"/>
    <s v="Aggregate MFs"/>
    <s v="Aggregate MFs"/>
    <s v="Aggregate MFs"/>
    <m/>
    <m/>
    <s v="Aggregate MFs"/>
    <s v="Aggregate MFs"/>
    <s v="Investment Managers"/>
    <s v="Investment Advisor/Hedge Fund"/>
    <n v="8199841616756.4004"/>
    <s v="Core Value"/>
    <s v="Low"/>
    <s v="Moderate"/>
    <s v="Moderate"/>
    <s v="Moderate"/>
    <s v="Moderate"/>
    <s v="Low"/>
    <s v="Low"/>
    <m/>
    <m/>
    <s v="Moderate"/>
    <s v="Low"/>
    <s v="New York"/>
    <s v="United States"/>
  </r>
  <r>
    <n v="258"/>
    <s v="Sumitomo Mitsui DS Asset Management Company, Limited"/>
    <n v="1.2E-5"/>
    <n v="1.2E-5"/>
    <n v="1.1E-5"/>
    <n v="7.9999999999999996E-6"/>
    <n v="5.0000000000000004E-6"/>
    <n v="3.9999999999999998E-6"/>
    <n v="3.0000000000000001E-6"/>
    <n v="9.9999999999999995E-7"/>
    <n v="6.9999999999999999E-6"/>
    <n v="6.9999999999999999E-6"/>
    <n v="4.1E-5"/>
    <n v="1101059"/>
    <n v="1101059"/>
    <n v="1014808"/>
    <n v="722348"/>
    <n v="483026"/>
    <n v="357698"/>
    <n v="259170"/>
    <n v="88136"/>
    <n v="678000"/>
    <n v="678000"/>
    <n v="3782000"/>
    <n v="0"/>
    <n v="86251"/>
    <n v="292460"/>
    <n v="239322"/>
    <n v="125328"/>
    <n v="98528"/>
    <n v="171034"/>
    <n v="-589864"/>
    <n v="0"/>
    <n v="-3104000"/>
    <n v="0"/>
    <n v="6260472581"/>
    <n v="6260472581"/>
    <n v="6139588349.75"/>
    <n v="3584651875.1999998"/>
    <n v="1694844840"/>
    <n v="1131219928.8"/>
    <n v="991706984.39999998"/>
    <n v="326103206"/>
    <n v="1711949994.5799999"/>
    <n v="1711949994.5799999"/>
    <n v="9502275037.2000008"/>
    <d v="2024-12-31T00:00:00"/>
    <d v="2024-12-31T00:00:00"/>
    <d v="2023-12-31T00:00:00"/>
    <d v="2022-12-31T00:00:00"/>
    <d v="2021-12-31T00:00:00"/>
    <d v="2020-12-31T00:00:00"/>
    <d v="2019-12-31T00:00:00"/>
    <d v="2018-11-30T00:00:00"/>
    <d v="2016-07-31T00:00:00"/>
    <d v="2016-07-31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433788454483732"/>
    <s v="GARP"/>
    <s v="Low"/>
    <s v="Low"/>
    <s v="Low"/>
    <s v="Low"/>
    <s v="Low"/>
    <s v="Moderate"/>
    <s v="Moderate"/>
    <s v="Moderate"/>
    <s v="Moderate"/>
    <s v="High"/>
    <s v="Moderate"/>
    <s v="Minato-ku (Tokyo)"/>
    <s v="Japan"/>
  </r>
  <r>
    <n v="259"/>
    <s v="Azimut Investment Management Singapore Ltd."/>
    <n v="1.2E-5"/>
    <n v="2.6999999999999999E-5"/>
    <n v="2.6999999999999999E-5"/>
    <n v="1.2E-5"/>
    <n v="6.8999999999999997E-5"/>
    <n v="1.2999999999999999E-5"/>
    <n v="0"/>
    <m/>
    <m/>
    <m/>
    <m/>
    <n v="1100000"/>
    <n v="2514400"/>
    <n v="2514400"/>
    <n v="1122400"/>
    <n v="6340000"/>
    <n v="1244000"/>
    <n v="0"/>
    <m/>
    <m/>
    <m/>
    <m/>
    <n v="-1414400"/>
    <n v="0"/>
    <n v="1392000"/>
    <n v="-5217600"/>
    <n v="5096000"/>
    <n v="1244000"/>
    <n v="0"/>
    <m/>
    <m/>
    <m/>
    <m/>
    <n v="4838547806.3999996"/>
    <n v="14296538608.5"/>
    <n v="15212120023.9"/>
    <n v="5569910034.6999998"/>
    <n v="22245833317.5"/>
    <n v="3934150058.4000001"/>
    <n v="0"/>
    <m/>
    <m/>
    <m/>
    <m/>
    <d v="2025-09-30T00:00:00"/>
    <d v="2024-12-31T00:00:00"/>
    <d v="2023-12-31T00:00:00"/>
    <d v="2022-12-31T00:00:00"/>
    <d v="2021-12-31T00:00:00"/>
    <d v="2020-11-30T00:00:00"/>
    <d v="2019-11-30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284758589271.59998"/>
    <m/>
    <s v="Low"/>
    <s v="Low"/>
    <s v="Moderate"/>
    <s v="High"/>
    <s v="Low"/>
    <s v="High"/>
    <s v="High"/>
    <m/>
    <m/>
    <m/>
    <m/>
    <s v="Singapore"/>
    <s v="Singapore"/>
  </r>
  <r>
    <n v="260"/>
    <s v="Seligson &amp; Co Rahastoyhtiö Oyj"/>
    <n v="1.2E-5"/>
    <n v="6.9999999999999999E-6"/>
    <m/>
    <m/>
    <m/>
    <m/>
    <m/>
    <m/>
    <m/>
    <m/>
    <m/>
    <n v="1083900"/>
    <n v="635300"/>
    <m/>
    <m/>
    <m/>
    <m/>
    <m/>
    <m/>
    <m/>
    <m/>
    <m/>
    <n v="448600"/>
    <n v="635300"/>
    <m/>
    <m/>
    <m/>
    <m/>
    <m/>
    <m/>
    <m/>
    <m/>
    <m/>
    <n v="5172342337.0500002"/>
    <n v="3612229939.5"/>
    <m/>
    <m/>
    <m/>
    <m/>
    <m/>
    <m/>
    <m/>
    <m/>
    <m/>
    <d v="2025-08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59934024663783.602"/>
    <s v="GARP"/>
    <s v="Low"/>
    <s v="Low"/>
    <m/>
    <m/>
    <m/>
    <m/>
    <m/>
    <m/>
    <m/>
    <m/>
    <m/>
    <s v="Helsinki"/>
    <s v="Finland"/>
  </r>
  <r>
    <n v="261"/>
    <s v="Mitsubishi UFJ Asset Management Co., Ltd."/>
    <n v="1.1E-5"/>
    <n v="1.0000000000000001E-5"/>
    <n v="1.1E-5"/>
    <n v="2.4000000000000001E-5"/>
    <n v="3.1000000000000001E-5"/>
    <n v="2.9E-5"/>
    <n v="1.4E-5"/>
    <n v="4.8999999999999998E-5"/>
    <n v="4.6E-5"/>
    <n v="1.54E-4"/>
    <n v="1.4200000000000001E-4"/>
    <n v="1046712"/>
    <n v="961479"/>
    <n v="972093"/>
    <n v="2256402"/>
    <n v="2818954"/>
    <n v="2706352"/>
    <n v="1286046"/>
    <n v="4542746"/>
    <n v="4279916"/>
    <n v="14254104"/>
    <n v="13117224"/>
    <n v="85233"/>
    <n v="-10614"/>
    <n v="-1284309"/>
    <n v="-562552"/>
    <n v="112602"/>
    <n v="1420306"/>
    <n v="-3256700"/>
    <n v="262830"/>
    <n v="-9974188"/>
    <n v="1136880"/>
    <n v="0"/>
    <n v="4994882136.3000002"/>
    <n v="5466839606.1000004"/>
    <n v="5881162645.4499998"/>
    <n v="11197395004.4"/>
    <n v="9891164115"/>
    <n v="8558838194.3999996"/>
    <n v="4935201585.8000002"/>
    <n v="16013179701.9"/>
    <n v="13481735448.719999"/>
    <n v="32160822136.299999"/>
    <n v="31235389695"/>
    <d v="2025-08-31T00:00:00"/>
    <d v="2024-12-31T00:00:00"/>
    <d v="2023-12-31T00:00:00"/>
    <d v="2022-12-31T00:00:00"/>
    <d v="2021-12-31T00:00:00"/>
    <d v="2020-12-31T00:00:00"/>
    <d v="2019-05-31T00:00:00"/>
    <d v="2018-05-31T00:00:00"/>
    <d v="2017-05-31T00:00:00"/>
    <d v="2016-05-31T00:00:00"/>
    <d v="2015-07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178214026918170"/>
    <s v="Core Growth"/>
    <s v="Low"/>
    <s v="Low"/>
    <s v="Low"/>
    <s v="Low"/>
    <s v="Low"/>
    <s v="Low"/>
    <s v="Low"/>
    <s v="Low"/>
    <s v="Low"/>
    <s v="Low"/>
    <s v="Low"/>
    <s v="Minato-ku (Tokyo)"/>
    <s v="Japan"/>
  </r>
  <r>
    <n v="262"/>
    <s v="Harding Loevner LP"/>
    <n v="1.1E-5"/>
    <n v="2.8E-5"/>
    <n v="6.3E-5"/>
    <n v="5.7000000000000003E-5"/>
    <n v="2.4000000000000001E-5"/>
    <n v="6.9999999999999999E-6"/>
    <n v="3.0000000000000001E-6"/>
    <m/>
    <m/>
    <m/>
    <m/>
    <n v="1017000"/>
    <n v="2542000"/>
    <n v="5818100"/>
    <n v="5282200"/>
    <n v="2182400"/>
    <n v="665000"/>
    <n v="304600"/>
    <m/>
    <m/>
    <m/>
    <m/>
    <n v="-1525000"/>
    <n v="-3276100"/>
    <n v="535900"/>
    <n v="3099800"/>
    <n v="1517400"/>
    <n v="360400"/>
    <n v="304600"/>
    <m/>
    <m/>
    <m/>
    <m/>
    <n v="4972457648.1000004"/>
    <n v="14453468401"/>
    <n v="35199505023.550003"/>
    <n v="26212917506.599998"/>
    <n v="7657619400"/>
    <n v="2103062551.2"/>
    <n v="1165543574.4000001"/>
    <m/>
    <m/>
    <m/>
    <m/>
    <d v="2025-06-30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50239182798667"/>
    <s v="Growth"/>
    <s v="Low"/>
    <s v="Low"/>
    <s v="Low"/>
    <s v="Low"/>
    <s v="Low"/>
    <s v="Low"/>
    <s v="Low"/>
    <m/>
    <m/>
    <m/>
    <m/>
    <s v="Bridgewater"/>
    <s v="United States"/>
  </r>
  <r>
    <n v="263"/>
    <s v="Fuh Hwa Securities Investment Trust Co., Ltd."/>
    <n v="1.1E-5"/>
    <n v="1.4E-5"/>
    <n v="1.4E-5"/>
    <n v="1.4E-5"/>
    <n v="1.5E-5"/>
    <n v="1.5E-5"/>
    <n v="1.5999999999999999E-5"/>
    <n v="0"/>
    <n v="0"/>
    <n v="4.6E-5"/>
    <n v="3.8999999999999999E-5"/>
    <n v="1000000"/>
    <n v="1263361"/>
    <n v="1268072"/>
    <n v="1264820"/>
    <n v="1386400"/>
    <n v="1406628"/>
    <n v="1508246"/>
    <n v="0"/>
    <n v="0"/>
    <n v="4219880"/>
    <n v="3569740"/>
    <n v="-263361"/>
    <n v="-4711"/>
    <n v="3252"/>
    <n v="-121580"/>
    <n v="-20228"/>
    <n v="-101618"/>
    <n v="1508246"/>
    <n v="0"/>
    <n v="-4219880"/>
    <n v="650140"/>
    <n v="-704856"/>
    <n v="4398679824"/>
    <n v="7183299889.1000004"/>
    <n v="7671835611.3000002"/>
    <n v="6276669211.4499998"/>
    <n v="4864609425"/>
    <n v="4448460978"/>
    <n v="5771262082.3999996"/>
    <n v="0"/>
    <n v="0"/>
    <n v="12211277800.200001"/>
    <n v="8258019079.0500002"/>
    <d v="2025-09-30T00:00:00"/>
    <d v="2024-12-31T00:00:00"/>
    <d v="2023-12-31T00:00:00"/>
    <d v="2022-12-31T00:00:00"/>
    <d v="2021-12-31T00:00:00"/>
    <d v="2020-12-31T00:00:00"/>
    <d v="2019-12-31T00:00:00"/>
    <d v="2017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99835068231876"/>
    <s v="Core Value"/>
    <s v="Low"/>
    <s v="Moderate"/>
    <s v="High"/>
    <s v="High"/>
    <s v="High"/>
    <s v="High"/>
    <s v="High"/>
    <s v="High"/>
    <s v="High"/>
    <s v="Moderate"/>
    <s v="Moderate"/>
    <s v="Taipei"/>
    <s v="Taiwan"/>
  </r>
  <r>
    <n v="264"/>
    <s v="Numeric Investors LLC"/>
    <n v="1.1E-5"/>
    <n v="7.9999999999999996E-6"/>
    <n v="8.2000000000000001E-5"/>
    <n v="0"/>
    <n v="0"/>
    <n v="1.7E-5"/>
    <m/>
    <m/>
    <m/>
    <m/>
    <m/>
    <n v="988558"/>
    <n v="755058"/>
    <n v="7590360"/>
    <n v="0"/>
    <n v="0"/>
    <n v="1570094"/>
    <m/>
    <m/>
    <m/>
    <m/>
    <m/>
    <n v="233500"/>
    <n v="-6835302"/>
    <n v="7590360"/>
    <n v="0"/>
    <n v="-1570094"/>
    <n v="1570094"/>
    <m/>
    <m/>
    <m/>
    <m/>
    <m/>
    <n v="4717372822.0500002"/>
    <n v="4293157774.0999999"/>
    <n v="45921677915.949997"/>
    <n v="0"/>
    <n v="0"/>
    <n v="4965422202"/>
    <m/>
    <m/>
    <m/>
    <m/>
    <m/>
    <d v="2025-08-31T00:00:00"/>
    <d v="2024-12-31T00:00:00"/>
    <d v="2023-12-31T00:00:00"/>
    <d v="2021-06-30T00:00:00"/>
    <d v="2021-06-30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555798326405870"/>
    <s v="Core Value"/>
    <s v="Moderate"/>
    <s v="High"/>
    <s v="High"/>
    <s v="High"/>
    <s v="High"/>
    <s v="High"/>
    <m/>
    <m/>
    <m/>
    <m/>
    <m/>
    <s v="Boston"/>
    <s v="United States"/>
  </r>
  <r>
    <n v="265"/>
    <s v="SBI Asset Management Co., Ltd."/>
    <n v="1.1E-5"/>
    <n v="1.1E-5"/>
    <n v="1.5E-5"/>
    <n v="1.5E-5"/>
    <n v="1.8E-5"/>
    <n v="2.9E-5"/>
    <m/>
    <m/>
    <m/>
    <m/>
    <m/>
    <n v="973700"/>
    <n v="1028800"/>
    <n v="1396800"/>
    <n v="1382600"/>
    <n v="1663000"/>
    <n v="2673400"/>
    <m/>
    <m/>
    <m/>
    <m/>
    <m/>
    <n v="-55100"/>
    <n v="-368000"/>
    <n v="14200"/>
    <n v="-280400"/>
    <n v="-1010400"/>
    <n v="2673400"/>
    <m/>
    <m/>
    <m/>
    <m/>
    <m/>
    <n v="4715924616.8000002"/>
    <n v="7098720074.6999998"/>
    <n v="7228439946.3500004"/>
    <n v="6187134944.25"/>
    <n v="5134512530.3999996"/>
    <n v="5961682062.75"/>
    <m/>
    <m/>
    <m/>
    <m/>
    <m/>
    <d v="2025-04-30T00:00:00"/>
    <d v="2024-04-30T00:00:00"/>
    <d v="2023-04-30T00:00:00"/>
    <d v="2022-04-30T00:00:00"/>
    <d v="2021-04-30T00:00:00"/>
    <d v="2020-04-30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748489037529960"/>
    <m/>
    <s v="Low"/>
    <s v="Low"/>
    <s v="Low"/>
    <s v="Low"/>
    <s v="Moderate"/>
    <s v="Moderate"/>
    <m/>
    <m/>
    <m/>
    <m/>
    <m/>
    <s v="Minato-ku (Tokyo)"/>
    <s v="Japan"/>
  </r>
  <r>
    <n v="266"/>
    <s v="Man Investments Inc"/>
    <n v="1.0000000000000001E-5"/>
    <n v="6.9999999999999999E-6"/>
    <n v="1.1E-5"/>
    <m/>
    <m/>
    <m/>
    <m/>
    <m/>
    <m/>
    <m/>
    <m/>
    <n v="957162"/>
    <n v="620885"/>
    <n v="1027837"/>
    <m/>
    <m/>
    <m/>
    <m/>
    <m/>
    <m/>
    <m/>
    <m/>
    <n v="336277"/>
    <n v="-406952"/>
    <n v="1027837"/>
    <m/>
    <m/>
    <m/>
    <m/>
    <m/>
    <m/>
    <m/>
    <m/>
    <n v="4567551866.8500004"/>
    <n v="3812425689.5999999"/>
    <n v="6218413828.75"/>
    <m/>
    <m/>
    <m/>
    <m/>
    <m/>
    <m/>
    <m/>
    <m/>
    <d v="2025-08-31T00:00:00"/>
    <d v="2024-11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Hedge Fund"/>
    <n v="4473748456855.2002"/>
    <s v="Hedge Fund"/>
    <s v="Low"/>
    <s v="High"/>
    <s v="High"/>
    <m/>
    <m/>
    <m/>
    <m/>
    <m/>
    <m/>
    <m/>
    <m/>
    <s v="New York"/>
    <s v="United States"/>
  </r>
  <r>
    <n v="267"/>
    <s v="Sabadell Asset Management, S.A., S.G.I.I.C., Sociedad Unipersonal"/>
    <n v="1.0000000000000001E-5"/>
    <n v="1.0000000000000001E-5"/>
    <n v="1.2999999999999999E-5"/>
    <n v="2.5000000000000001E-5"/>
    <n v="4.0000000000000003E-5"/>
    <n v="6.7000000000000002E-5"/>
    <m/>
    <m/>
    <m/>
    <m/>
    <n v="0"/>
    <n v="907911"/>
    <n v="899843"/>
    <n v="1242234"/>
    <n v="2302502"/>
    <n v="3654324"/>
    <n v="6191436"/>
    <m/>
    <m/>
    <m/>
    <m/>
    <n v="0"/>
    <n v="8068"/>
    <n v="-342391"/>
    <n v="-1060268"/>
    <n v="-1351822"/>
    <n v="-2537112"/>
    <n v="6191436"/>
    <m/>
    <m/>
    <m/>
    <m/>
    <n v="0"/>
    <n v="4439084503.8000002"/>
    <n v="5116385729.6000004"/>
    <n v="7515515705"/>
    <n v="11426166261.4"/>
    <n v="12822315870"/>
    <n v="19580416362"/>
    <m/>
    <m/>
    <m/>
    <m/>
    <n v="0"/>
    <d v="2025-06-30T00:00:00"/>
    <d v="2024-12-31T00:00:00"/>
    <d v="2023-12-31T00:00:00"/>
    <d v="2022-12-31T00:00:00"/>
    <d v="2021-12-31T00:00:00"/>
    <d v="2020-12-31T00:00:00"/>
    <m/>
    <m/>
    <m/>
    <m/>
    <d v="2014-12-31T00:00:00"/>
    <s v="Aggregate MFs"/>
    <s v="Aggregate MFs"/>
    <s v="Aggregate MFs"/>
    <s v="Aggregate MFs"/>
    <s v="Aggregate MFs"/>
    <s v="Aggregate MFs"/>
    <m/>
    <m/>
    <m/>
    <m/>
    <s v="Aggregate MFs"/>
    <s v="Investment Managers"/>
    <s v="Investment Advisor"/>
    <n v="68837233748052"/>
    <s v="Growth"/>
    <s v="Low"/>
    <s v="Low"/>
    <s v="Moderate"/>
    <s v="Moderate"/>
    <s v="Moderate"/>
    <s v="Moderate"/>
    <m/>
    <m/>
    <m/>
    <m/>
    <s v="Moderate"/>
    <s v="Sant Cugat del Vallés"/>
    <s v="Spain"/>
  </r>
  <r>
    <n v="268"/>
    <s v="Grantham Mayo Van Otterloo &amp; Co LLC"/>
    <n v="1.0000000000000001E-5"/>
    <n v="8.2999999999999998E-5"/>
    <n v="7.6000000000000004E-5"/>
    <n v="1.76E-4"/>
    <n v="3.68E-4"/>
    <n v="4.0099999999999999E-4"/>
    <n v="0"/>
    <n v="2.52E-4"/>
    <n v="4.3600000000000003E-4"/>
    <n v="4.2200000000000001E-4"/>
    <n v="5.5699999999999999E-4"/>
    <n v="890820"/>
    <n v="7648412"/>
    <n v="7043212"/>
    <n v="16277512"/>
    <n v="34004400"/>
    <n v="37047200"/>
    <n v="0"/>
    <n v="23288200"/>
    <n v="40303200"/>
    <n v="38970000"/>
    <n v="51430288"/>
    <n v="-6757592"/>
    <n v="605200"/>
    <n v="-9234300"/>
    <n v="-17726888"/>
    <n v="-3042800"/>
    <n v="37047200"/>
    <n v="-23288200"/>
    <n v="-17015000"/>
    <n v="1333200"/>
    <n v="-12460288"/>
    <n v="0"/>
    <n v="4725698877.6999998"/>
    <n v="46963611921.599998"/>
    <n v="41202790241.550003"/>
    <n v="85660406874.899994"/>
    <n v="119314860405"/>
    <n v="117161769816"/>
    <n v="0"/>
    <n v="86166339974"/>
    <n v="149121840036.12"/>
    <n v="102296250062.5"/>
    <n v="109289362061.7"/>
    <d v="2025-05-31T00:00:00"/>
    <d v="2024-11-30T00:00:00"/>
    <d v="2023-11-30T00:00:00"/>
    <d v="2022-11-30T00:00:00"/>
    <d v="2021-12-31T00:00:00"/>
    <d v="2020-12-31T00:00:00"/>
    <d v="2019-02-28T00:00:00"/>
    <d v="2018-11-30T00:00:00"/>
    <d v="2017-11-30T00:00:00"/>
    <d v="2016-11-30T00:00:00"/>
    <d v="2015-11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801210466668361"/>
    <s v="Core Value"/>
    <s v="Low"/>
    <s v="Low"/>
    <s v="Low"/>
    <s v="Low"/>
    <s v="Moderate"/>
    <s v="Moderate"/>
    <s v="Moderate"/>
    <s v="Moderate"/>
    <s v="Moderate"/>
    <s v="Moderate"/>
    <s v="Moderate"/>
    <s v="Boston"/>
    <s v="United States"/>
  </r>
  <r>
    <n v="269"/>
    <s v="Amundi Ireland Limited"/>
    <n v="9.0000000000000002E-6"/>
    <n v="9.0000000000000002E-6"/>
    <n v="1.8E-5"/>
    <n v="2.6999999999999999E-5"/>
    <n v="2.6999999999999999E-5"/>
    <n v="3.6999999999999998E-5"/>
    <n v="1.9999999999999999E-6"/>
    <n v="5.0000000000000004E-6"/>
    <n v="5.0000000000000004E-6"/>
    <n v="6.7000000000000002E-5"/>
    <n v="1.2999999999999999E-5"/>
    <n v="847900"/>
    <n v="847900"/>
    <n v="1620800"/>
    <n v="2537000"/>
    <n v="2458000"/>
    <n v="3405200"/>
    <n v="216800"/>
    <n v="483200"/>
    <n v="483200"/>
    <n v="6193600"/>
    <n v="1226800"/>
    <n v="0"/>
    <n v="-772900"/>
    <n v="-916200"/>
    <n v="79000"/>
    <n v="-947200"/>
    <n v="3188400"/>
    <n v="-266400"/>
    <n v="0"/>
    <n v="-5710400"/>
    <n v="4966800"/>
    <n v="-4760800"/>
    <n v="5002610061.6000004"/>
    <n v="5002610061.6000004"/>
    <n v="9805840015.7000008"/>
    <n v="12589862473.65"/>
    <n v="8624646487.5"/>
    <n v="10768944934.799999"/>
    <n v="829579284.79999995"/>
    <n v="1624760070"/>
    <n v="1932799936.45"/>
    <n v="15638839958.91"/>
    <n v="2838004381.9499998"/>
    <d v="2024-05-31T00:00:00"/>
    <d v="2024-05-31T00:00:00"/>
    <d v="2023-12-31T00:00:00"/>
    <d v="2022-12-31T00:00:00"/>
    <d v="2021-12-31T00:00:00"/>
    <d v="2020-12-31T00:00:00"/>
    <d v="2019-12-31T00:00:00"/>
    <d v="2018-09-30T00:00:00"/>
    <d v="2017-12-31T00:00:00"/>
    <d v="2016-07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363096165040910"/>
    <s v="GARP"/>
    <s v="Low"/>
    <s v="Low"/>
    <s v="Moderate"/>
    <s v="Moderate"/>
    <s v="Moderate"/>
    <s v="Moderate"/>
    <s v="High"/>
    <s v="Moderate"/>
    <s v="Moderate"/>
    <s v="High"/>
    <s v="High"/>
    <s v="Dublin"/>
    <s v="Ireland"/>
  </r>
  <r>
    <n v="270"/>
    <s v="ID-Sparinvest A/S"/>
    <n v="9.0000000000000002E-6"/>
    <n v="9.0000000000000002E-6"/>
    <n v="9.0000000000000002E-6"/>
    <m/>
    <n v="9.0000000000000002E-6"/>
    <n v="9.0000000000000002E-6"/>
    <n v="1.0000000000000001E-5"/>
    <n v="1.0000000000000001E-5"/>
    <n v="1.0000000000000001E-5"/>
    <n v="6.9999999999999999E-6"/>
    <n v="6.9999999999999999E-6"/>
    <n v="826800"/>
    <n v="826800"/>
    <n v="826800"/>
    <m/>
    <n v="826800"/>
    <n v="826800"/>
    <n v="960800"/>
    <n v="960800"/>
    <n v="960800"/>
    <n v="640000"/>
    <n v="640000"/>
    <n v="0"/>
    <n v="0"/>
    <n v="826800"/>
    <m/>
    <n v="0"/>
    <n v="-134000"/>
    <n v="0"/>
    <n v="0"/>
    <n v="320800"/>
    <n v="0"/>
    <n v="0"/>
    <n v="5725590024.1499996"/>
    <n v="5725590024.1499996"/>
    <n v="5002140013.1000004"/>
    <m/>
    <n v="2614754990.6999998"/>
    <n v="2614754990.6999998"/>
    <n v="3831190044.8400002"/>
    <n v="3499134756.25"/>
    <n v="3554960023.4400001"/>
    <n v="1527999949.1199999"/>
    <n v="1391999993.25"/>
    <d v="2024-09-30T00:00:00"/>
    <d v="2024-09-30T00:00:00"/>
    <d v="2023-12-31T00:00:00"/>
    <m/>
    <d v="2020-11-30T00:00:00"/>
    <d v="2020-11-30T00:00:00"/>
    <d v="2019-07-31T00:00:00"/>
    <d v="2018-12-31T00:00:00"/>
    <d v="2017-11-30T00:00:00"/>
    <d v="2016-02-29T00:00:00"/>
    <d v="2015-10-31T00:00:00"/>
    <s v="Aggregate MFs"/>
    <s v="Aggregate MFs"/>
    <s v="Aggregate MFs"/>
    <m/>
    <s v="Aggregate MFs"/>
    <s v="Aggregate MFs"/>
    <s v="Aggregate MFs"/>
    <s v="Aggregate MFs"/>
    <s v="Aggregate MFs"/>
    <s v="Aggregate MFs"/>
    <s v="Aggregate MFs"/>
    <s v="Investment Managers"/>
    <s v="Investment Advisor/Hedge Fund"/>
    <n v="42022296413025.602"/>
    <s v="Core Value"/>
    <s v="Low"/>
    <s v="Low"/>
    <s v="Low"/>
    <m/>
    <s v="Low"/>
    <s v="Moderate"/>
    <s v="Moderate"/>
    <s v="Moderate"/>
    <s v="High"/>
    <s v="Moderate"/>
    <s v="Low"/>
    <s v="Taastrup"/>
    <s v="Denmark"/>
  </r>
  <r>
    <n v="271"/>
    <s v="Sparinvest S.A."/>
    <n v="9.0000000000000002E-6"/>
    <n v="9.0000000000000002E-6"/>
    <m/>
    <n v="9.0000000000000002E-6"/>
    <n v="9.0000000000000002E-6"/>
    <n v="9.0000000000000002E-6"/>
    <m/>
    <m/>
    <m/>
    <m/>
    <m/>
    <n v="826800"/>
    <n v="826800"/>
    <m/>
    <n v="826800"/>
    <n v="826800"/>
    <n v="826800"/>
    <m/>
    <m/>
    <m/>
    <m/>
    <m/>
    <n v="0"/>
    <n v="826800"/>
    <m/>
    <n v="0"/>
    <n v="0"/>
    <n v="826800"/>
    <m/>
    <m/>
    <m/>
    <m/>
    <m/>
    <n v="3945467807.4000001"/>
    <n v="4701073063.1000004"/>
    <m/>
    <n v="2901081262.5"/>
    <n v="2901081262.5"/>
    <n v="2614754984.4000001"/>
    <m/>
    <m/>
    <m/>
    <m/>
    <m/>
    <d v="2025-08-31T00:00:00"/>
    <d v="2024-12-31T00:00:00"/>
    <m/>
    <d v="2021-12-31T00:00:00"/>
    <d v="2021-12-31T00:00:00"/>
    <d v="2020-12-31T00:00:00"/>
    <m/>
    <m/>
    <m/>
    <m/>
    <m/>
    <s v="Aggregate MFs"/>
    <s v="Aggregate MFs"/>
    <m/>
    <s v="Aggregate MFs"/>
    <s v="Aggregate MFs"/>
    <s v="Aggregate MFs"/>
    <m/>
    <m/>
    <m/>
    <m/>
    <m/>
    <s v="Investment Managers"/>
    <s v="Investment Advisor"/>
    <n v="83601609145056"/>
    <s v="Core Value"/>
    <s v="Low"/>
    <s v="Low"/>
    <m/>
    <s v="Moderate"/>
    <s v="Low"/>
    <s v="Moderate"/>
    <m/>
    <m/>
    <m/>
    <m/>
    <m/>
    <s v="Luxembourg"/>
    <s v="Luxembourg"/>
  </r>
  <r>
    <n v="272"/>
    <s v="CIBC Asset Management Inc."/>
    <n v="9.0000000000000002E-6"/>
    <n v="9.0000000000000002E-6"/>
    <n v="9.0000000000000002E-6"/>
    <n v="1.0000000000000001E-5"/>
    <n v="9.0000000000000002E-6"/>
    <n v="1.0000000000000001E-5"/>
    <n v="1.1E-5"/>
    <n v="1.2E-5"/>
    <n v="3.2899999999999997E-4"/>
    <n v="3.9199999999999999E-4"/>
    <n v="3.7500000000000001E-4"/>
    <n v="826534"/>
    <n v="810994"/>
    <n v="865434"/>
    <n v="965970"/>
    <n v="819144"/>
    <n v="943320"/>
    <n v="1019006"/>
    <n v="1071904"/>
    <n v="30430300"/>
    <n v="36212108"/>
    <n v="34650220"/>
    <n v="15540"/>
    <n v="-54440"/>
    <n v="-100536"/>
    <n v="146826"/>
    <n v="-124176"/>
    <n v="-75686"/>
    <n v="-52898"/>
    <n v="-29358396"/>
    <n v="-5781808"/>
    <n v="1561888"/>
    <n v="33349584"/>
    <n v="4041204755.4000001"/>
    <n v="4611202207.1999998"/>
    <n v="5235875678.25"/>
    <n v="4793626205.5"/>
    <n v="2874217875"/>
    <n v="2983249526.4000001"/>
    <n v="3899198609.1999998"/>
    <n v="3903764125"/>
    <n v="121721199993.7"/>
    <n v="104788787534.7"/>
    <n v="80157708077.100006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92167008961056"/>
    <s v="Core Value"/>
    <s v="Low"/>
    <s v="Low"/>
    <s v="Low"/>
    <s v="Low"/>
    <s v="Low"/>
    <s v="Low"/>
    <s v="Low"/>
    <s v="Low"/>
    <s v="Low"/>
    <s v="Low"/>
    <s v="Low"/>
    <s v="Toronto"/>
    <s v="Canada"/>
  </r>
  <r>
    <n v="273"/>
    <s v="Alquity Investment Management Ltd."/>
    <n v="9.0000000000000002E-6"/>
    <n v="3.1999999999999999E-5"/>
    <n v="1.4E-5"/>
    <n v="4.1999999999999998E-5"/>
    <n v="5.1E-5"/>
    <n v="4.1999999999999998E-5"/>
    <n v="8.7000000000000001E-5"/>
    <m/>
    <m/>
    <n v="0"/>
    <n v="0"/>
    <n v="824700"/>
    <n v="3000100"/>
    <n v="1277300"/>
    <n v="3861800"/>
    <n v="4711800"/>
    <n v="3847800"/>
    <n v="8057200"/>
    <m/>
    <m/>
    <n v="0"/>
    <n v="0"/>
    <n v="-2175400"/>
    <n v="1722800"/>
    <n v="-2584500"/>
    <n v="-850000"/>
    <n v="864000"/>
    <n v="-4209400"/>
    <n v="8057200"/>
    <m/>
    <m/>
    <n v="0"/>
    <n v="0"/>
    <n v="3627591216.1999998"/>
    <n v="17058163135.700001"/>
    <n v="7727664963"/>
    <n v="19164182580.950001"/>
    <n v="13899809933.75"/>
    <n v="12168667508.4"/>
    <n v="30830655882.799999"/>
    <m/>
    <m/>
    <n v="0"/>
    <n v="0"/>
    <d v="2025-09-30T00:00:00"/>
    <d v="2024-12-31T00:00:00"/>
    <d v="2023-12-31T00:00:00"/>
    <d v="2022-12-31T00:00:00"/>
    <d v="2021-06-30T00:00:00"/>
    <d v="2020-12-31T00:00:00"/>
    <d v="2019-12-31T00:00:00"/>
    <m/>
    <m/>
    <d v="2015-09-30T00:00:00"/>
    <d v="2015-09-30T00:00:00"/>
    <s v="Aggregate MFs"/>
    <s v="Aggregate MFs"/>
    <s v="Aggregate MFs"/>
    <s v="Aggregate MFs"/>
    <s v="Aggregate MFs"/>
    <s v="Aggregate MFs"/>
    <s v="Aggregate MFs"/>
    <m/>
    <m/>
    <s v="Aggregate MFs"/>
    <s v="Aggregate MFs"/>
    <s v="Investment Managers"/>
    <s v="Investment Advisor"/>
    <n v="3338674189474.7998"/>
    <m/>
    <s v="Low"/>
    <s v="Moderate"/>
    <s v="Moderate"/>
    <m/>
    <s v="Moderate"/>
    <s v="Moderate"/>
    <s v="Moderate"/>
    <m/>
    <m/>
    <s v="Moderate"/>
    <s v="Low"/>
    <s v="London"/>
    <s v="United Kingdom"/>
  </r>
  <r>
    <n v="274"/>
    <s v="T. Rowe Price Investment Management, Inc."/>
    <n v="9.0000000000000002E-6"/>
    <n v="9.0000000000000002E-6"/>
    <n v="6.0000000000000002E-6"/>
    <m/>
    <m/>
    <m/>
    <m/>
    <m/>
    <m/>
    <m/>
    <m/>
    <n v="812300"/>
    <n v="812300"/>
    <n v="518000"/>
    <m/>
    <m/>
    <m/>
    <m/>
    <m/>
    <m/>
    <m/>
    <m/>
    <n v="0"/>
    <n v="294300"/>
    <n v="518000"/>
    <m/>
    <m/>
    <m/>
    <m/>
    <m/>
    <m/>
    <m/>
    <m/>
    <n v="5625177472.0500002"/>
    <n v="5625177472.0500002"/>
    <n v="3133899955.5500002"/>
    <m/>
    <m/>
    <m/>
    <m/>
    <m/>
    <m/>
    <m/>
    <m/>
    <d v="2024-09-30T00:00:00"/>
    <d v="2024-09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3064097835541550"/>
    <s v="GARP"/>
    <s v="Low"/>
    <s v="Low"/>
    <s v="Low"/>
    <m/>
    <m/>
    <m/>
    <m/>
    <m/>
    <m/>
    <m/>
    <m/>
    <s v="Baltimore"/>
    <s v="United States"/>
  </r>
  <r>
    <n v="275"/>
    <s v="Man Investments, Ltd."/>
    <n v="9.0000000000000002E-6"/>
    <n v="5.0000000000000004E-6"/>
    <n v="6.0000000000000002E-6"/>
    <m/>
    <m/>
    <m/>
    <m/>
    <m/>
    <m/>
    <m/>
    <m/>
    <n v="787951"/>
    <n v="447331"/>
    <n v="585850"/>
    <m/>
    <m/>
    <m/>
    <m/>
    <m/>
    <m/>
    <m/>
    <m/>
    <n v="340620"/>
    <n v="-138519"/>
    <n v="585850"/>
    <m/>
    <m/>
    <m/>
    <m/>
    <m/>
    <m/>
    <m/>
    <m/>
    <n v="3760081453.8000002"/>
    <n v="2543463596.0999999"/>
    <n v="3544392543.4499998"/>
    <m/>
    <m/>
    <m/>
    <m/>
    <m/>
    <m/>
    <m/>
    <m/>
    <d v="2025-08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Hedge Fund"/>
    <n v="2532275483526"/>
    <s v="Hedge Fund"/>
    <s v="Moderate"/>
    <s v="High"/>
    <s v="High"/>
    <m/>
    <m/>
    <m/>
    <m/>
    <m/>
    <m/>
    <m/>
    <m/>
    <s v="London"/>
    <s v="United Kingdom"/>
  </r>
  <r>
    <n v="276"/>
    <s v="MLC Asset Management"/>
    <n v="7.9999999999999996E-6"/>
    <n v="2.1999999999999999E-5"/>
    <n v="1.4E-5"/>
    <n v="1.9999999999999999E-6"/>
    <n v="1.9999999999999999E-6"/>
    <n v="9.9999999999999995E-7"/>
    <m/>
    <n v="0"/>
    <n v="0"/>
    <n v="1.5E-5"/>
    <n v="1.5999999999999999E-5"/>
    <n v="756144"/>
    <n v="2065685"/>
    <n v="1248878"/>
    <n v="219442"/>
    <n v="174200"/>
    <n v="109366"/>
    <m/>
    <n v="0"/>
    <n v="0"/>
    <n v="1416476"/>
    <n v="1495248"/>
    <n v="-1309541"/>
    <n v="816807"/>
    <n v="1029436"/>
    <n v="45242"/>
    <n v="64834"/>
    <n v="109366"/>
    <m/>
    <n v="0"/>
    <n v="-1416476"/>
    <n v="-78772"/>
    <n v="0"/>
    <n v="3697044197.0999999"/>
    <n v="11745205715.200001"/>
    <n v="7087382632.3999996"/>
    <n v="932628508.20000005"/>
    <n v="535664942.10000002"/>
    <n v="345869907.10000002"/>
    <m/>
    <n v="0"/>
    <n v="0"/>
    <n v="4098927465.5999999"/>
    <n v="3252164432"/>
    <d v="2025-06-30T00:00:00"/>
    <d v="2024-12-31T00:00:00"/>
    <d v="2023-10-31T00:00:00"/>
    <d v="2022-05-31T00:00:00"/>
    <d v="2021-09-30T00:00:00"/>
    <d v="2020-11-30T00:00:00"/>
    <m/>
    <d v="2017-11-30T00:00:00"/>
    <d v="2017-11-30T00:00:00"/>
    <d v="2016-12-31T00:00:00"/>
    <d v="2015-10-31T00:00:00"/>
    <s v="Aggregate MFs"/>
    <s v="Aggregate MFs"/>
    <s v="Aggregate MFs"/>
    <s v="Aggregate MFs"/>
    <s v="Aggregate MFs"/>
    <s v="Aggregate MFs"/>
    <m/>
    <s v="Aggregate MFs"/>
    <s v="Aggregate MFs"/>
    <s v="Aggregate MFs"/>
    <s v="Aggregate MFs"/>
    <s v="Investment Managers"/>
    <s v="Investment Advisor"/>
    <n v="167274353894939"/>
    <m/>
    <s v="Low"/>
    <s v="Low"/>
    <s v="Low"/>
    <s v="Low"/>
    <s v="Low"/>
    <s v="Low"/>
    <m/>
    <s v="Low"/>
    <s v="Low"/>
    <m/>
    <m/>
    <s v="Sydney"/>
    <s v="Australia"/>
  </r>
  <r>
    <n v="277"/>
    <s v="Schroder Investment Management North America Inc."/>
    <n v="7.9999999999999996E-6"/>
    <n v="3.5100000000000002E-4"/>
    <n v="3.6699999999999998E-4"/>
    <n v="6.29E-4"/>
    <n v="2.3599999999999999E-4"/>
    <n v="0"/>
    <n v="0"/>
    <n v="0"/>
    <n v="0"/>
    <n v="6.9999999999999994E-5"/>
    <n v="0"/>
    <n v="736800"/>
    <n v="32399100"/>
    <n v="33926500"/>
    <n v="58139200"/>
    <n v="21790400"/>
    <n v="0"/>
    <n v="0"/>
    <n v="0"/>
    <n v="0"/>
    <n v="6505200"/>
    <n v="0"/>
    <n v="-31662300"/>
    <n v="-1527400"/>
    <n v="-24212700"/>
    <n v="36348800"/>
    <n v="21790400"/>
    <n v="0"/>
    <n v="0"/>
    <n v="0"/>
    <n v="-6505200"/>
    <n v="6505200"/>
    <n v="-2100000"/>
    <n v="3515990201.8499999"/>
    <n v="184216903628.20001"/>
    <n v="205255324810.95001"/>
    <n v="288515780228.5"/>
    <n v="76458297622.5"/>
    <n v="0"/>
    <n v="0"/>
    <n v="0"/>
    <n v="0"/>
    <n v="18824422522.799999"/>
    <n v="0"/>
    <d v="2025-08-31T00:00:00"/>
    <d v="2024-12-31T00:00:00"/>
    <d v="2023-12-31T00:00:00"/>
    <d v="2022-12-31T00:00:00"/>
    <d v="2021-12-31T00:00:00"/>
    <d v="2020-11-30T00:00:00"/>
    <d v="2019-12-31T00:00:00"/>
    <d v="2017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132917301303060"/>
    <s v="GARP"/>
    <s v="Low"/>
    <s v="Low"/>
    <s v="Low"/>
    <s v="Low"/>
    <s v="Low"/>
    <s v="Low"/>
    <s v="Low"/>
    <s v="Low"/>
    <s v="Moderate"/>
    <s v="Moderate"/>
    <s v="Moderate"/>
    <s v="New York"/>
    <s v="United States"/>
  </r>
  <r>
    <n v="278"/>
    <s v="UOB Asset Management (Malaysia) Berhad"/>
    <n v="7.9999999999999996E-6"/>
    <n v="0"/>
    <n v="1.9999999999999999E-6"/>
    <n v="3.0000000000000001E-6"/>
    <n v="2.4000000000000001E-5"/>
    <m/>
    <m/>
    <m/>
    <m/>
    <m/>
    <m/>
    <n v="736500"/>
    <n v="0"/>
    <n v="140000"/>
    <n v="240000"/>
    <n v="2240000"/>
    <m/>
    <m/>
    <m/>
    <m/>
    <m/>
    <m/>
    <n v="736500"/>
    <n v="-140000"/>
    <n v="-100000"/>
    <n v="-2000000"/>
    <n v="2240000"/>
    <m/>
    <m/>
    <m/>
    <m/>
    <m/>
    <m/>
    <n v="3414681884.25"/>
    <n v="0"/>
    <n v="839966133"/>
    <n v="1130999934.75"/>
    <n v="6888000013.1999998"/>
    <m/>
    <m/>
    <m/>
    <m/>
    <m/>
    <m/>
    <d v="2025-02-28T00:00:00"/>
    <d v="2024-03-31T00:00:00"/>
    <d v="2023-09-30T00:00:00"/>
    <d v="2022-09-30T00:00:00"/>
    <d v="2021-09-30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7452628691917.2002"/>
    <m/>
    <s v="Low"/>
    <s v="Moderate"/>
    <s v="Low"/>
    <s v="Low"/>
    <s v="Low"/>
    <m/>
    <m/>
    <m/>
    <m/>
    <m/>
    <m/>
    <s v="Kuala Lumpur"/>
    <s v="Malaysia"/>
  </r>
  <r>
    <n v="279"/>
    <s v="Avantis Investors_NLE"/>
    <n v="6.9999999999999999E-6"/>
    <n v="6.9999999999999999E-6"/>
    <n v="5.0000000000000004E-6"/>
    <n v="3.8000000000000002E-5"/>
    <n v="1.9000000000000001E-5"/>
    <n v="1.9000000000000001E-5"/>
    <n v="6.0000000000000002E-6"/>
    <m/>
    <m/>
    <m/>
    <m/>
    <n v="690600"/>
    <n v="655200"/>
    <n v="466000"/>
    <n v="3514000"/>
    <n v="1796600"/>
    <n v="1796600"/>
    <n v="550000"/>
    <m/>
    <m/>
    <m/>
    <m/>
    <n v="35400"/>
    <n v="189200"/>
    <n v="-3048000"/>
    <n v="1717400"/>
    <n v="0"/>
    <n v="1246600"/>
    <n v="550000"/>
    <m/>
    <m/>
    <m/>
    <m/>
    <n v="3586786765.0999999"/>
    <n v="3725378681.0999999"/>
    <n v="2819300051.5500002"/>
    <n v="17438225025.099998"/>
    <n v="4446584961"/>
    <n v="4446584961"/>
    <n v="2104559996.8"/>
    <m/>
    <m/>
    <m/>
    <m/>
    <d v="2025-03-31T00:00:00"/>
    <d v="2024-12-31T00:00:00"/>
    <d v="2023-12-31T00:00:00"/>
    <d v="2022-12-31T00:00:00"/>
    <d v="2020-06-30T00:00:00"/>
    <d v="2020-06-30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7561565784209.6"/>
    <m/>
    <s v="Low"/>
    <s v="Low"/>
    <s v="Moderate"/>
    <s v="Moderate"/>
    <s v="Moderate"/>
    <s v="Moderate"/>
    <m/>
    <m/>
    <m/>
    <m/>
    <m/>
    <s v="Los Angeles"/>
    <s v="United States"/>
  </r>
  <r>
    <n v="280"/>
    <s v="Krane Funds Advisors, LLC"/>
    <n v="6.9999999999999999E-6"/>
    <n v="1.0000000000000001E-5"/>
    <n v="6.9999999999999999E-6"/>
    <n v="3.0000000000000001E-6"/>
    <n v="3.9999999999999998E-6"/>
    <n v="0"/>
    <n v="0"/>
    <n v="0"/>
    <n v="9.9999999999999995E-7"/>
    <n v="9.9999999999999995E-7"/>
    <n v="0"/>
    <n v="670700"/>
    <n v="878500"/>
    <n v="665700"/>
    <n v="243600"/>
    <n v="324000"/>
    <n v="36000"/>
    <n v="36000"/>
    <n v="0"/>
    <n v="50888"/>
    <n v="50888"/>
    <n v="34488"/>
    <n v="-207800"/>
    <n v="212800"/>
    <n v="422100"/>
    <n v="-80400"/>
    <n v="288000"/>
    <n v="0"/>
    <n v="36000"/>
    <n v="-50888"/>
    <n v="0"/>
    <n v="16400"/>
    <n v="56"/>
    <n v="2950194616.5999999"/>
    <n v="4995032214.3000002"/>
    <n v="4027485026.3000002"/>
    <n v="1208865064"/>
    <n v="1136853315"/>
    <n v="113849938.8"/>
    <n v="137753031.59999999"/>
    <n v="0"/>
    <n v="203552049.19999999"/>
    <n v="147257138.09999999"/>
    <n v="79782479.549999997"/>
    <d v="2025-09-30T00:00:00"/>
    <d v="2024-12-31T00:00:00"/>
    <d v="2023-12-31T00:00:00"/>
    <d v="2022-12-31T00:00:00"/>
    <d v="2021-12-31T00:00:00"/>
    <d v="2020-12-31T00:00:00"/>
    <d v="2019-12-31T00:00:00"/>
    <d v="2018-08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44695627035452"/>
    <s v="Index"/>
    <s v="Moderate"/>
    <s v="Moderate"/>
    <s v="Low"/>
    <s v="Moderate"/>
    <s v="Moderate"/>
    <s v="Moderate"/>
    <s v="Low"/>
    <s v="Moderate"/>
    <s v="Moderate"/>
    <s v="Moderate"/>
    <s v="High"/>
    <s v="New York"/>
    <s v="United States"/>
  </r>
  <r>
    <n v="281"/>
    <s v="DBX Advisors LLC."/>
    <n v="6.9999999999999999E-6"/>
    <n v="7.9999999999999996E-6"/>
    <n v="6.9999999999999994E-5"/>
    <n v="5.1E-5"/>
    <n v="3.4E-5"/>
    <n v="1.0000000000000001E-5"/>
    <n v="1.0000000000000001E-5"/>
    <m/>
    <m/>
    <m/>
    <m/>
    <n v="644673"/>
    <n v="697325"/>
    <n v="6463468"/>
    <n v="4734908"/>
    <n v="3174684"/>
    <n v="937720"/>
    <n v="896440"/>
    <m/>
    <m/>
    <m/>
    <m/>
    <n v="-52652"/>
    <n v="-5766143"/>
    <n v="1728560"/>
    <n v="1560224"/>
    <n v="2236964"/>
    <n v="41280"/>
    <n v="896440"/>
    <m/>
    <m/>
    <m/>
    <m/>
    <n v="2835710095.4000001"/>
    <n v="3964895708.3000002"/>
    <n v="39103981382.699997"/>
    <n v="23496980967.900002"/>
    <n v="11139351967.5"/>
    <n v="2965539470.4000001"/>
    <n v="3430203125.1999998"/>
    <m/>
    <m/>
    <m/>
    <m/>
    <d v="2025-09-30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330682254778354"/>
    <s v="Index"/>
    <s v="Low"/>
    <s v="Low"/>
    <s v="Low"/>
    <s v="Low"/>
    <s v="Low"/>
    <s v="Low"/>
    <s v="High"/>
    <m/>
    <m/>
    <m/>
    <m/>
    <s v="New York"/>
    <s v="United States"/>
  </r>
  <r>
    <n v="282"/>
    <s v="Barrow Hanley Global Investors"/>
    <n v="6.9999999999999999E-6"/>
    <m/>
    <n v="0"/>
    <n v="0"/>
    <m/>
    <m/>
    <m/>
    <m/>
    <m/>
    <n v="5.0000000000000004E-6"/>
    <n v="5.0000000000000004E-6"/>
    <n v="606156"/>
    <m/>
    <n v="0"/>
    <n v="0"/>
    <m/>
    <m/>
    <m/>
    <m/>
    <m/>
    <n v="478452"/>
    <n v="478452"/>
    <n v="606156"/>
    <m/>
    <n v="0"/>
    <n v="0"/>
    <m/>
    <m/>
    <m/>
    <m/>
    <m/>
    <n v="0"/>
    <n v="-58972"/>
    <n v="2666286225.4000001"/>
    <m/>
    <n v="0"/>
    <n v="0"/>
    <m/>
    <m/>
    <m/>
    <m/>
    <m/>
    <n v="1106821773.75"/>
    <n v="1106821773.75"/>
    <d v="2025-09-30T00:00:00"/>
    <m/>
    <d v="2022-12-31T00:00:00"/>
    <d v="2022-12-31T00:00:00"/>
    <m/>
    <m/>
    <m/>
    <m/>
    <m/>
    <d v="2015-12-31T00:00:00"/>
    <d v="2015-12-31T00:00:00"/>
    <s v="Aggregate MFs"/>
    <m/>
    <s v="Aggregate MFs"/>
    <s v="Aggregate MFs"/>
    <m/>
    <m/>
    <m/>
    <m/>
    <m/>
    <s v="Aggregate MFs"/>
    <s v="Aggregate MFs"/>
    <s v="Investment Managers"/>
    <s v="Investment Advisor"/>
    <n v="590524872369251"/>
    <s v="Income Value"/>
    <s v="Low"/>
    <m/>
    <s v="Low"/>
    <s v="Low"/>
    <m/>
    <m/>
    <m/>
    <m/>
    <m/>
    <s v="Low"/>
    <s v="Low"/>
    <s v="Dallas"/>
    <s v="United States"/>
  </r>
  <r>
    <n v="283"/>
    <s v="PIMCO Europe Ltd."/>
    <n v="6.9999999999999999E-6"/>
    <m/>
    <m/>
    <m/>
    <n v="0"/>
    <n v="0"/>
    <m/>
    <m/>
    <m/>
    <m/>
    <m/>
    <n v="602100"/>
    <m/>
    <m/>
    <m/>
    <n v="0"/>
    <n v="0"/>
    <m/>
    <m/>
    <m/>
    <m/>
    <m/>
    <n v="602100"/>
    <m/>
    <m/>
    <m/>
    <n v="0"/>
    <n v="0"/>
    <m/>
    <m/>
    <m/>
    <m/>
    <m/>
    <n v="2873205433.3499999"/>
    <m/>
    <m/>
    <m/>
    <n v="0"/>
    <n v="0"/>
    <m/>
    <m/>
    <m/>
    <m/>
    <m/>
    <d v="2025-08-31T00:00:00"/>
    <m/>
    <m/>
    <m/>
    <d v="2020-09-30T00:00:00"/>
    <d v="2020-09-30T00:00:00"/>
    <m/>
    <m/>
    <m/>
    <m/>
    <m/>
    <s v="Aggregate MFs"/>
    <m/>
    <m/>
    <m/>
    <s v="Aggregate MFs"/>
    <s v="Aggregate MFs"/>
    <m/>
    <m/>
    <m/>
    <m/>
    <m/>
    <s v="Investment Managers"/>
    <s v="Investment Advisor/Hedge Fund"/>
    <n v="24554171106944.398"/>
    <s v="Hedge Fund"/>
    <s v="Low"/>
    <m/>
    <m/>
    <m/>
    <s v="Moderate"/>
    <s v="Low"/>
    <m/>
    <m/>
    <m/>
    <m/>
    <m/>
    <s v="London"/>
    <s v="United Kingdom"/>
  </r>
  <r>
    <n v="284"/>
    <s v="VI Asset Management Korea Co. Ltd."/>
    <n v="6.0000000000000002E-6"/>
    <n v="6.0000000000000002E-6"/>
    <n v="9.0000000000000002E-6"/>
    <n v="9.0000000000000002E-6"/>
    <n v="9.0000000000000002E-6"/>
    <n v="9.0000000000000002E-6"/>
    <n v="9.0000000000000002E-6"/>
    <n v="9.0000000000000002E-6"/>
    <n v="9.0000000000000002E-6"/>
    <n v="9.0000000000000002E-6"/>
    <n v="1.2999999999999999E-5"/>
    <n v="600000"/>
    <n v="600000"/>
    <n v="800000"/>
    <n v="800000"/>
    <n v="800000"/>
    <n v="800000"/>
    <n v="800000"/>
    <n v="800000"/>
    <n v="800000"/>
    <n v="800000"/>
    <n v="1200000"/>
    <n v="0"/>
    <n v="-200000"/>
    <n v="0"/>
    <n v="0"/>
    <n v="0"/>
    <n v="0"/>
    <n v="0"/>
    <n v="0"/>
    <n v="0"/>
    <n v="-400000"/>
    <n v="0"/>
    <n v="3116235225.9499998"/>
    <n v="3411518935.1999998"/>
    <n v="4840000027.0500002"/>
    <n v="3970000027.9499998"/>
    <n v="2807045227.5"/>
    <n v="2529999997.1999998"/>
    <n v="3061178202.4000001"/>
    <n v="2913517668.75"/>
    <n v="3200000049.3000002"/>
    <n v="2314999998"/>
    <n v="2776006895.8499999"/>
    <d v="2025-03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251684561412.7998"/>
    <s v="GARP"/>
    <s v="Low"/>
    <s v="Moderate"/>
    <s v="Moderate"/>
    <s v="Moderate"/>
    <s v="High"/>
    <s v="High"/>
    <s v="High"/>
    <s v="Moderate"/>
    <s v="High"/>
    <s v="High"/>
    <s v="High"/>
    <s v="Seoul"/>
    <s v="South Korea"/>
  </r>
  <r>
    <n v="285"/>
    <s v="Banor Capital Limited"/>
    <n v="6.0000000000000002E-6"/>
    <n v="6.0000000000000002E-6"/>
    <n v="6.0000000000000002E-6"/>
    <m/>
    <m/>
    <m/>
    <m/>
    <m/>
    <m/>
    <m/>
    <m/>
    <n v="587800"/>
    <n v="587800"/>
    <n v="587800"/>
    <m/>
    <m/>
    <m/>
    <m/>
    <m/>
    <m/>
    <m/>
    <m/>
    <n v="0"/>
    <n v="0"/>
    <n v="587800"/>
    <m/>
    <m/>
    <m/>
    <m/>
    <m/>
    <m/>
    <m/>
    <m/>
    <n v="4261550033.5"/>
    <n v="4261550033.5"/>
    <n v="3556190039.8499999"/>
    <m/>
    <m/>
    <m/>
    <m/>
    <m/>
    <m/>
    <m/>
    <m/>
    <d v="2024-03-31T00:00:00"/>
    <d v="2024-03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2188360498634.3999"/>
    <s v="Core Value"/>
    <m/>
    <s v="High"/>
    <s v="Low"/>
    <m/>
    <m/>
    <m/>
    <m/>
    <m/>
    <m/>
    <m/>
    <m/>
    <s v="London"/>
    <s v="United Kingdom"/>
  </r>
  <r>
    <n v="286"/>
    <s v="AXA Investment Managers Asia Limited"/>
    <n v="6.0000000000000002E-6"/>
    <n v="6.0000000000000002E-6"/>
    <n v="6.0000000000000002E-6"/>
    <m/>
    <m/>
    <m/>
    <m/>
    <m/>
    <m/>
    <m/>
    <m/>
    <n v="585300"/>
    <n v="585300"/>
    <n v="585300"/>
    <m/>
    <m/>
    <m/>
    <m/>
    <m/>
    <m/>
    <m/>
    <m/>
    <n v="0"/>
    <n v="0"/>
    <n v="585300"/>
    <m/>
    <m/>
    <m/>
    <m/>
    <m/>
    <m/>
    <m/>
    <m/>
    <n v="2793036240.75"/>
    <n v="3327936694.9000001"/>
    <n v="3541065068.1500001"/>
    <m/>
    <m/>
    <m/>
    <m/>
    <m/>
    <m/>
    <m/>
    <m/>
    <d v="2025-08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1517459984256"/>
    <m/>
    <s v="Low"/>
    <s v="Low"/>
    <s v="Moderate"/>
    <m/>
    <m/>
    <m/>
    <m/>
    <m/>
    <m/>
    <m/>
    <m/>
    <s v="Quarry Bay"/>
    <s v="Hong Kong"/>
  </r>
  <r>
    <n v="287"/>
    <s v="Carnegie Fonder AB"/>
    <n v="6.0000000000000002E-6"/>
    <n v="6.0000000000000002E-6"/>
    <n v="3.3000000000000003E-5"/>
    <n v="3.1999999999999999E-5"/>
    <m/>
    <m/>
    <n v="0"/>
    <n v="0"/>
    <n v="6.4999999999999994E-5"/>
    <m/>
    <m/>
    <n v="550000"/>
    <n v="550000"/>
    <n v="3050000"/>
    <n v="3000000"/>
    <m/>
    <m/>
    <n v="0"/>
    <n v="0"/>
    <n v="6000000"/>
    <m/>
    <m/>
    <n v="0"/>
    <n v="-2500000"/>
    <n v="50000"/>
    <n v="3000000"/>
    <m/>
    <m/>
    <n v="0"/>
    <n v="-6000000"/>
    <n v="6000000"/>
    <m/>
    <m/>
    <n v="3382500032.5999999"/>
    <n v="3382500032.5999999"/>
    <n v="18452499958.799999"/>
    <n v="14887500065.9"/>
    <m/>
    <m/>
    <n v="0"/>
    <n v="0"/>
    <n v="23999999962.799999"/>
    <m/>
    <m/>
    <d v="2024-06-30T00:00:00"/>
    <d v="2024-06-30T00:00:00"/>
    <d v="2023-12-31T00:00:00"/>
    <d v="2022-12-31T00:00:00"/>
    <m/>
    <m/>
    <d v="2018-10-31T00:00:00"/>
    <d v="2018-10-31T00:00:00"/>
    <d v="2017-12-31T00:00:00"/>
    <m/>
    <m/>
    <s v="Aggregate MFs"/>
    <s v="Aggregate MFs"/>
    <s v="Aggregate MFs"/>
    <s v="Aggregate MFs"/>
    <m/>
    <m/>
    <s v="Aggregate MFs"/>
    <s v="Aggregate MFs"/>
    <s v="Aggregate MFs"/>
    <m/>
    <m/>
    <s v="Investment Managers"/>
    <s v="Bank and Trust"/>
    <n v="201425129873196"/>
    <s v="Core Value"/>
    <s v="Low"/>
    <s v="Low"/>
    <s v="Low"/>
    <s v="Low"/>
    <m/>
    <m/>
    <s v="Low"/>
    <s v="Low"/>
    <s v="Low"/>
    <m/>
    <m/>
    <s v="Stockholm"/>
    <s v="Sweden"/>
  </r>
  <r>
    <n v="288"/>
    <s v="Sunarto"/>
    <n v="6.0000000000000002E-6"/>
    <m/>
    <m/>
    <m/>
    <m/>
    <m/>
    <m/>
    <m/>
    <m/>
    <m/>
    <m/>
    <n v="549600"/>
    <m/>
    <m/>
    <m/>
    <m/>
    <m/>
    <m/>
    <m/>
    <m/>
    <m/>
    <m/>
    <n v="549600"/>
    <m/>
    <m/>
    <m/>
    <m/>
    <m/>
    <m/>
    <m/>
    <m/>
    <m/>
    <m/>
    <n v="2417514440.5999999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m/>
    <m/>
    <m/>
    <m/>
    <m/>
    <m/>
    <m/>
    <m/>
    <m/>
    <m/>
    <m/>
    <m/>
    <m/>
    <m/>
    <s v="Indonesia"/>
  </r>
  <r>
    <n v="289"/>
    <s v="Santa Lucia Asset Management Pte. Ltd."/>
    <n v="6.0000000000000002E-6"/>
    <m/>
    <m/>
    <m/>
    <m/>
    <m/>
    <m/>
    <m/>
    <m/>
    <m/>
    <m/>
    <n v="543500"/>
    <m/>
    <m/>
    <m/>
    <m/>
    <m/>
    <m/>
    <m/>
    <m/>
    <m/>
    <m/>
    <n v="543500"/>
    <m/>
    <m/>
    <m/>
    <m/>
    <m/>
    <m/>
    <m/>
    <m/>
    <m/>
    <m/>
    <n v="2657355590.6999998"/>
    <m/>
    <m/>
    <m/>
    <m/>
    <m/>
    <m/>
    <m/>
    <m/>
    <m/>
    <m/>
    <d v="2025-06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"/>
    <n v="12874880874028.801"/>
    <m/>
    <s v="Low"/>
    <m/>
    <m/>
    <m/>
    <m/>
    <m/>
    <m/>
    <m/>
    <m/>
    <m/>
    <m/>
    <s v="Singapore"/>
    <s v="Singapore"/>
  </r>
  <r>
    <n v="290"/>
    <s v="Security Kapitalanlage AG"/>
    <n v="6.0000000000000002E-6"/>
    <n v="6.0000000000000002E-6"/>
    <n v="6.0000000000000002E-6"/>
    <n v="6.0000000000000002E-6"/>
    <n v="1.9999999999999999E-6"/>
    <m/>
    <m/>
    <m/>
    <m/>
    <m/>
    <m/>
    <n v="531200"/>
    <n v="531200"/>
    <n v="531200"/>
    <n v="531200"/>
    <n v="219000"/>
    <m/>
    <m/>
    <m/>
    <m/>
    <m/>
    <m/>
    <n v="0"/>
    <n v="0"/>
    <n v="0"/>
    <n v="312200"/>
    <n v="219000"/>
    <m/>
    <m/>
    <m/>
    <m/>
    <m/>
    <m/>
    <n v="2534872403.6999998"/>
    <n v="3020331453.8000002"/>
    <n v="3213759978.5500002"/>
    <n v="2636079994.9000001"/>
    <n v="768428685"/>
    <m/>
    <m/>
    <m/>
    <m/>
    <m/>
    <m/>
    <d v="2025-08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35870549794201.203"/>
    <s v="Index"/>
    <s v="Low"/>
    <s v="Low"/>
    <s v="Low"/>
    <s v="Low"/>
    <s v="Low"/>
    <m/>
    <m/>
    <m/>
    <m/>
    <m/>
    <m/>
    <s v="Graz"/>
    <s v="Austria"/>
  </r>
  <r>
    <n v="291"/>
    <s v="Marlborough Fund Managers Ltd."/>
    <n v="6.0000000000000002E-6"/>
    <n v="6.0000000000000002E-6"/>
    <n v="6.9999999999999999E-6"/>
    <n v="1.2E-5"/>
    <n v="3.0000000000000001E-5"/>
    <n v="3.1000000000000001E-5"/>
    <n v="3.0000000000000001E-5"/>
    <m/>
    <m/>
    <m/>
    <m/>
    <n v="520800"/>
    <n v="520800"/>
    <n v="674400"/>
    <n v="1101600"/>
    <n v="2763000"/>
    <n v="2843000"/>
    <n v="2726000"/>
    <m/>
    <m/>
    <m/>
    <m/>
    <n v="0"/>
    <n v="-153600"/>
    <n v="-427200"/>
    <n v="-1661400"/>
    <n v="-80000"/>
    <n v="117000"/>
    <n v="2726000"/>
    <m/>
    <m/>
    <m/>
    <m/>
    <n v="3593519995.8499999"/>
    <n v="3593519995.8499999"/>
    <n v="4080120069.4499998"/>
    <n v="5466689958.9499998"/>
    <n v="9694832460"/>
    <n v="8990987428.7999992"/>
    <n v="10430964629.6"/>
    <m/>
    <m/>
    <m/>
    <m/>
    <d v="2024-04-30T00:00:00"/>
    <d v="2024-04-30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3245361989502.801"/>
    <m/>
    <s v="Low"/>
    <s v="Low"/>
    <s v="Moderate"/>
    <s v="Moderate"/>
    <s v="Moderate"/>
    <s v="Low"/>
    <s v="Moderate"/>
    <m/>
    <m/>
    <m/>
    <m/>
    <s v="Bolton"/>
    <s v="United Kingdom"/>
  </r>
  <r>
    <n v="292"/>
    <s v="Mackenzie Investments"/>
    <n v="6.0000000000000002E-6"/>
    <n v="3.0000000000000001E-6"/>
    <n v="1.66E-4"/>
    <n v="1.01E-4"/>
    <n v="6.6000000000000005E-5"/>
    <n v="3.1999999999999999E-5"/>
    <n v="4.0000000000000003E-5"/>
    <n v="7.9999999999999996E-6"/>
    <n v="7.9999999999999996E-6"/>
    <m/>
    <m/>
    <n v="517610"/>
    <n v="252610"/>
    <n v="15354092"/>
    <n v="9298986"/>
    <n v="6075600"/>
    <n v="2991800"/>
    <n v="3663194"/>
    <n v="716592"/>
    <n v="705366"/>
    <m/>
    <m/>
    <n v="265000"/>
    <n v="-15101482"/>
    <n v="6055106"/>
    <n v="3223386"/>
    <n v="3083800"/>
    <n v="-671394"/>
    <n v="2946602"/>
    <n v="11226"/>
    <n v="705366"/>
    <m/>
    <m/>
    <n v="2276800748.5999999"/>
    <n v="1436306351.8"/>
    <n v="92892256593.100006"/>
    <n v="46146218102.050003"/>
    <n v="21318104880"/>
    <n v="9461567512.7999992"/>
    <n v="14017111914.4"/>
    <n v="2609754368.75"/>
    <n v="2821463976.5500002"/>
    <m/>
    <m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/Hedge Fund"/>
    <n v="1773813444420230"/>
    <s v="Core Growth"/>
    <s v="Low"/>
    <s v="Low"/>
    <s v="Low"/>
    <s v="Low"/>
    <s v="Low"/>
    <s v="Low"/>
    <s v="Moderate"/>
    <s v="Moderate"/>
    <s v="Moderate"/>
    <m/>
    <m/>
    <s v="Toronto"/>
    <s v="Canada"/>
  </r>
  <r>
    <n v="293"/>
    <s v="TD Asset Management Inc."/>
    <n v="5.0000000000000004E-6"/>
    <n v="6.9999999999999999E-6"/>
    <n v="3.0000000000000001E-6"/>
    <m/>
    <m/>
    <m/>
    <m/>
    <m/>
    <m/>
    <n v="3.1000000000000001E-5"/>
    <n v="3.1000000000000001E-5"/>
    <n v="471200"/>
    <n v="658500"/>
    <n v="302800"/>
    <m/>
    <m/>
    <m/>
    <m/>
    <m/>
    <m/>
    <n v="2856008"/>
    <n v="2856008"/>
    <n v="-187300"/>
    <n v="355700"/>
    <n v="302800"/>
    <m/>
    <m/>
    <m/>
    <m/>
    <m/>
    <m/>
    <n v="0"/>
    <n v="0"/>
    <n v="2303856452.6999998"/>
    <n v="3744142034.5999999"/>
    <n v="1831940033.0999999"/>
    <m/>
    <m/>
    <m/>
    <m/>
    <m/>
    <m/>
    <n v="7693371612.4300003"/>
    <n v="7693371612.4300003"/>
    <d v="2025-06-30T00:00:00"/>
    <d v="2024-12-31T00:00:00"/>
    <d v="2023-12-31T00:00:00"/>
    <m/>
    <m/>
    <m/>
    <m/>
    <m/>
    <m/>
    <d v="2015-05-31T00:00:00"/>
    <d v="2015-05-31T00:00:00"/>
    <s v="Aggregate MFs"/>
    <s v="Aggregate MFs"/>
    <s v="Aggregate MFs"/>
    <m/>
    <m/>
    <m/>
    <m/>
    <m/>
    <m/>
    <s v="Aggregate MFs"/>
    <s v="Aggregate MFs"/>
    <s v="Investment Managers"/>
    <s v="Investment Advisor"/>
    <n v="2279472494454320"/>
    <s v="GARP"/>
    <s v="Low"/>
    <s v="Low"/>
    <s v="Low"/>
    <m/>
    <m/>
    <m/>
    <m/>
    <m/>
    <m/>
    <s v="Low"/>
    <s v="Low"/>
    <s v="Toronto"/>
    <s v="Canada"/>
  </r>
  <r>
    <n v="294"/>
    <s v="AIA Investment Management Private Limited"/>
    <n v="5.0000000000000004E-6"/>
    <n v="5.0000000000000004E-6"/>
    <n v="8.7000000000000001E-5"/>
    <n v="1.0900000000000001E-4"/>
    <m/>
    <m/>
    <m/>
    <m/>
    <m/>
    <m/>
    <m/>
    <n v="469700"/>
    <n v="469700"/>
    <n v="8061800"/>
    <n v="10080600"/>
    <m/>
    <m/>
    <m/>
    <m/>
    <m/>
    <m/>
    <m/>
    <n v="0"/>
    <n v="-7592100"/>
    <n v="-2018800"/>
    <n v="10080600"/>
    <m/>
    <m/>
    <m/>
    <m/>
    <m/>
    <m/>
    <m/>
    <n v="2670650701.8000002"/>
    <n v="2670650701.8000002"/>
    <n v="48773890014.300003"/>
    <n v="50024977500.849998"/>
    <m/>
    <m/>
    <m/>
    <m/>
    <m/>
    <m/>
    <m/>
    <d v="2024-12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32976932141180.398"/>
    <m/>
    <s v="Low"/>
    <s v="Low"/>
    <m/>
    <m/>
    <m/>
    <m/>
    <m/>
    <m/>
    <m/>
    <m/>
    <m/>
    <s v="Singapore"/>
    <s v="Singapore"/>
  </r>
  <r>
    <n v="295"/>
    <s v="Probus Middle East Limited"/>
    <n v="5.0000000000000004E-6"/>
    <n v="6.0000000000000002E-6"/>
    <n v="6.9999999999999999E-6"/>
    <n v="1.9999999999999999E-6"/>
    <n v="0"/>
    <n v="5.0000000000000004E-6"/>
    <n v="3.9999999999999998E-6"/>
    <m/>
    <m/>
    <m/>
    <m/>
    <n v="460000"/>
    <n v="560000"/>
    <n v="640000"/>
    <n v="200000"/>
    <n v="0"/>
    <n v="416000"/>
    <n v="400000"/>
    <m/>
    <m/>
    <m/>
    <m/>
    <n v="-100000"/>
    <n v="-80000"/>
    <n v="440000"/>
    <n v="200000"/>
    <n v="-416000"/>
    <n v="16000"/>
    <n v="400000"/>
    <m/>
    <m/>
    <m/>
    <m/>
    <n v="2249095945.8000002"/>
    <n v="3184084371.6999998"/>
    <n v="3871999990.8499999"/>
    <n v="992500045.89999998"/>
    <n v="0"/>
    <n v="1315599948"/>
    <n v="1530589101.2"/>
    <m/>
    <m/>
    <m/>
    <m/>
    <d v="2025-06-30T00:00:00"/>
    <d v="2024-12-31T00:00:00"/>
    <d v="2023-12-31T00:00:00"/>
    <d v="2022-12-31T00:00:00"/>
    <d v="2021-06-30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165702916379.6001"/>
    <m/>
    <m/>
    <s v="Low"/>
    <s v="Moderate"/>
    <s v="Moderate"/>
    <s v="Low"/>
    <s v="High"/>
    <s v="Moderate"/>
    <m/>
    <m/>
    <m/>
    <m/>
    <s v="Dubai"/>
    <s v="United Arab Emirates"/>
  </r>
  <r>
    <n v="296"/>
    <s v="Voya Investment Management LLC"/>
    <n v="5.0000000000000004E-6"/>
    <n v="5.0000000000000004E-6"/>
    <n v="5.0000000000000004E-6"/>
    <n v="4.6999999999999997E-5"/>
    <n v="9.8999999999999994E-5"/>
    <n v="8.3999999999999995E-5"/>
    <n v="1E-4"/>
    <n v="6.4999999999999994E-5"/>
    <n v="5.3999999999999998E-5"/>
    <n v="5.3000000000000001E-5"/>
    <n v="6.0999999999999999E-5"/>
    <n v="451000"/>
    <n v="451000"/>
    <n v="507400"/>
    <n v="4378800"/>
    <n v="9147200"/>
    <n v="7735800"/>
    <n v="9250400"/>
    <n v="6006200"/>
    <n v="4954200"/>
    <n v="4887200"/>
    <n v="5602000"/>
    <n v="0"/>
    <n v="-56400"/>
    <n v="-3871400"/>
    <n v="-4768400"/>
    <n v="1411400"/>
    <n v="-1514600"/>
    <n v="3244200"/>
    <n v="1052000"/>
    <n v="67000"/>
    <n v="-714800"/>
    <n v="55200"/>
    <n v="3284066211.9000001"/>
    <n v="3284066211.9000001"/>
    <n v="3069769927.75"/>
    <n v="21729794995.700001"/>
    <n v="32095754940"/>
    <n v="24464467497.599998"/>
    <n v="35396403044.400002"/>
    <n v="21873962406.25"/>
    <n v="19816800031.900002"/>
    <n v="14142334979.700001"/>
    <n v="12959325506.85"/>
    <d v="2024-10-31T00:00:00"/>
    <d v="2024-10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714718837397430"/>
    <s v="Core Growth"/>
    <s v="Moderate"/>
    <s v="Moderate"/>
    <s v="Moderate"/>
    <s v="Moderate"/>
    <s v="Low"/>
    <s v="Moderate"/>
    <s v="Moderate"/>
    <s v="Moderate"/>
    <s v="Low"/>
    <s v="Low"/>
    <s v="Moderate"/>
    <s v="New York"/>
    <s v="United States"/>
  </r>
  <r>
    <n v="297"/>
    <s v="Samsung Asset Management Co., Ltd."/>
    <n v="5.0000000000000004E-6"/>
    <n v="0"/>
    <n v="0"/>
    <n v="0"/>
    <n v="9.9999999999999995E-7"/>
    <n v="0"/>
    <n v="0"/>
    <n v="4.3000000000000002E-5"/>
    <n v="0"/>
    <n v="0"/>
    <n v="3.0000000000000001E-6"/>
    <n v="445001"/>
    <n v="0"/>
    <n v="0"/>
    <n v="0"/>
    <n v="60000"/>
    <n v="0"/>
    <n v="0"/>
    <n v="4000000"/>
    <n v="0"/>
    <n v="0"/>
    <n v="316000"/>
    <n v="445001"/>
    <n v="0"/>
    <n v="0"/>
    <n v="-60000"/>
    <n v="60000"/>
    <n v="0"/>
    <n v="-4000000"/>
    <n v="4000000"/>
    <n v="0"/>
    <n v="-316000"/>
    <n v="200008"/>
    <n v="2311213088.8000002"/>
    <n v="0"/>
    <n v="0"/>
    <n v="0"/>
    <n v="210528360"/>
    <n v="0"/>
    <n v="0"/>
    <n v="14567588487.5"/>
    <n v="0"/>
    <n v="0"/>
    <n v="731015103.75"/>
    <d v="2025-03-31T00:00:00"/>
    <d v="2024-12-31T00:00:00"/>
    <d v="2022-09-30T00:00:00"/>
    <d v="2022-09-30T00:00:00"/>
    <d v="2021-12-31T00:00:00"/>
    <d v="2019-03-31T00:00:00"/>
    <d v="2019-03-31T00:00:00"/>
    <d v="2018-12-31T00:00:00"/>
    <d v="2016-03-31T00:00:00"/>
    <d v="2016-03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54704376493501"/>
    <s v="Core Value"/>
    <s v="Low"/>
    <s v="Moderate"/>
    <s v="Low"/>
    <s v="Moderate"/>
    <s v="Moderate"/>
    <s v="Moderate"/>
    <s v="Low"/>
    <s v="Moderate"/>
    <s v="Moderate"/>
    <s v="Low"/>
    <s v="Moderate"/>
    <s v="Seoul"/>
    <s v="South Korea"/>
  </r>
  <r>
    <n v="298"/>
    <s v="BBL Asset Management Co., Ltd."/>
    <n v="5.0000000000000004E-6"/>
    <n v="3.9999999999999998E-6"/>
    <n v="3.0000000000000001E-6"/>
    <n v="6.0000000000000002E-6"/>
    <n v="0"/>
    <n v="9.0000000000000002E-6"/>
    <n v="4.0000000000000003E-5"/>
    <n v="3.3000000000000003E-5"/>
    <m/>
    <m/>
    <m/>
    <n v="440395"/>
    <n v="412649"/>
    <n v="251790"/>
    <n v="534000"/>
    <n v="0"/>
    <n v="787400"/>
    <n v="3711600"/>
    <n v="3012400"/>
    <m/>
    <m/>
    <m/>
    <n v="27746"/>
    <n v="160859"/>
    <n v="-282210"/>
    <n v="534000"/>
    <n v="-787400"/>
    <n v="-2924200"/>
    <n v="699200"/>
    <n v="3012400"/>
    <m/>
    <m/>
    <m/>
    <n v="2153240429.6999998"/>
    <n v="2346266486.9000001"/>
    <n v="1523329553.8499999"/>
    <n v="2516474934.75"/>
    <n v="0"/>
    <n v="1952751970.4000001"/>
    <n v="12944204984.700001"/>
    <n v="10129195075"/>
    <m/>
    <m/>
    <m/>
    <d v="2025-06-30T00:00:00"/>
    <d v="2024-12-31T00:00:00"/>
    <d v="2023-12-31T00:00:00"/>
    <d v="2022-09-30T00:00:00"/>
    <d v="2021-09-30T00:00:00"/>
    <d v="2020-09-30T00:00:00"/>
    <d v="2019-09-30T00:00:00"/>
    <d v="2018-09-30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51294051048888"/>
    <s v="Growth"/>
    <s v="Low"/>
    <s v="Low"/>
    <s v="Moderate"/>
    <s v="Moderate"/>
    <s v="Moderate"/>
    <s v="Low"/>
    <s v="Low"/>
    <s v="Low"/>
    <m/>
    <m/>
    <m/>
    <s v="Bangkok"/>
    <s v="Thailand"/>
  </r>
  <r>
    <n v="299"/>
    <s v="Corebridge Financial Inc."/>
    <n v="5.0000000000000004E-6"/>
    <n v="5.0000000000000004E-6"/>
    <n v="5.0000000000000004E-6"/>
    <n v="5.0000000000000004E-6"/>
    <n v="5.0000000000000004E-6"/>
    <n v="5.0000000000000004E-6"/>
    <n v="6.0000000000000002E-6"/>
    <n v="6.9999999999999999E-6"/>
    <m/>
    <m/>
    <m/>
    <n v="424700"/>
    <n v="424700"/>
    <n v="502000"/>
    <n v="502000"/>
    <n v="502000"/>
    <n v="499800"/>
    <n v="516000"/>
    <n v="638000"/>
    <m/>
    <m/>
    <m/>
    <n v="0"/>
    <n v="-77300"/>
    <n v="0"/>
    <n v="0"/>
    <n v="2200"/>
    <n v="-16200"/>
    <n v="-122000"/>
    <n v="638000"/>
    <m/>
    <m/>
    <m/>
    <n v="2026657162.95"/>
    <n v="2414786878.1999998"/>
    <n v="3037100044.3000002"/>
    <n v="2491174981.3499999"/>
    <n v="1761420840"/>
    <n v="1580617443.5999999"/>
    <n v="1974459980.8"/>
    <n v="2323530293.75"/>
    <m/>
    <m/>
    <m/>
    <d v="2025-08-31T00:00:00"/>
    <d v="2024-12-31T00:00:00"/>
    <d v="2023-12-31T00:00:00"/>
    <d v="2022-12-31T00:00:00"/>
    <d v="2021-12-31T00:00:00"/>
    <d v="2020-12-31T00:00:00"/>
    <d v="2019-12-31T00:00:00"/>
    <d v="2018-12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391028196744730"/>
    <s v="Growth"/>
    <s v="Low"/>
    <s v="Low"/>
    <s v="Low"/>
    <s v="Moderate"/>
    <s v="Low"/>
    <s v="Low"/>
    <s v="Low"/>
    <s v="Low"/>
    <m/>
    <m/>
    <m/>
    <s v="Houston"/>
    <s v="United States"/>
  </r>
  <r>
    <n v="300"/>
    <s v="FIL Investments (Japan) Limited"/>
    <n v="3.9999999999999998E-6"/>
    <m/>
    <m/>
    <m/>
    <m/>
    <m/>
    <m/>
    <m/>
    <m/>
    <m/>
    <m/>
    <n v="411842"/>
    <m/>
    <m/>
    <m/>
    <m/>
    <m/>
    <m/>
    <m/>
    <m/>
    <m/>
    <m/>
    <n v="411842"/>
    <m/>
    <m/>
    <m/>
    <m/>
    <m/>
    <m/>
    <m/>
    <m/>
    <m/>
    <m/>
    <n v="1811561085.5999999"/>
    <m/>
    <m/>
    <m/>
    <m/>
    <m/>
    <m/>
    <m/>
    <m/>
    <m/>
    <m/>
    <d v="2025-09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"/>
    <n v="206859040027230"/>
    <s v="GARP"/>
    <s v="Low"/>
    <m/>
    <m/>
    <m/>
    <m/>
    <m/>
    <m/>
    <m/>
    <m/>
    <m/>
    <m/>
    <s v="Minato-ku (Tokyo)"/>
    <s v="Japan"/>
  </r>
  <r>
    <n v="301"/>
    <s v="Global X Investments Canada Inc."/>
    <n v="3.9999999999999998E-6"/>
    <m/>
    <m/>
    <m/>
    <m/>
    <m/>
    <m/>
    <m/>
    <m/>
    <m/>
    <m/>
    <n v="404435"/>
    <m/>
    <m/>
    <m/>
    <m/>
    <m/>
    <m/>
    <m/>
    <m/>
    <m/>
    <m/>
    <n v="404435"/>
    <m/>
    <m/>
    <m/>
    <m/>
    <m/>
    <m/>
    <m/>
    <m/>
    <m/>
    <m/>
    <n v="1778980123.2"/>
    <m/>
    <m/>
    <m/>
    <m/>
    <m/>
    <m/>
    <m/>
    <m/>
    <m/>
    <m/>
    <d v="2025-09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/Hedge Fund"/>
    <n v="129633050452696"/>
    <s v="Core Growth"/>
    <s v="Low"/>
    <m/>
    <m/>
    <m/>
    <m/>
    <m/>
    <m/>
    <m/>
    <m/>
    <m/>
    <m/>
    <s v="Toronto"/>
    <s v="Canada"/>
  </r>
  <r>
    <n v="302"/>
    <s v="Rizaldi (Mochamad)"/>
    <n v="3.9999999999999998E-6"/>
    <m/>
    <m/>
    <m/>
    <m/>
    <m/>
    <m/>
    <m/>
    <m/>
    <m/>
    <m/>
    <n v="403400"/>
    <m/>
    <m/>
    <m/>
    <m/>
    <m/>
    <m/>
    <m/>
    <m/>
    <m/>
    <m/>
    <n v="403400"/>
    <m/>
    <m/>
    <m/>
    <m/>
    <m/>
    <m/>
    <m/>
    <m/>
    <m/>
    <m/>
    <n v="1774427445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2027045840.4000001"/>
    <m/>
    <s v="Low"/>
    <m/>
    <m/>
    <m/>
    <m/>
    <m/>
    <m/>
    <m/>
    <m/>
    <m/>
    <m/>
    <m/>
    <s v="Indonesia"/>
  </r>
  <r>
    <n v="303"/>
    <s v="AXA Investment Managers Paris"/>
    <n v="3.9999999999999998E-6"/>
    <n v="3.9999999999999998E-6"/>
    <m/>
    <m/>
    <m/>
    <m/>
    <m/>
    <m/>
    <m/>
    <m/>
    <m/>
    <n v="397600"/>
    <n v="397600"/>
    <m/>
    <m/>
    <m/>
    <m/>
    <m/>
    <m/>
    <m/>
    <m/>
    <m/>
    <n v="0"/>
    <n v="397600"/>
    <m/>
    <m/>
    <m/>
    <m/>
    <m/>
    <m/>
    <m/>
    <m/>
    <m/>
    <n v="2345840055.9000001"/>
    <n v="2345840055.9000001"/>
    <m/>
    <m/>
    <m/>
    <m/>
    <m/>
    <m/>
    <m/>
    <m/>
    <m/>
    <d v="2024-05-31T00:00:00"/>
    <d v="2024-05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475228654307730"/>
    <s v="Core Growth"/>
    <s v="Low"/>
    <s v="Low"/>
    <m/>
    <m/>
    <m/>
    <m/>
    <m/>
    <m/>
    <m/>
    <m/>
    <m/>
    <s v="Puteaux"/>
    <s v="France"/>
  </r>
  <r>
    <n v="304"/>
    <s v="Amundi SGR SpA"/>
    <n v="3.9999999999999998E-6"/>
    <n v="6.0000000000000002E-6"/>
    <n v="3.0000000000000001E-6"/>
    <n v="3.0000000000000001E-6"/>
    <m/>
    <m/>
    <m/>
    <m/>
    <m/>
    <m/>
    <m/>
    <n v="396500"/>
    <n v="509400"/>
    <n v="261200"/>
    <n v="261200"/>
    <m/>
    <m/>
    <m/>
    <m/>
    <m/>
    <m/>
    <m/>
    <n v="-112900"/>
    <n v="248200"/>
    <n v="0"/>
    <n v="261200"/>
    <m/>
    <m/>
    <m/>
    <m/>
    <m/>
    <m/>
    <m/>
    <n v="1892087635.2"/>
    <n v="2896379564.4000001"/>
    <n v="1580259955.95"/>
    <n v="1296204948.5"/>
    <m/>
    <m/>
    <m/>
    <m/>
    <m/>
    <m/>
    <m/>
    <d v="2025-08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11982144067638"/>
    <s v="Core Value"/>
    <s v="Moderate"/>
    <s v="Moderate"/>
    <s v="High"/>
    <s v="High"/>
    <m/>
    <m/>
    <m/>
    <m/>
    <m/>
    <m/>
    <m/>
    <s v="Milan"/>
    <s v="Italy"/>
  </r>
  <r>
    <n v="305"/>
    <s v="Deutsche Bank (Suisse) SA"/>
    <n v="3.9999999999999998E-6"/>
    <n v="3.9999999999999998E-6"/>
    <m/>
    <m/>
    <m/>
    <m/>
    <m/>
    <m/>
    <m/>
    <m/>
    <m/>
    <n v="396000"/>
    <n v="396000"/>
    <m/>
    <m/>
    <m/>
    <m/>
    <m/>
    <m/>
    <m/>
    <m/>
    <m/>
    <n v="0"/>
    <n v="396000"/>
    <m/>
    <m/>
    <m/>
    <m/>
    <m/>
    <m/>
    <m/>
    <m/>
    <m/>
    <n v="2871000052.5"/>
    <n v="2871000052.5"/>
    <m/>
    <m/>
    <m/>
    <m/>
    <m/>
    <m/>
    <m/>
    <m/>
    <m/>
    <d v="2024-03-31T00:00:00"/>
    <d v="2024-03-31T00:00:00"/>
    <m/>
    <m/>
    <m/>
    <m/>
    <m/>
    <m/>
    <m/>
    <m/>
    <m/>
    <s v="Aggregate MFs"/>
    <s v="Aggregate MFs"/>
    <m/>
    <m/>
    <m/>
    <m/>
    <m/>
    <m/>
    <m/>
    <m/>
    <m/>
    <s v="Investment Managers"/>
    <s v="Bank and Trust"/>
    <n v="14435874428134.801"/>
    <s v="GARP"/>
    <s v="Low"/>
    <s v="Low"/>
    <m/>
    <m/>
    <m/>
    <m/>
    <m/>
    <m/>
    <m/>
    <m/>
    <m/>
    <s v="Geneva"/>
    <s v="Switzerland"/>
  </r>
  <r>
    <n v="306"/>
    <s v="Nissay Asset Management Corp."/>
    <n v="3.9999999999999998E-6"/>
    <n v="3.9999999999999998E-6"/>
    <n v="3.0000000000000001E-6"/>
    <n v="1.9999999999999999E-6"/>
    <n v="1.9999999999999999E-6"/>
    <n v="9.9999999999999995E-7"/>
    <n v="9.9999999999999995E-7"/>
    <m/>
    <m/>
    <m/>
    <m/>
    <n v="391935"/>
    <n v="391935"/>
    <n v="278131"/>
    <n v="192186"/>
    <n v="195684"/>
    <n v="113610"/>
    <n v="74836"/>
    <m/>
    <m/>
    <m/>
    <m/>
    <n v="0"/>
    <n v="113804"/>
    <n v="85945"/>
    <n v="-3498"/>
    <n v="82074"/>
    <n v="38774"/>
    <n v="74836"/>
    <m/>
    <m/>
    <m/>
    <m/>
    <n v="2406601929.5999999"/>
    <n v="2406601929.5999999"/>
    <n v="1627066325.8499999"/>
    <n v="1011378754.1"/>
    <n v="684893952.79999995"/>
    <n v="359291618.39999998"/>
    <n v="260990577"/>
    <m/>
    <m/>
    <m/>
    <m/>
    <d v="2024-11-30T00:00:00"/>
    <d v="2024-11-30T00:00:00"/>
    <d v="2023-11-30T00:00:00"/>
    <d v="2022-11-30T00:00:00"/>
    <d v="2021-11-30T00:00:00"/>
    <d v="2020-11-30T00:00:00"/>
    <d v="2019-11-30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397851302199130"/>
    <s v="Core Growth"/>
    <s v="Low"/>
    <s v="Low"/>
    <s v="Low"/>
    <s v="Low"/>
    <s v="Low"/>
    <s v="Low"/>
    <s v="Low"/>
    <m/>
    <m/>
    <m/>
    <m/>
    <s v="Chiyoda-ku (Tokyo)"/>
    <s v="Japan"/>
  </r>
  <r>
    <n v="307"/>
    <s v="PGIM Quantitative Solutions LLC"/>
    <n v="3.9999999999999998E-6"/>
    <n v="6.0000000000000002E-6"/>
    <n v="2.3E-5"/>
    <n v="2.5000000000000001E-5"/>
    <n v="6.9999999999999999E-6"/>
    <n v="3.1999999999999999E-5"/>
    <n v="0"/>
    <m/>
    <n v="0"/>
    <n v="0"/>
    <n v="0"/>
    <n v="385400"/>
    <n v="550565"/>
    <n v="2169512"/>
    <n v="2352930"/>
    <n v="628980"/>
    <n v="2963200"/>
    <n v="0"/>
    <m/>
    <n v="0"/>
    <n v="0"/>
    <n v="0"/>
    <n v="-165165"/>
    <n v="-1618947"/>
    <n v="-183418"/>
    <n v="1723950"/>
    <n v="-2334220"/>
    <n v="2963200"/>
    <n v="0"/>
    <m/>
    <n v="0"/>
    <n v="0"/>
    <n v="0"/>
    <n v="1695251294.8"/>
    <n v="3130438220"/>
    <n v="13125547614.5"/>
    <n v="11676415194.950001"/>
    <n v="2206969177.5"/>
    <n v="9371120007.6000004"/>
    <n v="0"/>
    <m/>
    <n v="0"/>
    <n v="0"/>
    <n v="0"/>
    <d v="2025-09-30T00:00:00"/>
    <d v="2024-12-31T00:00:00"/>
    <d v="2023-12-31T00:00:00"/>
    <d v="2022-12-31T00:00:00"/>
    <d v="2021-12-31T00:00:00"/>
    <d v="2020-12-31T00:00:00"/>
    <d v="2019-09-30T00:00:00"/>
    <m/>
    <d v="2016-07-31T00:00:00"/>
    <d v="2016-07-31T00:00:00"/>
    <d v="2014-10-31T00:00:00"/>
    <s v="Aggregate MFs"/>
    <s v="Aggregate MFs"/>
    <s v="Aggregate MFs"/>
    <s v="Aggregate MFs"/>
    <s v="Aggregate MFs"/>
    <s v="Aggregate MFs"/>
    <s v="Aggregate MFs"/>
    <m/>
    <s v="Aggregate MFs"/>
    <s v="Aggregate MFs"/>
    <s v="Aggregate MFs"/>
    <s v="Investment Managers"/>
    <s v="Investment Advisor"/>
    <n v="1148197403626970"/>
    <s v="Core Growth"/>
    <s v="Low"/>
    <s v="Low"/>
    <s v="Low"/>
    <s v="Low"/>
    <s v="Moderate"/>
    <s v="Moderate"/>
    <s v="Moderate"/>
    <m/>
    <s v="Low"/>
    <s v="Low"/>
    <s v="Low"/>
    <s v="Newark"/>
    <s v="United States"/>
  </r>
  <r>
    <n v="308"/>
    <s v="Pictet Asset Management (Europe) SA"/>
    <n v="3.9999999999999998E-6"/>
    <n v="4.6999999999999997E-5"/>
    <n v="5.0000000000000004E-6"/>
    <n v="5.0000000000000004E-6"/>
    <m/>
    <m/>
    <m/>
    <m/>
    <m/>
    <m/>
    <m/>
    <n v="382700"/>
    <n v="4385900"/>
    <n v="450300"/>
    <n v="456800"/>
    <m/>
    <m/>
    <m/>
    <m/>
    <m/>
    <m/>
    <m/>
    <n v="-4003200"/>
    <n v="3935600"/>
    <n v="-6500"/>
    <n v="456800"/>
    <m/>
    <m/>
    <m/>
    <m/>
    <m/>
    <m/>
    <m/>
    <n v="1871150045.7"/>
    <n v="24937634686.299999"/>
    <n v="2724315056.8499999"/>
    <n v="2266869945.4499998"/>
    <m/>
    <m/>
    <m/>
    <m/>
    <m/>
    <m/>
    <m/>
    <d v="2025-06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93595004435120"/>
    <m/>
    <s v="Low"/>
    <s v="Moderate"/>
    <s v="High"/>
    <s v="Moderate"/>
    <m/>
    <m/>
    <m/>
    <m/>
    <m/>
    <m/>
    <m/>
    <s v="Paris"/>
    <s v="France"/>
  </r>
  <r>
    <n v="309"/>
    <s v="Priyambodo (Totok)"/>
    <n v="3.9999999999999998E-6"/>
    <n v="3.9999999999999998E-6"/>
    <m/>
    <m/>
    <m/>
    <m/>
    <m/>
    <m/>
    <m/>
    <m/>
    <m/>
    <n v="370000"/>
    <n v="370000"/>
    <m/>
    <m/>
    <m/>
    <m/>
    <m/>
    <m/>
    <m/>
    <m/>
    <m/>
    <n v="0"/>
    <n v="370000"/>
    <m/>
    <m/>
    <m/>
    <m/>
    <m/>
    <m/>
    <m/>
    <m/>
    <m/>
    <n v="1627511568.2"/>
    <n v="2103769913.5"/>
    <m/>
    <m/>
    <m/>
    <m/>
    <m/>
    <m/>
    <m/>
    <m/>
    <m/>
    <d v="2025-09-30T00:00:00"/>
    <d v="2024-12-31T00:00:00"/>
    <m/>
    <m/>
    <m/>
    <m/>
    <m/>
    <m/>
    <m/>
    <m/>
    <m/>
    <s v="Indonesia Insider"/>
    <s v="Indonesia Insider"/>
    <m/>
    <m/>
    <m/>
    <m/>
    <m/>
    <m/>
    <m/>
    <m/>
    <m/>
    <s v="Strategic Entities"/>
    <s v="Individual Investor"/>
    <n v="1859214015.5999999"/>
    <m/>
    <s v="Low"/>
    <s v="Low"/>
    <m/>
    <m/>
    <m/>
    <m/>
    <m/>
    <m/>
    <m/>
    <m/>
    <m/>
    <m/>
    <s v="Indonesia"/>
  </r>
  <r>
    <n v="310"/>
    <s v="Vontobel Asset Management, Inc."/>
    <n v="3.9999999999999998E-6"/>
    <n v="3.9999999999999998E-6"/>
    <n v="3.9999999999999998E-6"/>
    <n v="1.7E-5"/>
    <n v="1.2999999999999999E-5"/>
    <m/>
    <m/>
    <m/>
    <m/>
    <m/>
    <m/>
    <n v="358206"/>
    <n v="358206"/>
    <n v="379791"/>
    <n v="1585592"/>
    <n v="1175164"/>
    <m/>
    <m/>
    <m/>
    <m/>
    <m/>
    <m/>
    <n v="0"/>
    <n v="-21585"/>
    <n v="-1205801"/>
    <n v="410428"/>
    <n v="1175164"/>
    <m/>
    <m/>
    <m/>
    <m/>
    <m/>
    <m/>
    <n v="2471621352.4499998"/>
    <n v="2471621352.4499998"/>
    <n v="2155313952.8000002"/>
    <n v="8363997732"/>
    <n v="4215900903.3000002"/>
    <m/>
    <m/>
    <m/>
    <m/>
    <m/>
    <m/>
    <d v="2024-04-30T00:00:00"/>
    <d v="2024-04-30T00:00:00"/>
    <d v="2023-10-31T00:00:00"/>
    <d v="2022-10-31T00:00:00"/>
    <d v="2021-10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/Hedge Fund"/>
    <n v="363880823268212"/>
    <s v="GARP"/>
    <s v="Low"/>
    <s v="Low"/>
    <s v="Low"/>
    <s v="Low"/>
    <s v="Moderate"/>
    <m/>
    <m/>
    <m/>
    <m/>
    <m/>
    <m/>
    <s v="New York"/>
    <s v="United States"/>
  </r>
  <r>
    <n v="311"/>
    <s v="Aviva Investors UK Fund Services Limited"/>
    <n v="3.9999999999999998E-6"/>
    <n v="3.9999999999999998E-6"/>
    <n v="3.0000000000000001E-6"/>
    <n v="1.9999999999999999E-6"/>
    <n v="9.9999999999999995E-7"/>
    <m/>
    <m/>
    <m/>
    <m/>
    <m/>
    <m/>
    <n v="356463"/>
    <n v="335144"/>
    <n v="231974"/>
    <n v="161116"/>
    <n v="68652"/>
    <m/>
    <m/>
    <m/>
    <m/>
    <m/>
    <m/>
    <n v="21319"/>
    <n v="103170"/>
    <n v="70858"/>
    <n v="92464"/>
    <n v="68652"/>
    <m/>
    <m/>
    <m/>
    <m/>
    <m/>
    <m/>
    <n v="1701032090.0999999"/>
    <n v="1905583430.2"/>
    <n v="1403442684.8"/>
    <n v="799538094.85000002"/>
    <n v="240886560"/>
    <m/>
    <m/>
    <m/>
    <m/>
    <m/>
    <m/>
    <d v="2025-08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14632029945943.199"/>
    <m/>
    <s v="Low"/>
    <s v="Low"/>
    <s v="Moderate"/>
    <s v="Moderate"/>
    <s v="High"/>
    <m/>
    <m/>
    <m/>
    <m/>
    <m/>
    <m/>
    <s v="London"/>
    <s v="United Kingdom"/>
  </r>
  <r>
    <n v="312"/>
    <s v="CSOP Asset Management Limited"/>
    <n v="3.9999999999999998E-6"/>
    <n v="3.9999999999999998E-6"/>
    <n v="9.9999999999999995E-7"/>
    <m/>
    <m/>
    <m/>
    <m/>
    <m/>
    <m/>
    <m/>
    <m/>
    <n v="355957"/>
    <n v="355957"/>
    <n v="69812"/>
    <m/>
    <m/>
    <m/>
    <m/>
    <m/>
    <m/>
    <m/>
    <m/>
    <n v="0"/>
    <n v="286145"/>
    <n v="69812"/>
    <m/>
    <m/>
    <m/>
    <m/>
    <m/>
    <m/>
    <m/>
    <m/>
    <n v="2023923449.4000001"/>
    <n v="2023923449.4000001"/>
    <n v="408400149.5"/>
    <m/>
    <m/>
    <m/>
    <m/>
    <m/>
    <m/>
    <m/>
    <m/>
    <d v="2024-12-31T00:00:00"/>
    <d v="2024-12-31T00:00:00"/>
    <d v="2023-11-30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75479918850373"/>
    <s v="Index"/>
    <s v="Moderate"/>
    <s v="Low"/>
    <s v="High"/>
    <m/>
    <m/>
    <m/>
    <m/>
    <m/>
    <m/>
    <m/>
    <m/>
    <s v="Central (Hong Kong)"/>
    <s v="Hong Kong"/>
  </r>
  <r>
    <n v="313"/>
    <s v="SPARX Asia Investment Advisors Limited"/>
    <n v="3.9999999999999998E-6"/>
    <n v="3.9999999999999998E-6"/>
    <n v="6.0000000000000002E-6"/>
    <m/>
    <m/>
    <m/>
    <m/>
    <m/>
    <m/>
    <m/>
    <m/>
    <n v="355733"/>
    <n v="355733"/>
    <n v="526182"/>
    <m/>
    <m/>
    <m/>
    <m/>
    <m/>
    <m/>
    <m/>
    <m/>
    <n v="0"/>
    <n v="-170449"/>
    <n v="526182"/>
    <m/>
    <m/>
    <m/>
    <m/>
    <m/>
    <m/>
    <m/>
    <m/>
    <n v="2098824759"/>
    <n v="2098824759"/>
    <n v="2657219170.9499998"/>
    <m/>
    <m/>
    <m/>
    <m/>
    <m/>
    <m/>
    <m/>
    <m/>
    <d v="2024-05-31T00:00:00"/>
    <d v="2024-05-31T00:00:00"/>
    <d v="2023-05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Hedge Fund"/>
    <n v="7148738431543.2002"/>
    <s v="Hedge Fund"/>
    <m/>
    <s v="Moderate"/>
    <s v="Low"/>
    <m/>
    <m/>
    <m/>
    <m/>
    <m/>
    <m/>
    <m/>
    <m/>
    <s v="Wanchai (Hong Kong)"/>
    <s v="Hong Kong"/>
  </r>
  <r>
    <n v="314"/>
    <s v="Subyantoro (Danis)"/>
    <n v="3.9999999999999998E-6"/>
    <n v="3.9999999999999998E-6"/>
    <m/>
    <m/>
    <m/>
    <m/>
    <m/>
    <m/>
    <m/>
    <m/>
    <m/>
    <n v="344800"/>
    <n v="344800"/>
    <m/>
    <m/>
    <m/>
    <m/>
    <m/>
    <m/>
    <m/>
    <m/>
    <m/>
    <n v="0"/>
    <n v="344800"/>
    <m/>
    <m/>
    <m/>
    <m/>
    <m/>
    <m/>
    <m/>
    <m/>
    <m/>
    <n v="1516664758"/>
    <n v="1960486210.9000001"/>
    <m/>
    <m/>
    <m/>
    <m/>
    <m/>
    <m/>
    <m/>
    <m/>
    <m/>
    <d v="2025-09-30T00:00:00"/>
    <d v="2024-12-31T00:00:00"/>
    <m/>
    <m/>
    <m/>
    <m/>
    <m/>
    <m/>
    <m/>
    <m/>
    <m/>
    <s v="Indonesia Insider"/>
    <s v="Indonesia Insider"/>
    <m/>
    <m/>
    <m/>
    <m/>
    <m/>
    <m/>
    <m/>
    <m/>
    <m/>
    <s v="Strategic Entities"/>
    <s v="Individual Investor"/>
    <n v="1732586461.2"/>
    <m/>
    <s v="Low"/>
    <s v="Low"/>
    <m/>
    <m/>
    <m/>
    <m/>
    <m/>
    <m/>
    <m/>
    <m/>
    <m/>
    <m/>
    <s v="Indonesia"/>
  </r>
  <r>
    <n v="315"/>
    <s v="Morgan Stanley Investment Management Ltd. (UK)"/>
    <n v="3.9999999999999998E-6"/>
    <n v="1.7E-5"/>
    <n v="3.1000000000000001E-5"/>
    <n v="9.9999999999999995E-7"/>
    <n v="3.9399999999999998E-4"/>
    <n v="0"/>
    <n v="9.9999999999999995E-7"/>
    <n v="0"/>
    <n v="7.4999999999999993E-5"/>
    <n v="3.0000000000000001E-6"/>
    <n v="3.9999999999999998E-6"/>
    <n v="343300"/>
    <n v="1538466"/>
    <n v="2903064"/>
    <n v="64000"/>
    <n v="36447750"/>
    <n v="19800"/>
    <n v="53000"/>
    <n v="18400"/>
    <n v="6889560"/>
    <n v="249600"/>
    <n v="382800"/>
    <n v="-1195166"/>
    <n v="-1364598"/>
    <n v="2839064"/>
    <n v="-36383750"/>
    <n v="36427950"/>
    <n v="-33200"/>
    <n v="34600"/>
    <n v="-6871160"/>
    <n v="6639960"/>
    <n v="-133200"/>
    <n v="382800"/>
    <n v="1510066731.5999999"/>
    <n v="8747509673.3999996"/>
    <n v="17563537236.799999"/>
    <n v="317599933.75"/>
    <n v="127888102867.5"/>
    <n v="62617557.600000001"/>
    <n v="202803039.59999999"/>
    <n v="67010931.25"/>
    <n v="27558239996.200001"/>
    <n v="722279988.60000002"/>
    <n v="885546194.39999998"/>
    <d v="2025-09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861629159014018"/>
    <s v="Core Value"/>
    <s v="Low"/>
    <s v="Moderate"/>
    <s v="Low"/>
    <s v="Moderate"/>
    <s v="Low"/>
    <s v="Low"/>
    <s v="Low"/>
    <s v="Low"/>
    <s v="Low"/>
    <s v="Moderate"/>
    <s v="Moderate"/>
    <s v="London"/>
    <s v="United Kingdom"/>
  </r>
  <r>
    <n v="316"/>
    <s v="Franklin Templeton Portfolio Advisors, Inc"/>
    <n v="3.9999999999999998E-6"/>
    <n v="3.0000000000000001E-6"/>
    <n v="1.9999999999999999E-6"/>
    <n v="0"/>
    <m/>
    <m/>
    <m/>
    <m/>
    <m/>
    <m/>
    <m/>
    <n v="336700"/>
    <n v="252100"/>
    <n v="170100"/>
    <n v="32800"/>
    <m/>
    <m/>
    <m/>
    <m/>
    <m/>
    <m/>
    <m/>
    <n v="84600"/>
    <n v="82000"/>
    <n v="137300"/>
    <n v="32800"/>
    <m/>
    <m/>
    <m/>
    <m/>
    <m/>
    <m/>
    <m/>
    <n v="1481035515.4000001"/>
    <n v="1433406451.0999999"/>
    <n v="1029104946.5"/>
    <n v="162770053.59999999"/>
    <m/>
    <m/>
    <m/>
    <m/>
    <m/>
    <m/>
    <m/>
    <d v="2025-09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201120598548881"/>
    <s v="Yield"/>
    <s v="Moderate"/>
    <s v="Low"/>
    <s v="Low"/>
    <s v="Moderate"/>
    <m/>
    <m/>
    <m/>
    <m/>
    <m/>
    <m/>
    <m/>
    <s v="San Mateo"/>
    <s v="United States"/>
  </r>
  <r>
    <n v="317"/>
    <s v="PGIM Securities Investment Trust Enterprise"/>
    <n v="3.0000000000000001E-6"/>
    <n v="3.0000000000000001E-6"/>
    <m/>
    <m/>
    <m/>
    <n v="0"/>
    <n v="0"/>
    <n v="3.0000000000000001E-6"/>
    <n v="0"/>
    <n v="3.0000000000000001E-6"/>
    <m/>
    <n v="320065"/>
    <n v="320065"/>
    <m/>
    <m/>
    <m/>
    <n v="0"/>
    <n v="0"/>
    <n v="315716"/>
    <n v="0"/>
    <n v="305288"/>
    <m/>
    <n v="0"/>
    <n v="320065"/>
    <m/>
    <m/>
    <m/>
    <n v="0"/>
    <n v="-315716"/>
    <n v="315716"/>
    <n v="-305288"/>
    <n v="305288"/>
    <m/>
    <n v="1819846256.2"/>
    <n v="1819846256.2"/>
    <m/>
    <m/>
    <m/>
    <n v="0"/>
    <n v="0"/>
    <n v="1149805218.75"/>
    <n v="0"/>
    <n v="883427121.29999995"/>
    <m/>
    <d v="2024-12-31T00:00:00"/>
    <d v="2024-12-31T00:00:00"/>
    <m/>
    <m/>
    <m/>
    <d v="2019-06-30T00:00:00"/>
    <d v="2019-06-30T00:00:00"/>
    <d v="2018-12-31T00:00:00"/>
    <d v="2017-06-30T00:00:00"/>
    <d v="2016-12-31T00:00:00"/>
    <m/>
    <s v="Aggregate MFs"/>
    <s v="Aggregate MFs"/>
    <m/>
    <m/>
    <m/>
    <s v="Aggregate MFs"/>
    <s v="Aggregate MFs"/>
    <s v="Aggregate MFs"/>
    <s v="Aggregate MFs"/>
    <s v="Aggregate MFs"/>
    <m/>
    <s v="Investment Managers"/>
    <s v="Investment Advisor"/>
    <n v="24366589089286.801"/>
    <s v="Core Growth"/>
    <s v="Moderate"/>
    <s v="Moderate"/>
    <m/>
    <m/>
    <m/>
    <s v="Moderate"/>
    <s v="High"/>
    <s v="High"/>
    <s v="Moderate"/>
    <s v="Moderate"/>
    <m/>
    <s v="Taipei"/>
    <s v="Taiwan"/>
  </r>
  <r>
    <n v="318"/>
    <s v="Mirae Asset Global Investments Co., Ltd."/>
    <n v="3.0000000000000001E-6"/>
    <n v="3.0000000000000001E-6"/>
    <m/>
    <m/>
    <m/>
    <n v="0"/>
    <n v="0"/>
    <n v="7.9999999999999996E-6"/>
    <n v="1.5999999999999999E-5"/>
    <n v="5.0000000000000004E-6"/>
    <n v="2.5000000000000001E-5"/>
    <n v="305500"/>
    <n v="275100"/>
    <m/>
    <m/>
    <m/>
    <n v="0"/>
    <n v="0"/>
    <n v="715200"/>
    <n v="1499800"/>
    <n v="424800"/>
    <n v="2277200"/>
    <n v="30400"/>
    <n v="275100"/>
    <m/>
    <m/>
    <m/>
    <n v="0"/>
    <n v="-715200"/>
    <n v="-784600"/>
    <n v="1075000"/>
    <n v="-1852400"/>
    <n v="0"/>
    <n v="1586683182.7"/>
    <n v="1564181465.9000001"/>
    <m/>
    <m/>
    <m/>
    <n v="0"/>
    <n v="0"/>
    <n v="2604684881.25"/>
    <n v="5999200062.6499996"/>
    <n v="1229265060.9000001"/>
    <n v="6102168604.3999996"/>
    <d v="2025-03-31T00:00:00"/>
    <d v="2024-12-31T00:00:00"/>
    <m/>
    <m/>
    <m/>
    <d v="2019-03-31T00:00:00"/>
    <d v="2019-03-31T00:00:00"/>
    <d v="2018-12-31T00:00:00"/>
    <d v="2017-12-31T00:00:00"/>
    <d v="2016-12-31T00:00:00"/>
    <d v="2014-12-31T00:00:00"/>
    <s v="Aggregate MFs"/>
    <s v="Aggregate MFs"/>
    <m/>
    <m/>
    <m/>
    <s v="Aggregate MFs"/>
    <s v="Aggregate MFs"/>
    <s v="Aggregate MFs"/>
    <s v="Aggregate MFs"/>
    <s v="Aggregate MFs"/>
    <s v="Aggregate MFs"/>
    <s v="Investment Managers"/>
    <s v="Investment Advisor/Hedge Fund"/>
    <n v="682026822296923"/>
    <s v="Core Value"/>
    <s v="Low"/>
    <s v="Low"/>
    <m/>
    <m/>
    <m/>
    <s v="Moderate"/>
    <s v="Moderate"/>
    <s v="Moderate"/>
    <s v="Moderate"/>
    <s v="Moderate"/>
    <s v="Low"/>
    <s v="Seoul"/>
    <s v="South Korea"/>
  </r>
  <r>
    <n v="319"/>
    <s v="Sumitomo Mitsui DS Asset Management (Hong Kong) Limited"/>
    <n v="3.0000000000000001E-6"/>
    <m/>
    <m/>
    <m/>
    <m/>
    <n v="1.6899999999999999E-4"/>
    <n v="1.7100000000000001E-4"/>
    <m/>
    <m/>
    <m/>
    <m/>
    <n v="295000"/>
    <m/>
    <m/>
    <m/>
    <m/>
    <n v="15625270"/>
    <n v="15769126"/>
    <m/>
    <m/>
    <m/>
    <m/>
    <n v="295000"/>
    <m/>
    <m/>
    <m/>
    <m/>
    <n v="-143856"/>
    <n v="15769126"/>
    <m/>
    <m/>
    <m/>
    <m/>
    <n v="1564941436.3499999"/>
    <m/>
    <m/>
    <m/>
    <m/>
    <n v="58985394195"/>
    <n v="62879389882.360001"/>
    <m/>
    <m/>
    <m/>
    <m/>
    <d v="2025-05-31T00:00:00"/>
    <m/>
    <m/>
    <m/>
    <m/>
    <d v="2020-01-31T00:00:00"/>
    <d v="2019-07-31T00:00:00"/>
    <m/>
    <m/>
    <m/>
    <m/>
    <s v="Aggregate MFs"/>
    <m/>
    <m/>
    <m/>
    <m/>
    <s v="Aggregate MFs"/>
    <s v="Aggregate MFs"/>
    <m/>
    <m/>
    <m/>
    <m/>
    <s v="Investment Managers"/>
    <s v="Investment Advisor/Hedge Fund"/>
    <n v="24286832535547.199"/>
    <m/>
    <s v="Low"/>
    <m/>
    <m/>
    <m/>
    <m/>
    <s v="Moderate"/>
    <s v="Low"/>
    <m/>
    <m/>
    <m/>
    <m/>
    <s v="Central (Hong Kong)"/>
    <s v="Hong Kong"/>
  </r>
  <r>
    <n v="320"/>
    <s v="BlackRock Advisors, LLC"/>
    <n v="3.0000000000000001E-6"/>
    <n v="3.9999999999999998E-6"/>
    <n v="0"/>
    <m/>
    <m/>
    <m/>
    <m/>
    <m/>
    <m/>
    <m/>
    <m/>
    <n v="294800"/>
    <n v="407900"/>
    <n v="0"/>
    <m/>
    <m/>
    <m/>
    <m/>
    <m/>
    <m/>
    <m/>
    <m/>
    <n v="-113100"/>
    <n v="407900"/>
    <n v="0"/>
    <m/>
    <m/>
    <m/>
    <m/>
    <m/>
    <m/>
    <m/>
    <m/>
    <n v="1563880468.5999999"/>
    <n v="2319264248.9000001"/>
    <n v="0"/>
    <m/>
    <m/>
    <m/>
    <m/>
    <m/>
    <m/>
    <m/>
    <m/>
    <d v="2025-05-31T00:00:00"/>
    <d v="2024-12-31T00:00:00"/>
    <d v="2023-07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273070668706104"/>
    <s v="Hedge Fund"/>
    <s v="Low"/>
    <s v="Moderate"/>
    <s v="High"/>
    <m/>
    <m/>
    <m/>
    <m/>
    <m/>
    <m/>
    <m/>
    <m/>
    <s v="New York"/>
    <s v="United States"/>
  </r>
  <r>
    <n v="321"/>
    <s v="Amova Asset Management Co., Ltd."/>
    <n v="3.0000000000000001E-6"/>
    <n v="3.0000000000000001E-6"/>
    <n v="3.0000000000000001E-6"/>
    <n v="3.0000000000000001E-6"/>
    <n v="2.5000000000000001E-5"/>
    <n v="2.5000000000000001E-5"/>
    <n v="5.3999999999999998E-5"/>
    <n v="6.7000000000000002E-5"/>
    <n v="6.3999999999999997E-5"/>
    <n v="7.4999999999999993E-5"/>
    <n v="7.4999999999999993E-5"/>
    <n v="291148"/>
    <n v="286882"/>
    <n v="273456"/>
    <n v="279552"/>
    <n v="2264248"/>
    <n v="2284546"/>
    <n v="4973530"/>
    <n v="6230120"/>
    <n v="5903620"/>
    <n v="6951892"/>
    <n v="6920800"/>
    <n v="4266"/>
    <n v="13426"/>
    <n v="-6096"/>
    <n v="-1984696"/>
    <n v="-20298"/>
    <n v="-2688984"/>
    <n v="-1256590"/>
    <n v="326500"/>
    <n v="-1048272"/>
    <n v="31092"/>
    <n v="0"/>
    <n v="1318286550"/>
    <n v="1631172341.8"/>
    <n v="1654408741.8499999"/>
    <n v="1387276853.05"/>
    <n v="7944808200"/>
    <n v="7224876734.3999996"/>
    <n v="19031076755.200001"/>
    <n v="22689456012.5"/>
    <n v="23614479949.799999"/>
    <n v="20117037532.5"/>
    <n v="17388510052.099998"/>
    <d v="2025-07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623493405365830"/>
    <s v="Core Growth"/>
    <s v="Low"/>
    <s v="Low"/>
    <s v="Low"/>
    <s v="Low"/>
    <s v="Low"/>
    <s v="Low"/>
    <s v="Low"/>
    <s v="Low"/>
    <s v="Low"/>
    <s v="Low"/>
    <s v="Low"/>
    <s v="Minato-ku (Tokyo)"/>
    <s v="Japan"/>
  </r>
  <r>
    <n v="322"/>
    <s v="Schroder Investment Management (Japan) Ltd."/>
    <n v="3.0000000000000001E-6"/>
    <n v="3.0000000000000001E-6"/>
    <n v="2.81E-4"/>
    <n v="2.81E-4"/>
    <n v="0"/>
    <n v="0"/>
    <m/>
    <m/>
    <m/>
    <m/>
    <m/>
    <n v="257346"/>
    <n v="257346"/>
    <n v="25986272"/>
    <n v="25990622"/>
    <n v="0"/>
    <n v="0"/>
    <m/>
    <m/>
    <m/>
    <m/>
    <m/>
    <n v="0"/>
    <n v="-25728926"/>
    <n v="-4350"/>
    <n v="25990622"/>
    <n v="0"/>
    <n v="0"/>
    <m/>
    <m/>
    <m/>
    <m/>
    <m/>
    <n v="1463234575.8"/>
    <n v="1463234575.8"/>
    <n v="135128614459.8"/>
    <n v="128978461791.85001"/>
    <n v="0"/>
    <n v="0"/>
    <m/>
    <m/>
    <m/>
    <m/>
    <m/>
    <d v="2024-12-31T00:00:00"/>
    <d v="2024-12-31T00:00:00"/>
    <d v="2023-06-30T00:00:00"/>
    <d v="2022-12-31T00:00:00"/>
    <d v="2020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27296786481873.602"/>
    <s v="Core Growth"/>
    <s v="Low"/>
    <s v="Low"/>
    <s v="Low"/>
    <s v="Low"/>
    <s v="Low"/>
    <s v="Low"/>
    <m/>
    <m/>
    <m/>
    <m/>
    <m/>
    <s v="Chiyoda-ku (Tokyo)"/>
    <s v="Japan"/>
  </r>
  <r>
    <n v="323"/>
    <s v="FIL Gestion"/>
    <n v="1.9999999999999999E-6"/>
    <m/>
    <m/>
    <m/>
    <m/>
    <n v="0"/>
    <n v="0"/>
    <n v="0"/>
    <m/>
    <m/>
    <m/>
    <n v="226415"/>
    <m/>
    <m/>
    <m/>
    <m/>
    <n v="0"/>
    <n v="0"/>
    <n v="10440"/>
    <m/>
    <m/>
    <m/>
    <n v="226415"/>
    <m/>
    <m/>
    <m/>
    <m/>
    <n v="0"/>
    <n v="-10440"/>
    <n v="10440"/>
    <m/>
    <m/>
    <m/>
    <n v="1107019735.2"/>
    <m/>
    <m/>
    <m/>
    <m/>
    <n v="0"/>
    <n v="0"/>
    <n v="38021443.75"/>
    <m/>
    <m/>
    <m/>
    <d v="2025-06-30T00:00:00"/>
    <m/>
    <m/>
    <m/>
    <m/>
    <d v="2019-03-31T00:00:00"/>
    <d v="2019-03-31T00:00:00"/>
    <d v="2018-12-31T00:00:00"/>
    <m/>
    <m/>
    <m/>
    <s v="Aggregate MFs"/>
    <m/>
    <m/>
    <m/>
    <m/>
    <s v="Aggregate MFs"/>
    <s v="Aggregate MFs"/>
    <s v="Aggregate MFs"/>
    <m/>
    <m/>
    <m/>
    <s v="Investment Managers"/>
    <s v="Investment Advisor"/>
    <n v="17438999834162.4"/>
    <m/>
    <s v="Moderate"/>
    <m/>
    <m/>
    <m/>
    <m/>
    <s v="High"/>
    <s v="High"/>
    <m/>
    <m/>
    <m/>
    <m/>
    <s v="Paris"/>
    <s v="France"/>
  </r>
  <r>
    <n v="324"/>
    <s v="Anggraini (Novita Widya)"/>
    <n v="1.9999999999999999E-6"/>
    <m/>
    <m/>
    <m/>
    <m/>
    <m/>
    <m/>
    <m/>
    <m/>
    <m/>
    <m/>
    <n v="222000"/>
    <m/>
    <m/>
    <m/>
    <m/>
    <m/>
    <m/>
    <m/>
    <m/>
    <m/>
    <m/>
    <n v="222000"/>
    <m/>
    <m/>
    <m/>
    <m/>
    <m/>
    <m/>
    <m/>
    <m/>
    <m/>
    <m/>
    <n v="976506907.60000002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15303928356"/>
    <m/>
    <s v="Low"/>
    <m/>
    <m/>
    <m/>
    <m/>
    <m/>
    <m/>
    <m/>
    <m/>
    <m/>
    <m/>
    <m/>
    <s v="Indonesia"/>
  </r>
  <r>
    <n v="325"/>
    <s v="Allspring Global Investments, LLC"/>
    <n v="1.9999999999999999E-6"/>
    <n v="1.92E-4"/>
    <n v="2.31E-4"/>
    <n v="9.8999999999999994E-5"/>
    <n v="8.1000000000000004E-5"/>
    <n v="1.2999999999999999E-5"/>
    <n v="1.7E-5"/>
    <n v="2.5399999999999999E-4"/>
    <n v="9.9999999999999995E-7"/>
    <n v="1.5E-5"/>
    <n v="2.3E-5"/>
    <n v="210200"/>
    <n v="17731078"/>
    <n v="21317039"/>
    <n v="9148156"/>
    <n v="7511316"/>
    <n v="1241062"/>
    <n v="1524662"/>
    <n v="23497600"/>
    <n v="126756"/>
    <n v="1402664"/>
    <n v="2170748"/>
    <n v="-17520878"/>
    <n v="-3585961"/>
    <n v="12168883"/>
    <n v="1636840"/>
    <n v="6270254"/>
    <n v="-283600"/>
    <n v="-21972938"/>
    <n v="23370844"/>
    <n v="-1275908"/>
    <n v="-768084"/>
    <n v="44008"/>
    <n v="1018062426.3"/>
    <n v="100816512990.89999"/>
    <n v="128968085813.39999"/>
    <n v="45397724179.5"/>
    <n v="26355754620"/>
    <n v="3924858553.1999998"/>
    <n v="5834077549.1999998"/>
    <n v="85575841681.25"/>
    <n v="507024024.05000001"/>
    <n v="4058959012.1999998"/>
    <n v="5021676168.8999996"/>
    <d v="2025-04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204824020911400"/>
    <s v="Core Value"/>
    <s v="Low"/>
    <s v="Low"/>
    <s v="Low"/>
    <s v="Low"/>
    <s v="Low"/>
    <s v="Moderate"/>
    <s v="Low"/>
    <s v="Moderate"/>
    <s v="Moderate"/>
    <s v="Moderate"/>
    <s v="Moderate"/>
    <s v="San Francisco"/>
    <s v="United States"/>
  </r>
  <r>
    <n v="326"/>
    <s v="AQR Capital Management, LLC"/>
    <n v="1.9999999999999999E-6"/>
    <n v="9.0000000000000002E-6"/>
    <n v="1.2999999999999999E-5"/>
    <n v="1.0000000000000001E-5"/>
    <n v="7.2999999999999999E-5"/>
    <n v="8.0000000000000007E-5"/>
    <n v="1.2E-5"/>
    <n v="2.3E-5"/>
    <n v="1.5E-5"/>
    <n v="2.3E-5"/>
    <n v="3.1999999999999999E-5"/>
    <n v="196700"/>
    <n v="843100"/>
    <n v="1171000"/>
    <n v="959000"/>
    <n v="6776600"/>
    <n v="7358000"/>
    <n v="1119000"/>
    <n v="2105600"/>
    <n v="1361400"/>
    <n v="2146800"/>
    <n v="2953200"/>
    <n v="-646400"/>
    <n v="-327900"/>
    <n v="212000"/>
    <n v="-5817600"/>
    <n v="-581400"/>
    <n v="6239000"/>
    <n v="-986600"/>
    <n v="744200"/>
    <n v="-785400"/>
    <n v="-806400"/>
    <n v="834400"/>
    <n v="961732995"/>
    <n v="4793752589.3999996"/>
    <n v="7025716932"/>
    <n v="3800037423.5999999"/>
    <n v="23777778285"/>
    <n v="23269675010.400002"/>
    <n v="4281823017.1999998"/>
    <n v="7668378537.5"/>
    <n v="5445600068.5"/>
    <n v="6212302442.1000004"/>
    <n v="6831752951.25"/>
    <d v="2025-06-30T00:00:00"/>
    <d v="2024-12-31T00:00:00"/>
    <d v="2023-09-30T00:00:00"/>
    <d v="2022-06-30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869792838354170"/>
    <s v="Hedge Fund"/>
    <s v="Moderate"/>
    <s v="Moderate"/>
    <s v="Moderate"/>
    <s v="Moderate"/>
    <s v="Moderate"/>
    <s v="Moderate"/>
    <s v="Moderate"/>
    <s v="Moderate"/>
    <s v="Moderate"/>
    <s v="Moderate"/>
    <s v="Moderate"/>
    <s v="Greenwich"/>
    <s v="United States"/>
  </r>
  <r>
    <n v="327"/>
    <s v="Rizaldi (Ari)"/>
    <n v="1.9999999999999999E-6"/>
    <m/>
    <m/>
    <m/>
    <m/>
    <m/>
    <m/>
    <m/>
    <m/>
    <m/>
    <m/>
    <n v="183168"/>
    <m/>
    <m/>
    <m/>
    <m/>
    <m/>
    <m/>
    <m/>
    <m/>
    <m/>
    <m/>
    <n v="183168"/>
    <m/>
    <m/>
    <m/>
    <m/>
    <m/>
    <m/>
    <m/>
    <m/>
    <m/>
    <m/>
    <n v="805697425.39999998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996336765.60000002"/>
    <m/>
    <s v="Low"/>
    <m/>
    <m/>
    <m/>
    <m/>
    <m/>
    <m/>
    <m/>
    <m/>
    <m/>
    <m/>
    <m/>
    <s v="Indonesia"/>
  </r>
  <r>
    <n v="328"/>
    <s v="BlackRock Investment Management (Australia) Ltd."/>
    <n v="1.9999999999999999E-6"/>
    <n v="1.9999999999999999E-6"/>
    <n v="1.9999999999999999E-6"/>
    <n v="9.9999999999999995E-7"/>
    <n v="6.9999999999999999E-6"/>
    <n v="1.1E-5"/>
    <n v="0"/>
    <n v="2.5000000000000001E-5"/>
    <n v="5.0000000000000004E-6"/>
    <m/>
    <m/>
    <n v="178600"/>
    <n v="178600"/>
    <n v="178600"/>
    <n v="86200"/>
    <n v="618200"/>
    <n v="987400"/>
    <n v="0"/>
    <n v="2287600"/>
    <n v="421600"/>
    <m/>
    <m/>
    <n v="0"/>
    <n v="0"/>
    <n v="92400"/>
    <n v="-532000"/>
    <n v="-369200"/>
    <n v="987400"/>
    <n v="-2287600"/>
    <n v="1866000"/>
    <n v="421600"/>
    <m/>
    <m/>
    <n v="1053740047.5"/>
    <n v="1053740047.5"/>
    <n v="1080529942.6500001"/>
    <n v="427767447.25"/>
    <n v="2169144120"/>
    <n v="3122652546"/>
    <n v="0"/>
    <n v="8331203893.75"/>
    <n v="1559919964.6800001"/>
    <m/>
    <m/>
    <d v="2024-05-31T00:00:00"/>
    <d v="2024-05-31T00:00:00"/>
    <d v="2023-12-31T00:00:00"/>
    <d v="2022-12-31T00:00:00"/>
    <d v="2021-12-31T00:00:00"/>
    <d v="2020-12-31T00:00:00"/>
    <d v="2019-02-28T00:00:00"/>
    <d v="2018-12-31T00:00:00"/>
    <d v="2017-11-30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1715962405213600"/>
    <s v="Index"/>
    <s v="Low"/>
    <s v="Low"/>
    <s v="Low"/>
    <s v="Low"/>
    <s v="Low"/>
    <s v="Low"/>
    <s v="Low"/>
    <s v="Low"/>
    <s v="Low"/>
    <m/>
    <m/>
    <s v="Melbourne"/>
    <s v="Australia"/>
  </r>
  <r>
    <n v="329"/>
    <s v="Shinhan Asset Management Co Ltd"/>
    <n v="1.9999999999999999E-6"/>
    <n v="1.9999999999999999E-6"/>
    <n v="3.0000000000000001E-6"/>
    <n v="0"/>
    <m/>
    <n v="0"/>
    <n v="0"/>
    <n v="7.9999999999999996E-6"/>
    <n v="6.0000000000000002E-6"/>
    <n v="6.0000000000000002E-6"/>
    <n v="5.0000000000000004E-6"/>
    <n v="175476"/>
    <n v="175476"/>
    <n v="284800"/>
    <n v="10400"/>
    <m/>
    <n v="0"/>
    <n v="0"/>
    <n v="729400"/>
    <n v="545588"/>
    <n v="545588"/>
    <n v="481588"/>
    <n v="0"/>
    <n v="-109324"/>
    <n v="274400"/>
    <n v="10400"/>
    <m/>
    <n v="0"/>
    <n v="-729400"/>
    <n v="183812"/>
    <n v="0"/>
    <n v="64000"/>
    <n v="-74400"/>
    <n v="997732855"/>
    <n v="997732855"/>
    <n v="1723039959.75"/>
    <n v="51609960.049999997"/>
    <m/>
    <n v="0"/>
    <n v="0"/>
    <n v="2656399806.25"/>
    <n v="1404889099.3499999"/>
    <n v="1404889099.3499999"/>
    <n v="1114076405.7"/>
    <d v="2024-12-31T00:00:00"/>
    <d v="2024-12-31T00:00:00"/>
    <d v="2023-12-31T00:00:00"/>
    <d v="2022-12-31T00:00:00"/>
    <m/>
    <d v="2019-09-30T00:00:00"/>
    <d v="2019-09-30T00:00:00"/>
    <d v="2018-12-31T00:00:00"/>
    <d v="2016-03-31T00:00:00"/>
    <d v="2016-03-31T00:00:00"/>
    <d v="2015-12-31T00:00:00"/>
    <s v="Aggregate MFs"/>
    <s v="Aggregate MFs"/>
    <s v="Aggregate MFs"/>
    <s v="Aggregate MFs"/>
    <m/>
    <s v="Aggregate MFs"/>
    <s v="Aggregate MFs"/>
    <s v="Aggregate MFs"/>
    <s v="Aggregate MFs"/>
    <s v="Aggregate MFs"/>
    <s v="Aggregate MFs"/>
    <s v="Investment Managers"/>
    <s v="Investment Advisor"/>
    <n v="87419896844965.203"/>
    <s v="Core Value"/>
    <s v="Low"/>
    <s v="Low"/>
    <s v="Moderate"/>
    <s v="Low"/>
    <m/>
    <s v="Moderate"/>
    <s v="Moderate"/>
    <s v="Moderate"/>
    <s v="Moderate"/>
    <s v="Moderate"/>
    <s v="Low"/>
    <s v="Seoul"/>
    <s v="South Korea"/>
  </r>
  <r>
    <n v="330"/>
    <s v="Franklin Advisory Services, LLC"/>
    <n v="1.9999999999999999E-6"/>
    <n v="1.9999999999999999E-6"/>
    <n v="3.0000000000000001E-6"/>
    <n v="1.9999999999999999E-6"/>
    <n v="1.9999999999999999E-6"/>
    <n v="9.9999999999999995E-7"/>
    <n v="9.9999999999999995E-7"/>
    <m/>
    <m/>
    <m/>
    <m/>
    <n v="164400"/>
    <n v="164400"/>
    <n v="234400"/>
    <n v="200200"/>
    <n v="162600"/>
    <n v="114000"/>
    <n v="121600"/>
    <m/>
    <m/>
    <m/>
    <m/>
    <n v="0"/>
    <n v="-70000"/>
    <n v="34200"/>
    <n v="37600"/>
    <n v="48600"/>
    <n v="-7600"/>
    <n v="121600"/>
    <m/>
    <m/>
    <m/>
    <m/>
    <n v="853848460.85000002"/>
    <n v="934756112.29999995"/>
    <n v="1418119969.9000001"/>
    <n v="993492470.29999995"/>
    <n v="570531952.5"/>
    <n v="360525016.80000001"/>
    <n v="465299101.19999999"/>
    <m/>
    <m/>
    <m/>
    <m/>
    <d v="2025-03-31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33008903970524"/>
    <s v="Core Value"/>
    <s v="Low"/>
    <s v="Low"/>
    <s v="Low"/>
    <s v="Moderate"/>
    <s v="Low"/>
    <s v="Low"/>
    <s v="Moderate"/>
    <m/>
    <m/>
    <m/>
    <m/>
    <s v="San Mateo"/>
    <s v="United States"/>
  </r>
  <r>
    <n v="331"/>
    <s v="KB Asset Management Co., Ltd."/>
    <n v="1.9999999999999999E-6"/>
    <n v="1.9999999999999999E-6"/>
    <n v="3.0000000000000001E-6"/>
    <n v="6.0000000000000002E-6"/>
    <n v="0"/>
    <n v="0"/>
    <n v="5.0000000000000004E-6"/>
    <n v="7.9999999999999996E-6"/>
    <n v="7.9999999999999996E-6"/>
    <n v="9.0000000000000002E-6"/>
    <n v="9.0000000000000002E-6"/>
    <n v="163900"/>
    <n v="163900"/>
    <n v="281500"/>
    <n v="550000"/>
    <n v="0"/>
    <n v="0"/>
    <n v="419400"/>
    <n v="709212"/>
    <n v="746552"/>
    <n v="786552"/>
    <n v="829752"/>
    <n v="0"/>
    <n v="-117600"/>
    <n v="-268500"/>
    <n v="550000"/>
    <n v="0"/>
    <n v="-419400"/>
    <n v="-289812"/>
    <n v="-37340"/>
    <n v="-40000"/>
    <n v="-43200"/>
    <n v="0"/>
    <n v="1007985041.8"/>
    <n v="1007985041.8"/>
    <n v="1703074954"/>
    <n v="2729375048.4000001"/>
    <n v="0"/>
    <n v="0"/>
    <n v="1604822672.4000001"/>
    <n v="2582877143.75"/>
    <n v="2986208052.9000001"/>
    <n v="2276084898.5999999"/>
    <n v="1919497701.1500001"/>
    <d v="2024-06-30T00:00:00"/>
    <d v="2024-06-30T00:00:00"/>
    <d v="2023-12-31T00:00:00"/>
    <d v="2022-12-31T00:00:00"/>
    <d v="2020-06-30T00:00:00"/>
    <d v="2020-06-30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054444403939180"/>
    <s v="GARP"/>
    <s v="High"/>
    <s v="Moderate"/>
    <s v="Moderate"/>
    <s v="Moderate"/>
    <s v="High"/>
    <s v="High"/>
    <s v="Moderate"/>
    <s v="Low"/>
    <s v="Moderate"/>
    <s v="Moderate"/>
    <s v="High"/>
    <s v="Seoul"/>
    <s v="South Korea"/>
  </r>
  <r>
    <n v="332"/>
    <s v="Panjaitan (Henry)"/>
    <n v="1.9999999999999999E-6"/>
    <m/>
    <m/>
    <m/>
    <m/>
    <m/>
    <m/>
    <m/>
    <m/>
    <m/>
    <m/>
    <n v="163000"/>
    <m/>
    <m/>
    <m/>
    <m/>
    <m/>
    <m/>
    <m/>
    <m/>
    <m/>
    <m/>
    <n v="163000"/>
    <m/>
    <m/>
    <m/>
    <m/>
    <m/>
    <m/>
    <m/>
    <m/>
    <m/>
    <m/>
    <n v="716984758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106625899.2"/>
    <m/>
    <m/>
    <m/>
    <m/>
    <m/>
    <m/>
    <m/>
    <m/>
    <m/>
    <m/>
    <m/>
    <m/>
    <m/>
    <s v="Indonesia"/>
  </r>
  <r>
    <n v="333"/>
    <s v="Franklin Templeton Institutional, LLC"/>
    <n v="1.9999999999999999E-6"/>
    <m/>
    <m/>
    <m/>
    <m/>
    <m/>
    <m/>
    <m/>
    <m/>
    <m/>
    <m/>
    <n v="162000"/>
    <m/>
    <m/>
    <m/>
    <m/>
    <m/>
    <m/>
    <m/>
    <m/>
    <m/>
    <m/>
    <n v="162000"/>
    <m/>
    <m/>
    <m/>
    <m/>
    <m/>
    <m/>
    <m/>
    <m/>
    <m/>
    <m/>
    <n v="712586184.79999995"/>
    <m/>
    <m/>
    <m/>
    <m/>
    <m/>
    <m/>
    <m/>
    <m/>
    <m/>
    <m/>
    <d v="2025-09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/Hedge Fund"/>
    <n v="75084444274120.797"/>
    <s v="Core Growth"/>
    <s v="Moderate"/>
    <m/>
    <m/>
    <m/>
    <m/>
    <m/>
    <m/>
    <m/>
    <m/>
    <m/>
    <m/>
    <s v="New York"/>
    <s v="United States"/>
  </r>
  <r>
    <n v="334"/>
    <s v="MLC Investments Limited"/>
    <n v="9.9999999999999995E-7"/>
    <n v="1.9999999999999999E-6"/>
    <n v="1.9999999999999999E-6"/>
    <n v="6.0000000000000002E-6"/>
    <n v="6.9999999999999999E-6"/>
    <n v="6.9999999999999999E-6"/>
    <n v="6.9999999999999999E-6"/>
    <n v="6.9999999999999999E-6"/>
    <n v="7.9999999999999996E-6"/>
    <n v="2.5999999999999998E-5"/>
    <n v="1.5E-5"/>
    <n v="122835"/>
    <n v="209132"/>
    <n v="196628"/>
    <n v="592936"/>
    <n v="619850"/>
    <n v="667460"/>
    <n v="686190"/>
    <n v="670550"/>
    <n v="728110"/>
    <n v="2393292"/>
    <n v="1400640"/>
    <n v="-86297"/>
    <n v="12504"/>
    <n v="-396308"/>
    <n v="-26914"/>
    <n v="-47610"/>
    <n v="-18730"/>
    <n v="15640"/>
    <n v="-57560"/>
    <n v="-1665182"/>
    <n v="992652"/>
    <n v="0"/>
    <n v="651625710.10000002"/>
    <n v="1189096212.9000001"/>
    <n v="1115863938.8"/>
    <n v="2519978040"/>
    <n v="1906038766.8"/>
    <n v="2110842203.3"/>
    <n v="2393087673"/>
    <n v="2442074162.5"/>
    <n v="2912439955.0999999"/>
    <n v="6925588781.1000004"/>
    <n v="3046392057.5"/>
    <d v="2025-05-31T00:00:00"/>
    <d v="2024-12-31T00:00:00"/>
    <d v="2023-10-31T00:00:00"/>
    <d v="2022-05-31T00:00:00"/>
    <d v="2021-09-30T00:00:00"/>
    <d v="2020-11-30T00:00:00"/>
    <d v="2019-11-30T00:00:00"/>
    <d v="2018-12-31T00:00:00"/>
    <d v="2017-12-31T00:00:00"/>
    <d v="2016-12-31T00:00:00"/>
    <d v="2015-10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27853111644073.199"/>
    <s v="Growth"/>
    <s v="Low"/>
    <s v="Low"/>
    <s v="Moderate"/>
    <s v="Low"/>
    <s v="Low"/>
    <s v="Low"/>
    <s v="Low"/>
    <s v="Moderate"/>
    <s v="Low"/>
    <s v="Low"/>
    <s v="High"/>
    <s v="Sydney"/>
    <s v="Australia"/>
  </r>
  <r>
    <n v="335"/>
    <s v="Saptari"/>
    <n v="9.9999999999999995E-7"/>
    <m/>
    <m/>
    <m/>
    <m/>
    <m/>
    <m/>
    <m/>
    <m/>
    <m/>
    <m/>
    <n v="121064"/>
    <m/>
    <m/>
    <m/>
    <m/>
    <m/>
    <m/>
    <m/>
    <m/>
    <m/>
    <m/>
    <n v="121064"/>
    <m/>
    <m/>
    <m/>
    <m/>
    <m/>
    <m/>
    <m/>
    <m/>
    <m/>
    <m/>
    <n v="532521739.39999998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608334778.79999995"/>
    <m/>
    <s v="Low"/>
    <m/>
    <m/>
    <m/>
    <m/>
    <m/>
    <m/>
    <m/>
    <m/>
    <m/>
    <m/>
    <m/>
    <s v="Indonesia"/>
  </r>
  <r>
    <n v="336"/>
    <s v="State Street Investment Management Australia Ltd."/>
    <n v="9.9999999999999995E-7"/>
    <n v="9.9999999999999995E-7"/>
    <n v="9.9999999999999995E-7"/>
    <n v="9.9999999999999995E-7"/>
    <n v="9.9999999999999995E-7"/>
    <n v="9.9999999999999995E-7"/>
    <n v="9.9999999999999995E-7"/>
    <n v="9.9999999999999995E-7"/>
    <n v="9.9999999999999995E-7"/>
    <m/>
    <m/>
    <n v="120600"/>
    <n v="96100"/>
    <n v="85100"/>
    <n v="104800"/>
    <n v="71400"/>
    <n v="96200"/>
    <n v="96200"/>
    <n v="116600"/>
    <n v="69600"/>
    <m/>
    <m/>
    <n v="24500"/>
    <n v="11000"/>
    <n v="-19700"/>
    <n v="33400"/>
    <n v="-24800"/>
    <n v="0"/>
    <n v="-20400"/>
    <n v="47000"/>
    <n v="69600"/>
    <m/>
    <m/>
    <n v="546063672"/>
    <n v="546411573"/>
    <n v="514854985"/>
    <n v="520070076.35000002"/>
    <n v="250528822.5"/>
    <n v="304232479.19999999"/>
    <n v="368106622"/>
    <n v="424645262.5"/>
    <n v="245339995.19999999"/>
    <m/>
    <m/>
    <d v="2025-07-31T00:00:00"/>
    <d v="2024-12-31T00:00:00"/>
    <d v="2023-12-31T00:00:00"/>
    <d v="2022-12-31T00:00:00"/>
    <d v="2021-12-31T00:00:00"/>
    <d v="2020-12-31T00:00:00"/>
    <d v="2019-12-31T00:00:00"/>
    <d v="2018-12-31T00:00:00"/>
    <d v="2017-10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/Hedge Fund"/>
    <n v="1345343903213740"/>
    <s v="Index"/>
    <s v="Low"/>
    <s v="Low"/>
    <s v="Low"/>
    <s v="Low"/>
    <s v="Moderate"/>
    <s v="Low"/>
    <s v="Low"/>
    <s v="Moderate"/>
    <s v="Low"/>
    <m/>
    <m/>
    <s v="Sydney"/>
    <s v="Australia"/>
  </r>
  <r>
    <n v="337"/>
    <s v="Woori Asset Management Corp."/>
    <n v="9.9999999999999995E-7"/>
    <n v="9.9999999999999995E-7"/>
    <n v="1.9999999999999999E-6"/>
    <m/>
    <m/>
    <m/>
    <m/>
    <m/>
    <m/>
    <m/>
    <m/>
    <n v="118700"/>
    <n v="118700"/>
    <n v="222600"/>
    <m/>
    <m/>
    <m/>
    <m/>
    <m/>
    <m/>
    <m/>
    <m/>
    <n v="0"/>
    <n v="-103900"/>
    <n v="222600"/>
    <m/>
    <m/>
    <m/>
    <m/>
    <m/>
    <m/>
    <m/>
    <m/>
    <n v="674912105.39999998"/>
    <n v="674912105.39999998"/>
    <n v="1346729968"/>
    <m/>
    <m/>
    <m/>
    <m/>
    <m/>
    <m/>
    <m/>
    <m/>
    <d v="2024-12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0422977464264.801"/>
    <s v="Core Value"/>
    <s v="Low"/>
    <s v="High"/>
    <s v="High"/>
    <m/>
    <m/>
    <m/>
    <m/>
    <m/>
    <m/>
    <m/>
    <m/>
    <s v="Seoul"/>
    <s v="South Korea"/>
  </r>
  <r>
    <n v="338"/>
    <s v="Sanarus Investment Management LLP"/>
    <n v="9.9999999999999995E-7"/>
    <n v="9.9999999999999995E-7"/>
    <n v="9.9999999999999995E-7"/>
    <m/>
    <m/>
    <m/>
    <m/>
    <m/>
    <m/>
    <m/>
    <m/>
    <n v="117300"/>
    <n v="117300"/>
    <n v="110200"/>
    <m/>
    <m/>
    <m/>
    <m/>
    <m/>
    <m/>
    <m/>
    <m/>
    <n v="0"/>
    <n v="7100"/>
    <n v="110200"/>
    <m/>
    <m/>
    <m/>
    <m/>
    <m/>
    <m/>
    <m/>
    <m/>
    <n v="692069977.35000002"/>
    <n v="692069977.35000002"/>
    <n v="666710033.39999998"/>
    <m/>
    <m/>
    <m/>
    <m/>
    <m/>
    <m/>
    <m/>
    <m/>
    <d v="2024-05-31T00:00:00"/>
    <d v="2024-05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20333542583502"/>
    <m/>
    <s v="Low"/>
    <s v="Low"/>
    <s v="Low"/>
    <m/>
    <m/>
    <m/>
    <m/>
    <m/>
    <m/>
    <m/>
    <m/>
    <s v="London"/>
    <s v="United Kingdom"/>
  </r>
  <r>
    <n v="339"/>
    <s v="Morgan Stanley Investment Management (Singapore)"/>
    <n v="9.9999999999999995E-7"/>
    <n v="1.5999999999999999E-5"/>
    <n v="1.2E-5"/>
    <n v="1.2E-5"/>
    <n v="1.2E-5"/>
    <n v="0"/>
    <n v="0"/>
    <n v="5.9999999999999995E-4"/>
    <n v="1.0579999999999999E-3"/>
    <n v="1.0380000000000001E-3"/>
    <n v="3.1100000000000002E-4"/>
    <n v="110900"/>
    <n v="1451900"/>
    <n v="1138500"/>
    <n v="1071800"/>
    <n v="1071800"/>
    <n v="0"/>
    <n v="0"/>
    <n v="55479400"/>
    <n v="97778600"/>
    <n v="95900400"/>
    <n v="28774800"/>
    <n v="-1341000"/>
    <n v="313400"/>
    <n v="66700"/>
    <n v="0"/>
    <n v="1071800"/>
    <n v="0"/>
    <n v="-55479400"/>
    <n v="-42299200"/>
    <n v="1878200"/>
    <n v="67125600"/>
    <n v="10694400"/>
    <n v="537122399.39999998"/>
    <n v="8255307241.1999998"/>
    <n v="6887924982.3999996"/>
    <n v="5318807516.5500002"/>
    <n v="3760738875"/>
    <n v="0"/>
    <n v="0"/>
    <n v="202050266743.75"/>
    <n v="391114400092.75"/>
    <n v="277511782708.79999"/>
    <n v="66565869286.800003"/>
    <d v="2025-04-30T00:00:00"/>
    <d v="2024-12-31T00:00:00"/>
    <d v="2023-12-31T00:00:00"/>
    <d v="2022-12-31T00:00:00"/>
    <d v="2021-12-31T00:00:00"/>
    <d v="2019-06-30T00:00:00"/>
    <d v="2019-06-30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09157699380421"/>
    <s v="Core Growth"/>
    <s v="Low"/>
    <s v="Low"/>
    <s v="High"/>
    <s v="Moderate"/>
    <s v="Moderate"/>
    <s v="Low"/>
    <s v="Low"/>
    <s v="Low"/>
    <s v="Moderate"/>
    <s v="Moderate"/>
    <s v="Moderate"/>
    <s v="Singapore"/>
    <s v="Singapore"/>
  </r>
  <r>
    <n v="340"/>
    <s v="State Street Investment Management (Japan)"/>
    <n v="9.9999999999999995E-7"/>
    <n v="6.3999999999999997E-5"/>
    <n v="6.3E-5"/>
    <n v="9.9999999999999995E-7"/>
    <n v="9.9999999999999995E-7"/>
    <n v="9.9999999999999995E-7"/>
    <n v="0"/>
    <m/>
    <m/>
    <m/>
    <m/>
    <n v="104738"/>
    <n v="5883438"/>
    <n v="5831242"/>
    <n v="96142"/>
    <n v="95098"/>
    <n v="53628"/>
    <n v="41800"/>
    <m/>
    <m/>
    <m/>
    <m/>
    <n v="-5778700"/>
    <n v="52196"/>
    <n v="5735100"/>
    <n v="1044"/>
    <n v="41470"/>
    <n v="11828"/>
    <n v="41800"/>
    <m/>
    <m/>
    <m/>
    <m/>
    <n v="460708976"/>
    <n v="33452433241.599998"/>
    <n v="35279014040.550003"/>
    <n v="505947270.39999998"/>
    <n v="332843053.60000002"/>
    <n v="169598512"/>
    <n v="145777503"/>
    <m/>
    <m/>
    <m/>
    <m/>
    <d v="2025-09-30T00:00:00"/>
    <d v="2024-12-31T00:00:00"/>
    <d v="2023-12-31T00:00:00"/>
    <d v="2022-11-30T00:00:00"/>
    <d v="2021-11-30T00:00:00"/>
    <d v="2020-11-30T00:00:00"/>
    <d v="2019-11-30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118659480174277"/>
    <s v="Index"/>
    <s v="Low"/>
    <s v="Low"/>
    <s v="Low"/>
    <s v="Moderate"/>
    <s v="Low"/>
    <s v="Low"/>
    <s v="Low"/>
    <m/>
    <m/>
    <m/>
    <m/>
    <s v="Minato-ku (Tokyo)"/>
    <s v="Japan"/>
  </r>
  <r>
    <n v="341"/>
    <s v="Lord, Abbett &amp; Co. LLC"/>
    <n v="9.9999999999999995E-7"/>
    <n v="4.3000000000000002E-5"/>
    <n v="0"/>
    <n v="9.9999999999999995E-7"/>
    <m/>
    <n v="0"/>
    <n v="0"/>
    <n v="2.32E-4"/>
    <m/>
    <m/>
    <m/>
    <n v="97135"/>
    <n v="3930800"/>
    <n v="0"/>
    <n v="90482"/>
    <m/>
    <n v="0"/>
    <n v="0"/>
    <n v="21400800"/>
    <m/>
    <m/>
    <m/>
    <n v="-3833665"/>
    <n v="3930800"/>
    <n v="-90482"/>
    <n v="90482"/>
    <m/>
    <n v="0"/>
    <n v="-21400800"/>
    <n v="21400800"/>
    <m/>
    <m/>
    <m/>
    <n v="474925992.89999998"/>
    <n v="22349997604.200001"/>
    <n v="0"/>
    <n v="449016940.89999998"/>
    <m/>
    <n v="0"/>
    <n v="0"/>
    <n v="77939511775"/>
    <m/>
    <m/>
    <m/>
    <d v="2025-06-30T00:00:00"/>
    <d v="2024-12-31T00:00:00"/>
    <d v="2023-03-31T00:00:00"/>
    <d v="2022-12-31T00:00:00"/>
    <m/>
    <d v="2019-09-30T00:00:00"/>
    <d v="2019-09-30T00:00:00"/>
    <d v="2018-12-31T00:00:00"/>
    <m/>
    <m/>
    <m/>
    <s v="Aggregate MFs"/>
    <s v="Aggregate MFs"/>
    <s v="Aggregate MFs"/>
    <s v="Aggregate MFs"/>
    <m/>
    <s v="Aggregate MFs"/>
    <s v="Aggregate MFs"/>
    <s v="Aggregate MFs"/>
    <m/>
    <m/>
    <m/>
    <s v="Investment Managers"/>
    <s v="Investment Advisor"/>
    <n v="588366435734738"/>
    <s v="Core Value"/>
    <s v="Low"/>
    <s v="Moderate"/>
    <s v="Moderate"/>
    <s v="Moderate"/>
    <m/>
    <s v="Moderate"/>
    <s v="Moderate"/>
    <s v="Moderate"/>
    <m/>
    <m/>
    <m/>
    <s v="Jersey City"/>
    <s v="United States"/>
  </r>
  <r>
    <n v="342"/>
    <s v="One Asset Management Ltd."/>
    <n v="9.9999999999999995E-7"/>
    <m/>
    <m/>
    <n v="0"/>
    <n v="0"/>
    <n v="3.9999999999999998E-6"/>
    <m/>
    <m/>
    <m/>
    <m/>
    <m/>
    <n v="87396"/>
    <m/>
    <m/>
    <n v="0"/>
    <n v="0"/>
    <n v="349200"/>
    <m/>
    <m/>
    <m/>
    <m/>
    <m/>
    <n v="87396"/>
    <m/>
    <m/>
    <n v="0"/>
    <n v="-349200"/>
    <n v="349200"/>
    <m/>
    <m/>
    <m/>
    <m/>
    <m/>
    <n v="427308633.60000002"/>
    <m/>
    <m/>
    <n v="0"/>
    <n v="0"/>
    <n v="1104344982"/>
    <m/>
    <m/>
    <m/>
    <m/>
    <m/>
    <d v="2025-06-30T00:00:00"/>
    <m/>
    <m/>
    <d v="2021-06-30T00:00:00"/>
    <d v="2021-06-30T00:00:00"/>
    <d v="2020-12-31T00:00:00"/>
    <m/>
    <m/>
    <m/>
    <m/>
    <m/>
    <s v="Aggregate MFs"/>
    <m/>
    <m/>
    <s v="Aggregate MFs"/>
    <s v="Aggregate MFs"/>
    <s v="Aggregate MFs"/>
    <m/>
    <m/>
    <m/>
    <m/>
    <m/>
    <s v="Investment Managers"/>
    <s v="Investment Advisor"/>
    <n v="12143268209088"/>
    <m/>
    <s v="Low"/>
    <m/>
    <m/>
    <s v="Moderate"/>
    <s v="Moderate"/>
    <s v="Low"/>
    <m/>
    <m/>
    <m/>
    <m/>
    <m/>
    <s v="Bangkok"/>
    <s v="Thailand"/>
  </r>
  <r>
    <n v="343"/>
    <s v="EFG Asset Management (Hong Kong) Limited"/>
    <n v="9.9999999999999995E-7"/>
    <n v="1.9999999999999999E-6"/>
    <m/>
    <m/>
    <m/>
    <m/>
    <m/>
    <m/>
    <m/>
    <m/>
    <m/>
    <n v="87300"/>
    <n v="156800"/>
    <m/>
    <m/>
    <m/>
    <m/>
    <m/>
    <m/>
    <m/>
    <m/>
    <m/>
    <n v="-69500"/>
    <n v="156800"/>
    <m/>
    <m/>
    <m/>
    <m/>
    <m/>
    <m/>
    <m/>
    <m/>
    <m/>
    <n v="426839262"/>
    <n v="891543682"/>
    <m/>
    <m/>
    <m/>
    <m/>
    <m/>
    <m/>
    <m/>
    <m/>
    <m/>
    <d v="2025-06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9849915949.199997"/>
    <m/>
    <s v="Low"/>
    <s v="High"/>
    <m/>
    <m/>
    <m/>
    <m/>
    <m/>
    <m/>
    <m/>
    <m/>
    <m/>
    <s v="Kowloon"/>
    <s v="Hong Kong"/>
  </r>
  <r>
    <n v="344"/>
    <s v="Tambunan (Jan Winston)"/>
    <n v="9.9999999999999995E-7"/>
    <m/>
    <m/>
    <m/>
    <m/>
    <m/>
    <m/>
    <m/>
    <m/>
    <m/>
    <m/>
    <n v="86400"/>
    <m/>
    <m/>
    <m/>
    <m/>
    <m/>
    <m/>
    <m/>
    <m/>
    <m/>
    <m/>
    <n v="86400"/>
    <m/>
    <m/>
    <m/>
    <m/>
    <m/>
    <m/>
    <m/>
    <m/>
    <m/>
    <m/>
    <n v="380045920.80000001"/>
    <m/>
    <m/>
    <m/>
    <m/>
    <m/>
    <m/>
    <m/>
    <m/>
    <m/>
    <m/>
    <d v="2025-09-30T00:00:00"/>
    <m/>
    <m/>
    <m/>
    <m/>
    <m/>
    <m/>
    <m/>
    <m/>
    <m/>
    <m/>
    <s v="Indonesia Insider"/>
    <m/>
    <m/>
    <m/>
    <m/>
    <m/>
    <m/>
    <m/>
    <m/>
    <m/>
    <m/>
    <s v="Strategic Entities"/>
    <s v="Individual Investor"/>
    <n v="452126078.39999998"/>
    <m/>
    <m/>
    <m/>
    <m/>
    <m/>
    <m/>
    <m/>
    <m/>
    <m/>
    <m/>
    <m/>
    <m/>
    <m/>
    <s v="Indonesia"/>
  </r>
  <r>
    <n v="345"/>
    <s v="Cathay Securities Investment Trust Co., Ltd."/>
    <n v="9.9999999999999995E-7"/>
    <n v="1.8E-5"/>
    <n v="3.0000000000000001E-5"/>
    <n v="6.9999999999999999E-6"/>
    <n v="9.9999999999999995E-7"/>
    <n v="4.5000000000000003E-5"/>
    <n v="9.9999999999999995E-7"/>
    <n v="3.0000000000000001E-5"/>
    <n v="4.5000000000000003E-5"/>
    <m/>
    <m/>
    <n v="79100"/>
    <n v="1650400"/>
    <n v="2792783"/>
    <n v="603266"/>
    <n v="62600"/>
    <n v="4131906"/>
    <n v="63800"/>
    <n v="2751668"/>
    <n v="4119534"/>
    <m/>
    <m/>
    <n v="-1571300"/>
    <n v="-1142383"/>
    <n v="2189517"/>
    <n v="540666"/>
    <n v="-4069306"/>
    <n v="4068106"/>
    <n v="-2687868"/>
    <n v="-1367866"/>
    <n v="4119534"/>
    <m/>
    <m/>
    <n v="377463144.44999999"/>
    <n v="9383951393.2999992"/>
    <n v="16896337180.549999"/>
    <n v="2993707505.25"/>
    <n v="219651352.5"/>
    <n v="13067152675.200001"/>
    <n v="244128935.19999999"/>
    <n v="10021291762.5"/>
    <n v="16478135975.25"/>
    <m/>
    <m/>
    <d v="2025-08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387009397282469"/>
    <s v="Yield"/>
    <s v="Low"/>
    <s v="Moderate"/>
    <s v="Moderate"/>
    <s v="Moderate"/>
    <s v="Moderate"/>
    <s v="High"/>
    <s v="High"/>
    <s v="Moderate"/>
    <s v="Moderate"/>
    <m/>
    <m/>
    <s v="Taipei"/>
    <s v="Taiwan"/>
  </r>
  <r>
    <n v="346"/>
    <s v="Ping An of China Asset Management (Hong Kong) Co., Ltd."/>
    <n v="9.9999999999999995E-7"/>
    <n v="9.9999999999999995E-7"/>
    <n v="6.0000000000000002E-6"/>
    <n v="6.9999999999999999E-6"/>
    <n v="1.4E-5"/>
    <m/>
    <m/>
    <m/>
    <m/>
    <m/>
    <m/>
    <n v="67000"/>
    <n v="67000"/>
    <n v="555800"/>
    <n v="652600"/>
    <n v="1306800"/>
    <m/>
    <m/>
    <m/>
    <m/>
    <m/>
    <m/>
    <n v="0"/>
    <n v="-488800"/>
    <n v="-96800"/>
    <n v="-654200"/>
    <n v="1306800"/>
    <m/>
    <m/>
    <m/>
    <m/>
    <m/>
    <m/>
    <n v="380952954.19999999"/>
    <n v="380952954.19999999"/>
    <n v="3362590063.4000001"/>
    <n v="3238527522.4499998"/>
    <n v="4585308427.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4024449098356.7998"/>
    <s v="Growth"/>
    <s v="Low"/>
    <s v="Low"/>
    <s v="Low"/>
    <s v="Low"/>
    <s v="Low"/>
    <m/>
    <m/>
    <m/>
    <m/>
    <m/>
    <m/>
    <s v="Central (Hong Kong)"/>
    <s v="Hong Kong"/>
  </r>
  <r>
    <n v="347"/>
    <s v="Quaestio Capital Management SGR S.p.A."/>
    <n v="9.9999999999999995E-7"/>
    <n v="9.9999999999999995E-7"/>
    <n v="9.9999999999999995E-7"/>
    <n v="1.9999999999999999E-6"/>
    <m/>
    <m/>
    <n v="0"/>
    <n v="0"/>
    <m/>
    <m/>
    <m/>
    <n v="63131"/>
    <n v="57882"/>
    <n v="90918"/>
    <n v="157198"/>
    <m/>
    <m/>
    <n v="0"/>
    <n v="0"/>
    <m/>
    <m/>
    <m/>
    <n v="5249"/>
    <n v="-33036"/>
    <n v="-66280"/>
    <n v="157198"/>
    <m/>
    <m/>
    <n v="0"/>
    <n v="0"/>
    <m/>
    <m/>
    <m/>
    <n v="308668794.30000001"/>
    <n v="329109204.30000001"/>
    <n v="550053959.04999995"/>
    <n v="780095075.10000002"/>
    <m/>
    <m/>
    <n v="0"/>
    <n v="0"/>
    <m/>
    <m/>
    <m/>
    <d v="2025-06-30T00:00:00"/>
    <d v="2024-12-31T00:00:00"/>
    <d v="2023-12-31T00:00:00"/>
    <d v="2022-12-31T00:00:00"/>
    <m/>
    <m/>
    <d v="2018-12-31T00:00:00"/>
    <d v="2018-12-31T00:00:00"/>
    <m/>
    <m/>
    <m/>
    <s v="Aggregate MFs"/>
    <s v="Aggregate MFs"/>
    <s v="Aggregate MFs"/>
    <s v="Aggregate MFs"/>
    <m/>
    <m/>
    <s v="Aggregate MFs"/>
    <s v="Aggregate MFs"/>
    <m/>
    <m/>
    <m/>
    <s v="Investment Managers"/>
    <s v="Investment Advisor"/>
    <n v="13551325602566.4"/>
    <m/>
    <s v="Moderate"/>
    <s v="Moderate"/>
    <s v="Low"/>
    <s v="Low"/>
    <m/>
    <m/>
    <s v="Low"/>
    <s v="Moderate"/>
    <m/>
    <m/>
    <m/>
    <s v="Milan"/>
    <s v="Italy"/>
  </r>
  <r>
    <n v="348"/>
    <s v="Morgan Stanley Investment Management Inc. (US)"/>
    <n v="9.9999999999999995E-7"/>
    <n v="3.3100000000000002E-4"/>
    <n v="7.7800000000000005E-4"/>
    <n v="7.1699999999999997E-4"/>
    <n v="5.0600000000000005E-4"/>
    <n v="9.9999999999999995E-7"/>
    <n v="3.8999999999999999E-4"/>
    <n v="8.7000000000000001E-4"/>
    <n v="1.653E-3"/>
    <n v="1.8320000000000001E-3"/>
    <n v="0"/>
    <n v="59400"/>
    <n v="30559400"/>
    <n v="71896800"/>
    <n v="66271800"/>
    <n v="46734400"/>
    <n v="118400"/>
    <n v="36077000"/>
    <n v="80345000"/>
    <n v="152712000"/>
    <n v="169245200"/>
    <n v="0"/>
    <n v="-30500000"/>
    <n v="-41337400"/>
    <n v="5625000"/>
    <n v="19537400"/>
    <n v="46616000"/>
    <n v="-35958600"/>
    <n v="-44268000"/>
    <n v="-72367000"/>
    <n v="-16533200"/>
    <n v="169245200"/>
    <n v="0"/>
    <n v="283455288.89999998"/>
    <n v="173756618120.89999"/>
    <n v="434975639735.5"/>
    <n v="328873807693.20001"/>
    <n v="163981967482.5"/>
    <n v="293040051.39999998"/>
    <n v="138047655697.60001"/>
    <n v="292608223668.75"/>
    <n v="610848000108"/>
    <n v="489753297722.09998"/>
    <n v="0"/>
    <d v="2025-08-31T00:00:00"/>
    <d v="2024-12-31T00:00:00"/>
    <d v="2023-12-31T00:00:00"/>
    <d v="2022-12-31T00:00:00"/>
    <d v="2021-12-31T00:00:00"/>
    <d v="2020-06-30T00:00:00"/>
    <d v="2019-12-31T00:00:00"/>
    <d v="2018-12-31T00:00:00"/>
    <d v="2017-12-31T00:00:00"/>
    <d v="2016-12-31T00:00:00"/>
    <d v="2015-03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944470759824180"/>
    <s v="GARP"/>
    <s v="Moderate"/>
    <s v="Moderate"/>
    <s v="Moderate"/>
    <s v="Low"/>
    <s v="Moderate"/>
    <s v="Moderate"/>
    <s v="Moderate"/>
    <s v="Moderate"/>
    <s v="Moderate"/>
    <s v="Moderate"/>
    <s v="Moderate"/>
    <s v="New York"/>
    <s v="United States"/>
  </r>
  <r>
    <n v="349"/>
    <s v="RHB Asset Management Pte. Ltd."/>
    <n v="9.9999999999999995E-7"/>
    <n v="9.9999999999999995E-7"/>
    <m/>
    <m/>
    <m/>
    <m/>
    <m/>
    <m/>
    <m/>
    <m/>
    <m/>
    <n v="52000"/>
    <n v="52000"/>
    <m/>
    <m/>
    <m/>
    <m/>
    <m/>
    <m/>
    <m/>
    <m/>
    <m/>
    <n v="0"/>
    <n v="52000"/>
    <m/>
    <m/>
    <m/>
    <m/>
    <m/>
    <m/>
    <m/>
    <m/>
    <m/>
    <n v="378650692.5"/>
    <n v="378650692.5"/>
    <m/>
    <m/>
    <m/>
    <m/>
    <m/>
    <m/>
    <m/>
    <m/>
    <m/>
    <d v="2024-10-31T00:00:00"/>
    <d v="2024-10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51278714730.79999"/>
    <m/>
    <s v="Low"/>
    <s v="Low"/>
    <m/>
    <m/>
    <m/>
    <m/>
    <m/>
    <m/>
    <m/>
    <m/>
    <m/>
    <s v="Singapore"/>
    <s v="Singapore"/>
  </r>
  <r>
    <n v="350"/>
    <s v="Bharata (Tedi)"/>
    <n v="0"/>
    <n v="0"/>
    <m/>
    <m/>
    <m/>
    <m/>
    <m/>
    <m/>
    <m/>
    <m/>
    <m/>
    <n v="30300"/>
    <n v="30300"/>
    <m/>
    <m/>
    <m/>
    <m/>
    <m/>
    <m/>
    <m/>
    <m/>
    <m/>
    <n v="0"/>
    <n v="30300"/>
    <m/>
    <m/>
    <m/>
    <m/>
    <m/>
    <m/>
    <m/>
    <m/>
    <m/>
    <n v="172281744.19999999"/>
    <n v="172281744.19999999"/>
    <m/>
    <m/>
    <m/>
    <m/>
    <m/>
    <m/>
    <m/>
    <m/>
    <m/>
    <d v="2024-12-31T00:00:00"/>
    <d v="2024-12-31T00:00:00"/>
    <m/>
    <m/>
    <m/>
    <m/>
    <m/>
    <m/>
    <m/>
    <m/>
    <m/>
    <s v="Indonesia Insider"/>
    <s v="Indonesia Insider"/>
    <m/>
    <m/>
    <m/>
    <m/>
    <m/>
    <m/>
    <m/>
    <m/>
    <m/>
    <s v="Strategic Entities"/>
    <s v="Individual Investor"/>
    <n v="178599098.40000001"/>
    <m/>
    <s v="Low"/>
    <s v="High"/>
    <m/>
    <m/>
    <m/>
    <m/>
    <m/>
    <m/>
    <m/>
    <m/>
    <m/>
    <m/>
    <s v="Indonesia"/>
  </r>
  <r>
    <n v="351"/>
    <s v="TOBAM"/>
    <n v="0"/>
    <n v="1.9999999999999999E-6"/>
    <n v="1.5799999999999999E-4"/>
    <n v="1.65E-4"/>
    <m/>
    <m/>
    <m/>
    <m/>
    <m/>
    <m/>
    <m/>
    <n v="30200"/>
    <n v="186602"/>
    <n v="14620400"/>
    <n v="15262800"/>
    <m/>
    <m/>
    <m/>
    <m/>
    <m/>
    <m/>
    <m/>
    <n v="-156402"/>
    <n v="-14433798"/>
    <n v="-642400"/>
    <n v="15262800"/>
    <m/>
    <m/>
    <m/>
    <m/>
    <m/>
    <m/>
    <m/>
    <n v="136742270"/>
    <n v="1060993747.1"/>
    <n v="88453419937.899994"/>
    <n v="75741644984.5"/>
    <m/>
    <m/>
    <m/>
    <m/>
    <m/>
    <m/>
    <m/>
    <d v="2025-07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1621209996034.4"/>
    <s v="Index"/>
    <s v="Moderate"/>
    <s v="High"/>
    <s v="Moderate"/>
    <s v="Moderate"/>
    <m/>
    <m/>
    <m/>
    <m/>
    <m/>
    <m/>
    <m/>
    <s v="Paris"/>
    <s v="France"/>
  </r>
  <r>
    <n v="352"/>
    <s v="Federated Hermes Investment Management Company"/>
    <n v="0"/>
    <n v="3.0000000000000001E-6"/>
    <n v="9.9999999999999995E-7"/>
    <n v="1.9999999999999999E-6"/>
    <n v="0"/>
    <m/>
    <m/>
    <m/>
    <m/>
    <n v="0"/>
    <n v="0"/>
    <n v="27300"/>
    <n v="241200"/>
    <n v="86300"/>
    <n v="216200"/>
    <n v="30800"/>
    <m/>
    <m/>
    <m/>
    <m/>
    <n v="0"/>
    <n v="0"/>
    <n v="-213900"/>
    <n v="154900"/>
    <n v="-129900"/>
    <n v="185400"/>
    <n v="30800"/>
    <m/>
    <m/>
    <m/>
    <m/>
    <n v="0"/>
    <n v="0"/>
    <n v="133478928.3"/>
    <n v="1371430667.3"/>
    <n v="522114959.10000002"/>
    <n v="1072892492.65"/>
    <n v="108071287.5"/>
    <m/>
    <m/>
    <m/>
    <m/>
    <n v="0"/>
    <n v="0"/>
    <d v="2025-06-30T00:00:00"/>
    <d v="2024-12-31T00:00:00"/>
    <d v="2023-12-31T00:00:00"/>
    <d v="2022-12-31T00:00:00"/>
    <d v="2021-12-31T00:00:00"/>
    <m/>
    <m/>
    <m/>
    <m/>
    <d v="2015-09-30T00:00:00"/>
    <d v="2015-09-30T00:00:00"/>
    <s v="Aggregate MFs"/>
    <s v="Aggregate MFs"/>
    <s v="Aggregate MFs"/>
    <s v="Aggregate MFs"/>
    <s v="Aggregate MFs"/>
    <m/>
    <m/>
    <m/>
    <m/>
    <s v="Aggregate MFs"/>
    <s v="Aggregate MFs"/>
    <s v="Investment Managers"/>
    <s v="Investment Advisor/Hedge Fund"/>
    <n v="236671329366421"/>
    <s v="Core Value"/>
    <s v="Low"/>
    <s v="Low"/>
    <s v="Low"/>
    <s v="Low"/>
    <s v="Low"/>
    <m/>
    <m/>
    <m/>
    <m/>
    <s v="High"/>
    <s v="Moderate"/>
    <s v="Pittsburgh"/>
    <s v="United States"/>
  </r>
  <r>
    <n v="353"/>
    <s v="Edmond de Rothschild (Suisse) S.A."/>
    <n v="0"/>
    <n v="3.0000000000000001E-6"/>
    <m/>
    <m/>
    <m/>
    <m/>
    <n v="7.9999999999999996E-6"/>
    <n v="7.9999999999999996E-6"/>
    <m/>
    <m/>
    <m/>
    <n v="16305"/>
    <n v="279524"/>
    <m/>
    <m/>
    <m/>
    <m/>
    <n v="737788"/>
    <n v="737788"/>
    <m/>
    <m/>
    <m/>
    <n v="-263219"/>
    <n v="279524"/>
    <m/>
    <m/>
    <m/>
    <m/>
    <n v="0"/>
    <n v="737788"/>
    <m/>
    <m/>
    <m/>
    <n v="73827271"/>
    <n v="1589335606.5"/>
    <m/>
    <m/>
    <m/>
    <m/>
    <n v="2480812154"/>
    <n v="2480812154"/>
    <m/>
    <m/>
    <m/>
    <d v="2025-07-31T00:00:00"/>
    <d v="2024-12-31T00:00:00"/>
    <m/>
    <m/>
    <m/>
    <m/>
    <d v="2018-09-30T00:00:00"/>
    <d v="2018-09-30T00:00:00"/>
    <m/>
    <m/>
    <m/>
    <s v="Aggregate MFs"/>
    <s v="Aggregate MFs"/>
    <m/>
    <m/>
    <m/>
    <m/>
    <s v="Aggregate MFs"/>
    <s v="Aggregate MFs"/>
    <m/>
    <m/>
    <m/>
    <s v="Investment Managers"/>
    <s v="Bank and Trust"/>
    <n v="6398831211490.7998"/>
    <s v="GARP"/>
    <s v="Low"/>
    <s v="Moderate"/>
    <m/>
    <m/>
    <m/>
    <m/>
    <s v="Low"/>
    <s v="High"/>
    <m/>
    <m/>
    <m/>
    <s v="Geneva"/>
    <s v="Switzerland"/>
  </r>
  <r>
    <n v="354"/>
    <s v="ICBC Asset Management (Global) Company Limited"/>
    <n v="0"/>
    <n v="0"/>
    <n v="9.9999999999999995E-7"/>
    <m/>
    <m/>
    <m/>
    <m/>
    <m/>
    <m/>
    <m/>
    <m/>
    <n v="14000"/>
    <n v="14000"/>
    <n v="90000"/>
    <m/>
    <m/>
    <m/>
    <m/>
    <m/>
    <m/>
    <m/>
    <m/>
    <n v="0"/>
    <n v="-76000"/>
    <n v="90000"/>
    <m/>
    <m/>
    <m/>
    <m/>
    <m/>
    <m/>
    <m/>
    <m/>
    <n v="79602057"/>
    <n v="79602057"/>
    <n v="544500058.85000002"/>
    <m/>
    <m/>
    <m/>
    <m/>
    <m/>
    <m/>
    <m/>
    <m/>
    <d v="2024-12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2258528071654.7998"/>
    <s v="GARP"/>
    <s v="Moderate"/>
    <s v="Low"/>
    <s v="Moderate"/>
    <m/>
    <m/>
    <m/>
    <m/>
    <m/>
    <m/>
    <m/>
    <m/>
    <s v="Central (Hong Kong)"/>
    <s v="Hong Kong"/>
  </r>
  <r>
    <n v="355"/>
    <s v="RBC Global Asset Management Inc."/>
    <n v="0"/>
    <n v="0"/>
    <n v="1.9999999999999999E-6"/>
    <n v="1.9999999999999999E-6"/>
    <n v="3.9999999999999998E-6"/>
    <n v="9.9999999999999995E-7"/>
    <n v="9.9999999999999995E-7"/>
    <n v="9.9999999999999995E-7"/>
    <n v="1.9999999999999999E-6"/>
    <n v="9.9999999999999995E-7"/>
    <m/>
    <n v="14000"/>
    <n v="14000"/>
    <n v="177300"/>
    <n v="197600"/>
    <n v="389400"/>
    <n v="61600"/>
    <n v="66000"/>
    <n v="110800"/>
    <n v="141200"/>
    <n v="64800"/>
    <m/>
    <n v="0"/>
    <n v="-163300"/>
    <n v="-20300"/>
    <n v="-191800"/>
    <n v="327800"/>
    <n v="-4400"/>
    <n v="-44800"/>
    <n v="-30400"/>
    <n v="76400"/>
    <n v="64800"/>
    <m/>
    <n v="86099979.400000006"/>
    <n v="86099979.400000006"/>
    <n v="1072664945.05"/>
    <n v="980590019.20000005"/>
    <n v="1366329330"/>
    <n v="194810054.40000001"/>
    <n v="252547155.19999999"/>
    <n v="403522206.25"/>
    <n v="564799936.39999998"/>
    <n v="187515061.80000001"/>
    <m/>
    <d v="2024-06-30T00:00:00"/>
    <d v="2024-06-30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2010269345285280"/>
    <s v="Core Value"/>
    <s v="Low"/>
    <s v="Low"/>
    <s v="Low"/>
    <s v="Low"/>
    <s v="Low"/>
    <s v="Low"/>
    <s v="Low"/>
    <s v="Low"/>
    <s v="Low"/>
    <s v="Low"/>
    <m/>
    <s v="Toronto"/>
    <s v="Canada"/>
  </r>
  <r>
    <n v="356"/>
    <s v="Aditya Birla Sun Life AMC Limited"/>
    <n v="0"/>
    <m/>
    <m/>
    <m/>
    <m/>
    <m/>
    <m/>
    <m/>
    <m/>
    <m/>
    <m/>
    <n v="7800"/>
    <m/>
    <m/>
    <m/>
    <m/>
    <m/>
    <m/>
    <m/>
    <m/>
    <m/>
    <m/>
    <n v="7800"/>
    <m/>
    <m/>
    <m/>
    <m/>
    <m/>
    <m/>
    <m/>
    <m/>
    <m/>
    <m/>
    <n v="34309770.600000001"/>
    <m/>
    <m/>
    <m/>
    <m/>
    <m/>
    <m/>
    <m/>
    <m/>
    <m/>
    <m/>
    <d v="2025-09-30T00:00:00"/>
    <m/>
    <m/>
    <m/>
    <m/>
    <m/>
    <m/>
    <m/>
    <m/>
    <m/>
    <m/>
    <s v="Aggregate MFs"/>
    <m/>
    <m/>
    <m/>
    <m/>
    <m/>
    <m/>
    <m/>
    <m/>
    <m/>
    <m/>
    <s v="Investment Managers"/>
    <s v="Investment Advisor"/>
    <n v="363202294792843"/>
    <s v="Core Growth"/>
    <s v="Low"/>
    <m/>
    <m/>
    <m/>
    <m/>
    <m/>
    <m/>
    <m/>
    <m/>
    <m/>
    <m/>
    <s v="Mumbai"/>
    <s v="India"/>
  </r>
  <r>
    <n v="357"/>
    <s v="UBS LA MAISON de Gestion SAS"/>
    <n v="0"/>
    <n v="0"/>
    <m/>
    <m/>
    <m/>
    <m/>
    <m/>
    <m/>
    <m/>
    <m/>
    <m/>
    <n v="6861"/>
    <n v="6861"/>
    <m/>
    <m/>
    <m/>
    <m/>
    <m/>
    <m/>
    <m/>
    <m/>
    <m/>
    <n v="0"/>
    <n v="6861"/>
    <m/>
    <m/>
    <m/>
    <m/>
    <m/>
    <m/>
    <m/>
    <m/>
    <m/>
    <n v="42195148.299999997"/>
    <n v="42195148.299999997"/>
    <m/>
    <m/>
    <m/>
    <m/>
    <m/>
    <m/>
    <m/>
    <m/>
    <m/>
    <d v="2024-06-30T00:00:00"/>
    <d v="2024-06-30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9273413056705.1992"/>
    <m/>
    <s v="Low"/>
    <s v="Moderate"/>
    <m/>
    <m/>
    <m/>
    <m/>
    <m/>
    <m/>
    <m/>
    <m/>
    <m/>
    <s v="Paris"/>
    <s v="France"/>
  </r>
  <r>
    <n v="358"/>
    <s v="AXA Investment Managers Deutschland GmbH"/>
    <n v="0"/>
    <n v="0"/>
    <m/>
    <m/>
    <m/>
    <m/>
    <m/>
    <m/>
    <m/>
    <m/>
    <m/>
    <n v="4725"/>
    <n v="4725"/>
    <m/>
    <m/>
    <m/>
    <m/>
    <m/>
    <m/>
    <m/>
    <m/>
    <m/>
    <n v="0"/>
    <n v="4725"/>
    <m/>
    <m/>
    <m/>
    <m/>
    <m/>
    <m/>
    <m/>
    <m/>
    <m/>
    <n v="34406287.200000003"/>
    <n v="34406287.200000003"/>
    <m/>
    <m/>
    <m/>
    <m/>
    <m/>
    <m/>
    <m/>
    <m/>
    <m/>
    <d v="2024-10-31T00:00:00"/>
    <d v="2024-10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3739473810212.398"/>
    <s v="Core Growth"/>
    <m/>
    <s v="Low"/>
    <m/>
    <m/>
    <m/>
    <m/>
    <m/>
    <m/>
    <m/>
    <m/>
    <m/>
    <s v="Frankfurt"/>
    <s v="Germany"/>
  </r>
  <r>
    <n v="359"/>
    <s v="Resona Asset Management Co., Ltd."/>
    <n v="0"/>
    <n v="0"/>
    <n v="0"/>
    <m/>
    <n v="0"/>
    <n v="1.9999999999999999E-6"/>
    <m/>
    <m/>
    <m/>
    <m/>
    <m/>
    <n v="1043"/>
    <n v="1078"/>
    <n v="1014"/>
    <m/>
    <n v="494"/>
    <n v="202464"/>
    <m/>
    <m/>
    <m/>
    <m/>
    <m/>
    <n v="-35"/>
    <n v="64"/>
    <n v="1014"/>
    <m/>
    <n v="-201970"/>
    <n v="202464"/>
    <m/>
    <m/>
    <m/>
    <m/>
    <m/>
    <n v="6299484.0499999998"/>
    <n v="7168633.25"/>
    <n v="5044700.25"/>
    <m/>
    <n v="1624076.8"/>
    <n v="764301583.5"/>
    <m/>
    <m/>
    <m/>
    <m/>
    <m/>
    <d v="2025-01-31T00:00:00"/>
    <d v="2024-01-31T00:00:00"/>
    <d v="2023-01-31T00:00:00"/>
    <m/>
    <d v="2021-01-31T00:00:00"/>
    <d v="2020-01-31T00:00:00"/>
    <m/>
    <m/>
    <m/>
    <m/>
    <m/>
    <s v="Aggregate MFs"/>
    <s v="Aggregate MFs"/>
    <s v="Aggregate MFs"/>
    <m/>
    <s v="Aggregate MFs"/>
    <s v="Aggregate MFs"/>
    <m/>
    <m/>
    <m/>
    <m/>
    <m/>
    <s v="Investment Managers"/>
    <s v="Investment Advisor"/>
    <n v="357690341794775"/>
    <m/>
    <s v="Low"/>
    <s v="High"/>
    <s v="Low"/>
    <m/>
    <s v="Low"/>
    <s v="Low"/>
    <m/>
    <m/>
    <m/>
    <m/>
    <m/>
    <s v="Koto-ku (Tokyo)"/>
    <s v="Japan"/>
  </r>
  <r>
    <n v="360"/>
    <s v="Acadian Asset Management LLC"/>
    <n v="0"/>
    <n v="0"/>
    <n v="2.2699999999999999E-4"/>
    <n v="1.7799999999999999E-4"/>
    <n v="0"/>
    <n v="0"/>
    <n v="0"/>
    <n v="0"/>
    <m/>
    <n v="0"/>
    <n v="0"/>
    <n v="0"/>
    <n v="0"/>
    <n v="21011900"/>
    <n v="16492400"/>
    <n v="0"/>
    <n v="0"/>
    <n v="0"/>
    <n v="0"/>
    <m/>
    <n v="0"/>
    <n v="0"/>
    <n v="0"/>
    <n v="-21011900"/>
    <n v="4519500"/>
    <n v="16492400"/>
    <n v="0"/>
    <n v="0"/>
    <n v="0"/>
    <n v="0"/>
    <m/>
    <n v="0"/>
    <n v="0"/>
    <n v="0"/>
    <n v="0"/>
    <n v="127121994850.25"/>
    <n v="81843535122.25"/>
    <n v="0"/>
    <n v="0"/>
    <n v="0"/>
    <n v="0"/>
    <m/>
    <n v="0"/>
    <n v="0"/>
    <d v="2024-08-31T00:00:00"/>
    <d v="2024-08-31T00:00:00"/>
    <d v="2023-12-31T00:00:00"/>
    <d v="2022-12-31T00:00:00"/>
    <d v="2020-09-30T00:00:00"/>
    <d v="2020-09-30T00:00:00"/>
    <d v="2019-09-30T00:00:00"/>
    <d v="2018-06-30T00:00:00"/>
    <m/>
    <d v="2015-10-31T00:00:00"/>
    <d v="2015-10-31T00:00:00"/>
    <s v="Aggregate MFs"/>
    <s v="Aggregate MFs"/>
    <s v="Aggregate MFs"/>
    <s v="Aggregate MFs"/>
    <s v="Aggregate MFs"/>
    <s v="Aggregate MFs"/>
    <s v="Aggregate MFs"/>
    <s v="Aggregate MFs"/>
    <m/>
    <s v="Aggregate MFs"/>
    <s v="Aggregate MFs"/>
    <s v="Investment Managers"/>
    <s v="Investment Advisor/Hedge Fund"/>
    <n v="945763041545233"/>
    <s v="Deep Value"/>
    <s v="Low"/>
    <s v="Moderate"/>
    <s v="Moderate"/>
    <s v="Moderate"/>
    <s v="Moderate"/>
    <s v="Moderate"/>
    <s v="Moderate"/>
    <s v="Moderate"/>
    <m/>
    <s v="Moderate"/>
    <s v="Moderate"/>
    <s v="Boston"/>
    <s v="United States"/>
  </r>
  <r>
    <n v="361"/>
    <s v="Aegon Asset Management Ltd"/>
    <n v="0"/>
    <n v="0"/>
    <n v="0"/>
    <n v="0"/>
    <n v="0"/>
    <n v="0"/>
    <n v="0"/>
    <m/>
    <m/>
    <m/>
    <m/>
    <n v="0"/>
    <n v="0"/>
    <n v="28348"/>
    <n v="24820"/>
    <n v="33954"/>
    <n v="38112"/>
    <n v="31338"/>
    <m/>
    <m/>
    <m/>
    <m/>
    <n v="0"/>
    <n v="-28348"/>
    <n v="3528"/>
    <n v="-9134"/>
    <n v="-4158"/>
    <n v="6774"/>
    <n v="31338"/>
    <m/>
    <m/>
    <m/>
    <m/>
    <n v="0"/>
    <n v="0"/>
    <n v="171505380.34999999"/>
    <n v="123169269.3"/>
    <n v="119137980"/>
    <n v="120529188"/>
    <n v="119914039.2"/>
    <m/>
    <m/>
    <m/>
    <m/>
    <d v="2024-12-31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43268939986807"/>
    <s v="Core Growth"/>
    <s v="Low"/>
    <s v="Moderate"/>
    <s v="Moderate"/>
    <s v="Low"/>
    <s v="Low"/>
    <s v="Low"/>
    <s v="High"/>
    <m/>
    <m/>
    <m/>
    <m/>
    <s v="Edinburgh"/>
    <s v="United Kingdom"/>
  </r>
  <r>
    <n v="362"/>
    <s v="Aegon UK plc"/>
    <n v="0"/>
    <n v="0"/>
    <n v="1.1E-5"/>
    <n v="6.9999999999999999E-6"/>
    <m/>
    <m/>
    <m/>
    <m/>
    <m/>
    <m/>
    <m/>
    <n v="0"/>
    <n v="9"/>
    <n v="1060560"/>
    <n v="684352"/>
    <m/>
    <m/>
    <m/>
    <m/>
    <m/>
    <m/>
    <m/>
    <n v="-9"/>
    <n v="-1060551"/>
    <n v="376208"/>
    <n v="684352"/>
    <m/>
    <m/>
    <m/>
    <m/>
    <m/>
    <m/>
    <m/>
    <n v="0"/>
    <n v="51166.2"/>
    <n v="6416387986.5500002"/>
    <n v="3396096842.5999999"/>
    <m/>
    <m/>
    <m/>
    <m/>
    <m/>
    <m/>
    <m/>
    <d v="2025-04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09423517867890"/>
    <m/>
    <s v="Low"/>
    <s v="Low"/>
    <s v="Moderate"/>
    <s v="Low"/>
    <m/>
    <m/>
    <m/>
    <m/>
    <m/>
    <m/>
    <m/>
    <s v="Edinburgh"/>
    <s v="United Kingdom"/>
  </r>
  <r>
    <n v="363"/>
    <s v="AFH Wealth Management"/>
    <n v="0"/>
    <n v="5.7000000000000003E-5"/>
    <n v="2.6999999999999999E-5"/>
    <m/>
    <n v="0"/>
    <n v="1.07E-4"/>
    <n v="5.0000000000000002E-5"/>
    <n v="3.1000000000000001E-5"/>
    <m/>
    <m/>
    <m/>
    <n v="0"/>
    <n v="5233900"/>
    <n v="2451100"/>
    <m/>
    <n v="0"/>
    <n v="9902200"/>
    <n v="4639800"/>
    <n v="2842600"/>
    <m/>
    <m/>
    <m/>
    <n v="-5233900"/>
    <n v="2782800"/>
    <n v="2451100"/>
    <m/>
    <n v="-9902200"/>
    <n v="5262400"/>
    <n v="1797200"/>
    <n v="2842600"/>
    <m/>
    <m/>
    <m/>
    <n v="0"/>
    <n v="29759248076.099998"/>
    <n v="14829154927.6"/>
    <m/>
    <n v="0"/>
    <n v="31315707399.599998"/>
    <n v="17754068036.400002"/>
    <n v="10352456687.5"/>
    <m/>
    <m/>
    <m/>
    <d v="2025-05-31T00:00:00"/>
    <d v="2024-12-31T00:00:00"/>
    <d v="2023-12-31T00:00:00"/>
    <m/>
    <d v="2021-01-31T00:00:00"/>
    <d v="2020-12-31T00:00:00"/>
    <d v="2019-12-31T00:00:00"/>
    <d v="2018-12-31T00:00:00"/>
    <m/>
    <m/>
    <m/>
    <s v="Aggregate MFs"/>
    <s v="Aggregate MFs"/>
    <s v="Aggregate MFs"/>
    <m/>
    <s v="Aggregate MFs"/>
    <s v="Aggregate MFs"/>
    <s v="Aggregate MFs"/>
    <s v="Aggregate MFs"/>
    <m/>
    <m/>
    <m/>
    <s v="Investment Managers"/>
    <s v="Investment Advisor"/>
    <n v="36083773968186"/>
    <m/>
    <s v="Low"/>
    <s v="Moderate"/>
    <s v="Low"/>
    <m/>
    <s v="Moderate"/>
    <s v="High"/>
    <s v="Moderate"/>
    <s v="High"/>
    <m/>
    <m/>
    <m/>
    <s v="Worcester(Worcestershire)"/>
    <s v="United Kingdom"/>
  </r>
  <r>
    <n v="364"/>
    <s v="AGF Investments Inc."/>
    <n v="0"/>
    <n v="1.3899999999999999E-4"/>
    <n v="2.3499999999999999E-4"/>
    <n v="3.9899999999999999E-4"/>
    <n v="7.8399999999999997E-4"/>
    <n v="6.7900000000000002E-4"/>
    <n v="7.2099999999999996E-4"/>
    <n v="5.3899999999999998E-4"/>
    <n v="4.6000000000000001E-4"/>
    <n v="5.2599999999999999E-4"/>
    <n v="5.1199999999999998E-4"/>
    <n v="0"/>
    <n v="12820677"/>
    <n v="21733366"/>
    <n v="36843096"/>
    <n v="72399796"/>
    <n v="62773832"/>
    <n v="66655788"/>
    <n v="49763188"/>
    <n v="42526188"/>
    <n v="48578552"/>
    <n v="47331684"/>
    <n v="-12820677"/>
    <n v="-8912689"/>
    <n v="-15109730"/>
    <n v="-35556700"/>
    <n v="9625964"/>
    <n v="-3881956"/>
    <n v="16892600"/>
    <n v="7237000"/>
    <n v="-6052364"/>
    <n v="1246868"/>
    <n v="-26747664"/>
    <n v="0"/>
    <n v="72896636546.899994"/>
    <n v="131486864226.60001"/>
    <n v="182833864074.39999"/>
    <n v="254036876242.5"/>
    <n v="198522243457.20001"/>
    <n v="255056553434.39999"/>
    <n v="181232410862.5"/>
    <n v="170104752057.75"/>
    <n v="140574184967.70001"/>
    <n v="109494234322.5"/>
    <d v="2025-05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26945203598370"/>
    <s v="GARP"/>
    <s v="Moderate"/>
    <s v="Low"/>
    <s v="Moderate"/>
    <s v="Moderate"/>
    <s v="Low"/>
    <s v="Moderate"/>
    <s v="Low"/>
    <s v="Low"/>
    <s v="Low"/>
    <s v="Low"/>
    <s v="Moderate"/>
    <s v="Toronto"/>
    <s v="Canada"/>
  </r>
  <r>
    <n v="365"/>
    <s v="AllianceBernstein Hong Kong Ltd."/>
    <n v="0"/>
    <n v="1.3200000000000001E-4"/>
    <m/>
    <m/>
    <m/>
    <m/>
    <n v="0"/>
    <n v="6.0000000000000002E-5"/>
    <n v="1.8599999999999999E-4"/>
    <n v="8.2000000000000001E-5"/>
    <n v="7.3999999999999996E-5"/>
    <n v="0"/>
    <n v="12215000"/>
    <m/>
    <m/>
    <m/>
    <m/>
    <n v="0"/>
    <n v="5510000"/>
    <n v="17160000"/>
    <n v="7558000"/>
    <n v="6794000"/>
    <n v="-12215000"/>
    <n v="12215000"/>
    <m/>
    <m/>
    <m/>
    <m/>
    <n v="-5510000"/>
    <n v="-11650000"/>
    <n v="9602000"/>
    <n v="764000"/>
    <n v="-19144160"/>
    <n v="0"/>
    <n v="69452839140.899994"/>
    <m/>
    <m/>
    <m/>
    <m/>
    <n v="0"/>
    <n v="18527375051"/>
    <n v="68639999985.849998"/>
    <n v="21209637453.900002"/>
    <n v="15716825764.5"/>
    <d v="2025-04-30T00:00:00"/>
    <d v="2024-12-31T00:00:00"/>
    <m/>
    <m/>
    <m/>
    <m/>
    <d v="2019-02-28T00:00:00"/>
    <d v="2018-09-30T00:00:00"/>
    <d v="2017-12-31T00:00:00"/>
    <d v="2016-08-31T00:00:00"/>
    <d v="2015-12-31T00:00:00"/>
    <s v="Aggregate MFs"/>
    <s v="Aggregate MFs"/>
    <m/>
    <m/>
    <m/>
    <m/>
    <s v="Aggregate MFs"/>
    <s v="Aggregate MFs"/>
    <s v="Aggregate MFs"/>
    <s v="Aggregate MFs"/>
    <s v="Aggregate MFs"/>
    <s v="Investment Managers"/>
    <s v="Investment Advisor/Hedge Fund"/>
    <n v="18741123847012.801"/>
    <s v="Deep Value"/>
    <s v="Moderate"/>
    <s v="High"/>
    <m/>
    <m/>
    <m/>
    <m/>
    <s v="Moderate"/>
    <s v="Moderate"/>
    <s v="Moderate"/>
    <s v="High"/>
    <s v="High"/>
    <s v="Quarry Bay"/>
    <s v="Hong Kong"/>
  </r>
  <r>
    <n v="366"/>
    <s v="AllianceBernstein Ltd. (Value)"/>
    <n v="0"/>
    <n v="5.2700000000000002E-4"/>
    <m/>
    <m/>
    <m/>
    <m/>
    <m/>
    <m/>
    <m/>
    <m/>
    <m/>
    <n v="0"/>
    <n v="48737174"/>
    <m/>
    <m/>
    <m/>
    <m/>
    <m/>
    <m/>
    <m/>
    <m/>
    <m/>
    <n v="-48737174"/>
    <n v="48737174"/>
    <m/>
    <m/>
    <m/>
    <m/>
    <m/>
    <m/>
    <m/>
    <m/>
    <m/>
    <n v="0"/>
    <n v="277112984272.79999"/>
    <m/>
    <m/>
    <m/>
    <m/>
    <m/>
    <m/>
    <m/>
    <m/>
    <m/>
    <d v="2025-01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43917287200664.398"/>
    <s v="Core Value"/>
    <s v="Moderate"/>
    <s v="High"/>
    <m/>
    <m/>
    <m/>
    <m/>
    <m/>
    <m/>
    <m/>
    <m/>
    <m/>
    <s v="London"/>
    <s v="United Kingdom"/>
  </r>
  <r>
    <n v="367"/>
    <s v="Allianz Global Investors Asia Pacific Limited"/>
    <n v="0"/>
    <n v="0"/>
    <n v="9.6000000000000002E-5"/>
    <n v="1.07E-4"/>
    <n v="1.46E-4"/>
    <n v="1.27E-4"/>
    <n v="1.11E-4"/>
    <n v="9.2E-5"/>
    <n v="1.4300000000000001E-4"/>
    <n v="4.7699999999999999E-4"/>
    <n v="7.27E-4"/>
    <n v="0"/>
    <n v="0"/>
    <n v="8850688"/>
    <n v="9916988"/>
    <n v="13459118"/>
    <n v="11747588"/>
    <n v="10255588"/>
    <n v="8500188"/>
    <n v="13194388"/>
    <n v="44034592"/>
    <n v="67182992"/>
    <n v="0"/>
    <n v="-8850688"/>
    <n v="-1066300"/>
    <n v="-3542130"/>
    <n v="1711530"/>
    <n v="1492000"/>
    <n v="1755400"/>
    <n v="-4694200"/>
    <n v="-30840204"/>
    <n v="-23148400"/>
    <n v="0"/>
    <n v="0"/>
    <n v="0"/>
    <n v="53546662385.599998"/>
    <n v="49213052934.650002"/>
    <n v="47225440927.5"/>
    <n v="37151747053.199997"/>
    <n v="39242727598"/>
    <n v="30956810181.25"/>
    <n v="52777551959.300003"/>
    <n v="127425100713.3"/>
    <n v="133106303003.14999"/>
    <d v="2024-02-29T00:00:00"/>
    <d v="2024-02-29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09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88263699158707"/>
    <s v="Growth"/>
    <s v="Low"/>
    <s v="Moderate"/>
    <s v="Moderate"/>
    <s v="High"/>
    <s v="Moderate"/>
    <s v="High"/>
    <s v="Moderate"/>
    <s v="Low"/>
    <s v="Moderate"/>
    <s v="Moderate"/>
    <s v="Moderate"/>
    <s v="Central (Hong Kong)"/>
    <s v="Hong Kong"/>
  </r>
  <r>
    <n v="368"/>
    <s v="Allianz Global Investors GmbH"/>
    <n v="0"/>
    <n v="1.85E-4"/>
    <n v="2.4000000000000001E-4"/>
    <n v="2.4699999999999999E-4"/>
    <n v="0"/>
    <n v="0"/>
    <m/>
    <m/>
    <n v="0"/>
    <n v="1.9999999999999999E-6"/>
    <n v="5.1999999999999997E-5"/>
    <n v="0"/>
    <n v="17059508"/>
    <n v="22204830"/>
    <n v="22792252"/>
    <n v="0"/>
    <n v="0"/>
    <m/>
    <m/>
    <n v="0"/>
    <n v="222400"/>
    <n v="4762400"/>
    <n v="-17059508"/>
    <n v="-5145322"/>
    <n v="-587422"/>
    <n v="22792252"/>
    <n v="0"/>
    <n v="0"/>
    <m/>
    <m/>
    <n v="-222400"/>
    <n v="-4540000"/>
    <n v="-119600"/>
    <n v="0"/>
    <n v="96998056716.899994"/>
    <n v="134339221345.85001"/>
    <n v="113106550654.89999"/>
    <n v="0"/>
    <n v="0"/>
    <m/>
    <m/>
    <n v="0"/>
    <n v="622720002.05999994"/>
    <n v="11017046025.450001"/>
    <d v="2025-06-30T00:00:00"/>
    <d v="2024-12-31T00:00:00"/>
    <d v="2023-12-31T00:00:00"/>
    <d v="2022-12-31T00:00:00"/>
    <d v="2020-03-31T00:00:00"/>
    <d v="2020-03-31T00:00:00"/>
    <m/>
    <m/>
    <d v="2017-02-28T00:00:00"/>
    <d v="2016-09-30T00:00:00"/>
    <d v="2015-12-31T00:00:00"/>
    <s v="Aggregate MFs"/>
    <s v="Aggregate MFs"/>
    <s v="Aggregate MFs"/>
    <s v="Aggregate MFs"/>
    <s v="Aggregate MFs"/>
    <s v="Aggregate MFs"/>
    <m/>
    <m/>
    <s v="Aggregate MFs"/>
    <s v="Aggregate MFs"/>
    <s v="Aggregate MFs"/>
    <s v="Investment Managers"/>
    <s v="Investment Advisor"/>
    <n v="1680670709872630"/>
    <s v="GARP"/>
    <s v="Low"/>
    <s v="Low"/>
    <s v="Low"/>
    <s v="Low"/>
    <s v="Low"/>
    <s v="Moderate"/>
    <m/>
    <m/>
    <s v="Low"/>
    <s v="Moderate"/>
    <s v="Low"/>
    <s v="Frankfurt"/>
    <s v="Germany"/>
  </r>
  <r>
    <n v="369"/>
    <s v="Amova Asset Management Americas, Inc"/>
    <n v="0"/>
    <n v="0"/>
    <n v="4.8000000000000001E-5"/>
    <m/>
    <m/>
    <m/>
    <m/>
    <m/>
    <m/>
    <m/>
    <m/>
    <n v="0"/>
    <n v="0"/>
    <n v="4465600"/>
    <m/>
    <m/>
    <m/>
    <m/>
    <m/>
    <m/>
    <m/>
    <m/>
    <n v="0"/>
    <n v="-4465600"/>
    <n v="4465600"/>
    <m/>
    <m/>
    <m/>
    <m/>
    <m/>
    <m/>
    <m/>
    <m/>
    <n v="0"/>
    <n v="0"/>
    <n v="27016879938.849998"/>
    <m/>
    <m/>
    <m/>
    <m/>
    <m/>
    <m/>
    <m/>
    <m/>
    <d v="2024-06-30T00:00:00"/>
    <d v="2024-06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110964578941258"/>
    <s v="Core Value"/>
    <s v="Low"/>
    <s v="Low"/>
    <s v="Low"/>
    <m/>
    <m/>
    <m/>
    <m/>
    <m/>
    <m/>
    <m/>
    <m/>
    <s v="New York"/>
    <s v="United States"/>
  </r>
  <r>
    <n v="370"/>
    <s v="Amova Asset Management Asia Limited"/>
    <n v="0"/>
    <n v="3.9999999999999998E-6"/>
    <n v="7.9999999999999996E-6"/>
    <n v="2.0999999999999999E-5"/>
    <n v="5.0000000000000004E-6"/>
    <n v="5.0000000000000004E-6"/>
    <n v="4.6E-5"/>
    <n v="3.1999999999999999E-5"/>
    <n v="0"/>
    <n v="3.6000000000000001E-5"/>
    <m/>
    <n v="0"/>
    <n v="326200"/>
    <n v="752200"/>
    <n v="1965800"/>
    <n v="444000"/>
    <n v="444000"/>
    <n v="4238400"/>
    <n v="2935000"/>
    <n v="0"/>
    <n v="3364692"/>
    <m/>
    <n v="-326200"/>
    <n v="-426000"/>
    <n v="-1213600"/>
    <n v="1521800"/>
    <n v="0"/>
    <n v="-3794400"/>
    <n v="1303400"/>
    <n v="2935000"/>
    <n v="-3364692"/>
    <n v="3364692"/>
    <m/>
    <n v="0"/>
    <n v="1854729054.4000001"/>
    <n v="4550810032.3999996"/>
    <n v="9755282500.7000008"/>
    <n v="1404149940.2"/>
    <n v="1404149940.2"/>
    <n v="16218121949.200001"/>
    <n v="10688967962.5"/>
    <n v="0"/>
    <n v="9736577482.2000008"/>
    <m/>
    <d v="2025-02-28T00:00:00"/>
    <d v="2024-12-31T00:00:00"/>
    <d v="2023-12-31T00:00:00"/>
    <d v="2022-12-31T00:00:00"/>
    <d v="2020-11-30T00:00:00"/>
    <d v="2020-11-30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54554521916215.203"/>
    <s v="Growth"/>
    <s v="Low"/>
    <s v="Moderate"/>
    <s v="Moderate"/>
    <s v="Moderate"/>
    <s v="Moderate"/>
    <s v="Moderate"/>
    <s v="Moderate"/>
    <s v="Low"/>
    <s v="Moderate"/>
    <s v="Low"/>
    <m/>
    <s v="Singapore"/>
    <s v="Singapore"/>
  </r>
  <r>
    <n v="371"/>
    <s v="Amova Asset Management UK Limited"/>
    <n v="0"/>
    <n v="0"/>
    <n v="4.1599999999999997E-4"/>
    <m/>
    <m/>
    <m/>
    <m/>
    <m/>
    <m/>
    <m/>
    <m/>
    <n v="0"/>
    <n v="0"/>
    <n v="38471500"/>
    <m/>
    <m/>
    <m/>
    <m/>
    <m/>
    <m/>
    <m/>
    <m/>
    <n v="0"/>
    <n v="-38471500"/>
    <n v="38471500"/>
    <m/>
    <m/>
    <m/>
    <m/>
    <m/>
    <m/>
    <m/>
    <m/>
    <n v="0"/>
    <n v="0"/>
    <n v="225058275076.95001"/>
    <m/>
    <m/>
    <m/>
    <m/>
    <m/>
    <m/>
    <m/>
    <m/>
    <d v="2024-06-30T00:00:00"/>
    <d v="2024-06-30T00:00:00"/>
    <d v="2023-11-30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24317178455877.602"/>
    <s v="GARP"/>
    <s v="Low"/>
    <s v="Low"/>
    <s v="Low"/>
    <m/>
    <m/>
    <m/>
    <m/>
    <m/>
    <m/>
    <m/>
    <m/>
    <s v="London"/>
    <s v="United Kingdom"/>
  </r>
  <r>
    <n v="372"/>
    <s v="Amundi (UK)"/>
    <n v="0"/>
    <n v="1.5200000000000001E-4"/>
    <n v="1.84E-4"/>
    <n v="2.41E-4"/>
    <n v="0"/>
    <n v="1.7699999999999999E-4"/>
    <m/>
    <m/>
    <m/>
    <m/>
    <m/>
    <n v="0"/>
    <n v="14035600"/>
    <n v="16967800"/>
    <n v="22229200"/>
    <n v="0"/>
    <n v="16351200"/>
    <m/>
    <m/>
    <m/>
    <m/>
    <m/>
    <n v="-14035600"/>
    <n v="-2932200"/>
    <n v="-5261400"/>
    <n v="22229200"/>
    <n v="-16351200"/>
    <n v="16351200"/>
    <m/>
    <m/>
    <m/>
    <m/>
    <m/>
    <n v="0"/>
    <n v="79804524549.600006"/>
    <n v="102655189974.05"/>
    <n v="110312405127.64999"/>
    <n v="0"/>
    <n v="51710669946"/>
    <m/>
    <m/>
    <m/>
    <m/>
    <m/>
    <d v="2025-07-31T00:00:00"/>
    <d v="2024-12-31T00:00:00"/>
    <d v="2023-12-31T00:00:00"/>
    <d v="2022-12-31T00:00:00"/>
    <d v="2021-04-30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/Hedge Fund"/>
    <n v="84623887570394.406"/>
    <s v="GARP"/>
    <s v="Low"/>
    <s v="Low"/>
    <s v="Moderate"/>
    <s v="Moderate"/>
    <s v="Moderate"/>
    <s v="High"/>
    <m/>
    <m/>
    <m/>
    <m/>
    <m/>
    <s v="London"/>
    <s v="United Kingdom"/>
  </r>
  <r>
    <n v="373"/>
    <s v="Amundi Hong Kong Limited"/>
    <n v="0"/>
    <n v="0"/>
    <n v="3.1000000000000001E-5"/>
    <n v="4.1999999999999998E-5"/>
    <n v="6.3E-5"/>
    <n v="8.7000000000000001E-5"/>
    <n v="0"/>
    <n v="0"/>
    <n v="0"/>
    <n v="5.3999999999999998E-5"/>
    <n v="0"/>
    <n v="0"/>
    <n v="0"/>
    <n v="2873300"/>
    <n v="3903200"/>
    <n v="5834400"/>
    <n v="8038800"/>
    <n v="0"/>
    <n v="0"/>
    <n v="0"/>
    <n v="4947200"/>
    <n v="0"/>
    <n v="0"/>
    <n v="-2873300"/>
    <n v="-1029900"/>
    <n v="-1931200"/>
    <n v="-2204400"/>
    <n v="8038800"/>
    <n v="0"/>
    <n v="0"/>
    <n v="-4947200"/>
    <n v="4947200"/>
    <n v="-4760800"/>
    <n v="0"/>
    <n v="0"/>
    <n v="17383465000.799999"/>
    <n v="19369629996.75"/>
    <n v="20471780707.5"/>
    <n v="25422704938.799999"/>
    <n v="0"/>
    <n v="0"/>
    <n v="0"/>
    <n v="14315960046.9"/>
    <n v="0"/>
    <d v="2024-06-30T00:00:00"/>
    <d v="2024-06-30T00:00:00"/>
    <d v="2023-12-31T00:00:00"/>
    <d v="2022-12-31T00:00:00"/>
    <d v="2021-12-31T00:00:00"/>
    <d v="2020-12-31T00:00:00"/>
    <d v="2018-10-31T00:00:00"/>
    <d v="2018-10-31T00:00:00"/>
    <d v="2017-08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47648951294416.797"/>
    <s v="GARP"/>
    <s v="Low"/>
    <s v="Low"/>
    <s v="Moderate"/>
    <s v="Moderate"/>
    <s v="Moderate"/>
    <s v="Moderate"/>
    <s v="Moderate"/>
    <s v="Moderate"/>
    <s v="Moderate"/>
    <s v="Moderate"/>
    <s v="Moderate"/>
    <s v="Quarry Bay"/>
    <s v="Hong Kong"/>
  </r>
  <r>
    <n v="374"/>
    <s v="Arga Investment Management, LP"/>
    <n v="0"/>
    <m/>
    <n v="1.35E-4"/>
    <n v="1.35E-4"/>
    <n v="3.7500000000000001E-4"/>
    <m/>
    <m/>
    <m/>
    <m/>
    <m/>
    <m/>
    <n v="0"/>
    <m/>
    <n v="12486000"/>
    <n v="12486000"/>
    <n v="34630400"/>
    <m/>
    <m/>
    <m/>
    <m/>
    <m/>
    <m/>
    <n v="0"/>
    <m/>
    <n v="0"/>
    <n v="-22144400"/>
    <n v="34630400"/>
    <m/>
    <m/>
    <m/>
    <m/>
    <m/>
    <m/>
    <n v="0"/>
    <m/>
    <n v="61961775066.949997"/>
    <n v="61961775066.949997"/>
    <n v="121511373360"/>
    <m/>
    <m/>
    <m/>
    <m/>
    <m/>
    <m/>
    <d v="2025-06-30T00:00:00"/>
    <m/>
    <d v="2022-12-31T00:00:00"/>
    <d v="2022-12-31T00:00:00"/>
    <d v="2021-12-31T00:00:00"/>
    <m/>
    <m/>
    <m/>
    <m/>
    <m/>
    <m/>
    <s v="Aggregate MFs"/>
    <m/>
    <s v="Aggregate MFs"/>
    <s v="Aggregate MFs"/>
    <s v="Aggregate MFs"/>
    <m/>
    <m/>
    <m/>
    <m/>
    <m/>
    <m/>
    <s v="Investment Managers"/>
    <s v="Investment Advisor"/>
    <n v="284703112242120"/>
    <s v="Core Value"/>
    <s v="Low"/>
    <m/>
    <s v="Low"/>
    <s v="Moderate"/>
    <s v="Moderate"/>
    <m/>
    <m/>
    <m/>
    <m/>
    <m/>
    <m/>
    <s v="Stamford"/>
    <s v="United States"/>
  </r>
  <r>
    <n v="375"/>
    <s v="Asset Plus Fund Management Company Limited"/>
    <n v="0"/>
    <n v="0"/>
    <n v="3.4E-5"/>
    <n v="0"/>
    <m/>
    <n v="0"/>
    <n v="0"/>
    <m/>
    <m/>
    <m/>
    <m/>
    <n v="0"/>
    <n v="0"/>
    <n v="3172528"/>
    <n v="0"/>
    <m/>
    <n v="0"/>
    <n v="0"/>
    <m/>
    <m/>
    <m/>
    <m/>
    <n v="0"/>
    <n v="-3172528"/>
    <n v="3172528"/>
    <n v="0"/>
    <m/>
    <n v="0"/>
    <n v="0"/>
    <m/>
    <m/>
    <m/>
    <m/>
    <n v="0"/>
    <n v="0"/>
    <n v="19193794456.599998"/>
    <n v="0"/>
    <m/>
    <n v="0"/>
    <n v="0"/>
    <m/>
    <m/>
    <m/>
    <m/>
    <d v="2025-06-30T00:00:00"/>
    <d v="2024-12-31T00:00:00"/>
    <d v="2023-12-31T00:00:00"/>
    <d v="2022-07-31T00:00:00"/>
    <m/>
    <d v="2019-07-31T00:00:00"/>
    <d v="2019-07-31T00:00:00"/>
    <m/>
    <m/>
    <m/>
    <m/>
    <s v="Aggregate MFs"/>
    <s v="Aggregate MFs"/>
    <s v="Aggregate MFs"/>
    <s v="Aggregate MFs"/>
    <m/>
    <s v="Aggregate MFs"/>
    <s v="Aggregate MFs"/>
    <m/>
    <m/>
    <m/>
    <m/>
    <s v="Investment Managers"/>
    <s v="Investment Advisor"/>
    <n v="4480883597905.2002"/>
    <m/>
    <s v="Low"/>
    <s v="Moderate"/>
    <s v="High"/>
    <s v="High"/>
    <m/>
    <s v="Moderate"/>
    <s v="Moderate"/>
    <m/>
    <m/>
    <m/>
    <m/>
    <s v="Bangkok"/>
    <s v="Thailand"/>
  </r>
  <r>
    <n v="376"/>
    <s v="Astute Fund Management Berhad"/>
    <n v="0"/>
    <n v="0"/>
    <n v="9.9999999999999995E-7"/>
    <n v="9.9999999999999995E-7"/>
    <n v="1.9999999999999999E-6"/>
    <n v="1.9999999999999999E-6"/>
    <n v="9.9999999999999995E-7"/>
    <n v="9.9999999999999995E-7"/>
    <n v="9.9999999999999995E-7"/>
    <m/>
    <m/>
    <n v="0"/>
    <n v="0"/>
    <n v="49000"/>
    <n v="62600"/>
    <n v="180000"/>
    <n v="154000"/>
    <n v="124000"/>
    <n v="77600"/>
    <n v="77600"/>
    <m/>
    <m/>
    <n v="0"/>
    <n v="-49000"/>
    <n v="-13600"/>
    <n v="-117400"/>
    <n v="26000"/>
    <n v="30000"/>
    <n v="46400"/>
    <n v="0"/>
    <n v="77600"/>
    <m/>
    <m/>
    <n v="0"/>
    <n v="0"/>
    <n v="296449968.75"/>
    <n v="310652496"/>
    <n v="631585222.5"/>
    <n v="487024995.60000002"/>
    <n v="474482664.39999998"/>
    <n v="265780033.5"/>
    <n v="310400027.30000001"/>
    <m/>
    <m/>
    <d v="2024-12-31T00:00:00"/>
    <d v="2024-12-31T00:00:00"/>
    <d v="2023-12-31T00:00:00"/>
    <d v="2022-12-31T00:00:00"/>
    <d v="2021-12-31T00:00:00"/>
    <d v="2020-12-31T00:00:00"/>
    <d v="2019-12-31T00:00:00"/>
    <d v="2018-06-30T00:00:00"/>
    <d v="2017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455891514340.79999"/>
    <m/>
    <m/>
    <s v="Low"/>
    <s v="Low"/>
    <s v="Low"/>
    <s v="Moderate"/>
    <s v="Moderate"/>
    <s v="Low"/>
    <s v="Low"/>
    <s v="Moderate"/>
    <m/>
    <m/>
    <s v="Selangor"/>
    <s v="Malaysia"/>
  </r>
  <r>
    <n v="377"/>
    <s v="Aubrey Capital Management Ltd."/>
    <n v="0"/>
    <n v="0"/>
    <m/>
    <m/>
    <m/>
    <m/>
    <m/>
    <m/>
    <m/>
    <m/>
    <n v="0"/>
    <n v="0"/>
    <n v="0"/>
    <m/>
    <m/>
    <m/>
    <m/>
    <m/>
    <m/>
    <m/>
    <m/>
    <n v="0"/>
    <n v="0"/>
    <n v="0"/>
    <m/>
    <m/>
    <m/>
    <m/>
    <m/>
    <m/>
    <m/>
    <m/>
    <n v="0"/>
    <n v="0"/>
    <n v="0"/>
    <m/>
    <m/>
    <m/>
    <m/>
    <m/>
    <m/>
    <m/>
    <m/>
    <n v="0"/>
    <d v="2024-05-31T00:00:00"/>
    <d v="2024-05-31T00:00:00"/>
    <m/>
    <m/>
    <m/>
    <m/>
    <m/>
    <m/>
    <m/>
    <m/>
    <d v="2014-06-30T00:00:00"/>
    <s v="Aggregate MFs"/>
    <s v="Aggregate MFs"/>
    <m/>
    <m/>
    <m/>
    <m/>
    <m/>
    <m/>
    <m/>
    <m/>
    <s v="Aggregate MFs"/>
    <s v="Investment Managers"/>
    <s v="Investment Advisor/Hedge Fund"/>
    <n v="12449880771896.4"/>
    <s v="Hedge Fund"/>
    <s v="Moderate"/>
    <s v="High"/>
    <m/>
    <m/>
    <m/>
    <m/>
    <m/>
    <m/>
    <m/>
    <m/>
    <s v="High"/>
    <s v="Edinburgh"/>
    <s v="United Kingdom"/>
  </r>
  <r>
    <n v="378"/>
    <s v="Auris Gestion Privée"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4-09-30T00:00:00"/>
    <d v="2024-09-30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8358890911982.4004"/>
    <m/>
    <s v="Moderate"/>
    <s v="Moderate"/>
    <m/>
    <m/>
    <m/>
    <m/>
    <m/>
    <m/>
    <m/>
    <m/>
    <m/>
    <s v="Paris"/>
    <s v="France"/>
  </r>
  <r>
    <n v="379"/>
    <s v="AWEA Fonds AG"/>
    <n v="0"/>
    <n v="1.2999999999999999E-5"/>
    <m/>
    <m/>
    <m/>
    <m/>
    <m/>
    <m/>
    <m/>
    <m/>
    <m/>
    <n v="0"/>
    <n v="1193500"/>
    <m/>
    <m/>
    <m/>
    <m/>
    <m/>
    <m/>
    <m/>
    <m/>
    <m/>
    <n v="-1193500"/>
    <n v="1193500"/>
    <m/>
    <m/>
    <m/>
    <m/>
    <m/>
    <m/>
    <m/>
    <m/>
    <m/>
    <n v="0"/>
    <n v="6786079623.1000004"/>
    <m/>
    <m/>
    <m/>
    <m/>
    <m/>
    <m/>
    <m/>
    <m/>
    <m/>
    <d v="2025-02-28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6904400079279.5996"/>
    <m/>
    <s v="Low"/>
    <s v="Moderate"/>
    <m/>
    <m/>
    <m/>
    <m/>
    <m/>
    <m/>
    <m/>
    <m/>
    <m/>
    <s v="Zug"/>
    <s v="Switzerland"/>
  </r>
  <r>
    <n v="380"/>
    <s v="Axiom Investors"/>
    <n v="0"/>
    <n v="1.3999999999999999E-4"/>
    <n v="2.12E-4"/>
    <n v="3.9899999999999999E-4"/>
    <n v="0"/>
    <n v="1.5E-5"/>
    <n v="1.5E-5"/>
    <n v="4.3999999999999999E-5"/>
    <n v="8.7999999999999998E-5"/>
    <m/>
    <m/>
    <n v="0"/>
    <n v="12941200"/>
    <n v="19577100"/>
    <n v="36854200"/>
    <n v="0"/>
    <n v="1405800"/>
    <n v="1359800"/>
    <n v="4058200"/>
    <n v="8141600"/>
    <m/>
    <m/>
    <n v="-12941200"/>
    <n v="-6635900"/>
    <n v="-17277100"/>
    <n v="36854200"/>
    <n v="-1405800"/>
    <n v="46000"/>
    <n v="-2698400"/>
    <n v="-4083400"/>
    <n v="8141600"/>
    <m/>
    <m/>
    <n v="0"/>
    <n v="73581914152.100006"/>
    <n v="118441454976.7"/>
    <n v="182888967598.70001"/>
    <n v="0"/>
    <n v="4445842518"/>
    <n v="5203237517.6000004"/>
    <n v="14779546856.25"/>
    <n v="32566400014.200001"/>
    <m/>
    <m/>
    <d v="2025-06-30T00:00:00"/>
    <d v="2024-12-31T00:00:00"/>
    <d v="2023-12-31T00:00:00"/>
    <d v="2022-12-31T00:00:00"/>
    <d v="2021-06-30T00:00:00"/>
    <d v="2020-12-31T00:00:00"/>
    <d v="2019-12-31T00:00:00"/>
    <d v="2018-12-31T00:00:00"/>
    <d v="2017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/Hedge Fund"/>
    <n v="273089135103913"/>
    <s v="Hedge Fund"/>
    <s v="Moderate"/>
    <s v="Moderate"/>
    <s v="Moderate"/>
    <s v="Moderate"/>
    <s v="Moderate"/>
    <s v="Moderate"/>
    <s v="Moderate"/>
    <s v="Moderate"/>
    <s v="Low"/>
    <m/>
    <m/>
    <s v="Greenwich"/>
    <s v="United States"/>
  </r>
  <r>
    <n v="381"/>
    <s v="BEA Union Investment Management Limited"/>
    <n v="0"/>
    <n v="0"/>
    <n v="1.44E-4"/>
    <n v="2.03E-4"/>
    <n v="1.16E-4"/>
    <n v="7.2999999999999999E-5"/>
    <n v="6.2000000000000003E-5"/>
    <n v="8.8999999999999995E-5"/>
    <n v="1.84E-4"/>
    <m/>
    <n v="0"/>
    <n v="0"/>
    <n v="0"/>
    <n v="13329100"/>
    <n v="18712600"/>
    <n v="10758000"/>
    <n v="6749800"/>
    <n v="5700200"/>
    <n v="8221800"/>
    <n v="16989800"/>
    <m/>
    <n v="0"/>
    <n v="0"/>
    <n v="-13329100"/>
    <n v="-5383500"/>
    <n v="7954600"/>
    <n v="4008200"/>
    <n v="1049600"/>
    <n v="-2521600"/>
    <n v="-8768000"/>
    <n v="16989800"/>
    <m/>
    <n v="0"/>
    <n v="0"/>
    <n v="0"/>
    <n v="80641054917.850006"/>
    <n v="92861277495.800003"/>
    <n v="37747740562.5"/>
    <n v="21346242465.599998"/>
    <n v="21811659653.599998"/>
    <n v="29942949768.75"/>
    <n v="67959200037.150002"/>
    <m/>
    <n v="0"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m/>
    <d v="2014-06-30T00:00:00"/>
    <s v="Aggregate MFs"/>
    <s v="Aggregate MFs"/>
    <s v="Aggregate MFs"/>
    <s v="Aggregate MFs"/>
    <s v="Aggregate MFs"/>
    <s v="Aggregate MFs"/>
    <s v="Aggregate MFs"/>
    <s v="Aggregate MFs"/>
    <s v="Aggregate MFs"/>
    <m/>
    <s v="Aggregate MFs"/>
    <s v="Investment Managers"/>
    <s v="Investment Advisor"/>
    <n v="61447938906046.797"/>
    <s v="GARP"/>
    <s v="Moderate"/>
    <s v="Low"/>
    <s v="Moderate"/>
    <s v="Moderate"/>
    <s v="Moderate"/>
    <s v="Moderate"/>
    <s v="Moderate"/>
    <s v="Moderate"/>
    <s v="Moderate"/>
    <m/>
    <s v="Moderate"/>
    <s v="Central (Hong Kong)"/>
    <s v="Hong Kong"/>
  </r>
  <r>
    <n v="382"/>
    <s v="Boston Partners"/>
    <n v="0"/>
    <n v="0"/>
    <n v="2.0000000000000002E-5"/>
    <n v="6.7999999999999999E-5"/>
    <m/>
    <m/>
    <m/>
    <m/>
    <n v="0"/>
    <n v="0"/>
    <m/>
    <n v="0"/>
    <n v="0"/>
    <n v="1808100"/>
    <n v="6271000"/>
    <m/>
    <m/>
    <m/>
    <m/>
    <n v="0"/>
    <n v="0"/>
    <m/>
    <n v="0"/>
    <n v="-1808100"/>
    <n v="-4462900"/>
    <n v="6271000"/>
    <m/>
    <m/>
    <m/>
    <m/>
    <n v="0"/>
    <n v="0"/>
    <m/>
    <n v="0"/>
    <n v="0"/>
    <n v="10939005001.5"/>
    <n v="31119837455.849998"/>
    <m/>
    <m/>
    <m/>
    <m/>
    <n v="0"/>
    <n v="0"/>
    <m/>
    <d v="2024-05-31T00:00:00"/>
    <d v="2024-05-31T00:00:00"/>
    <d v="2023-12-31T00:00:00"/>
    <d v="2022-12-31T00:00:00"/>
    <m/>
    <m/>
    <m/>
    <m/>
    <d v="2016-09-30T00:00:00"/>
    <d v="2016-09-30T00:00:00"/>
    <m/>
    <s v="Aggregate MFs"/>
    <s v="Aggregate MFs"/>
    <s v="Aggregate MFs"/>
    <s v="Aggregate MFs"/>
    <m/>
    <m/>
    <m/>
    <m/>
    <s v="Aggregate MFs"/>
    <s v="Aggregate MFs"/>
    <m/>
    <s v="Investment Managers"/>
    <s v="Investment Advisor/Hedge Fund"/>
    <n v="1732073729791590"/>
    <s v="Deep Value"/>
    <s v="Low"/>
    <s v="Low"/>
    <s v="Low"/>
    <s v="Low"/>
    <m/>
    <m/>
    <m/>
    <m/>
    <s v="Low"/>
    <s v="Moderate"/>
    <m/>
    <s v="Boston"/>
    <s v="United States"/>
  </r>
  <r>
    <n v="383"/>
    <s v="Brandes Investment Partners, L.P."/>
    <n v="0"/>
    <n v="1.9999999999999999E-6"/>
    <n v="9.9999999999999995E-7"/>
    <m/>
    <m/>
    <m/>
    <m/>
    <m/>
    <m/>
    <m/>
    <m/>
    <n v="0"/>
    <n v="149200"/>
    <n v="76200"/>
    <m/>
    <m/>
    <m/>
    <m/>
    <m/>
    <m/>
    <m/>
    <m/>
    <n v="-149200"/>
    <n v="73000"/>
    <n v="76200"/>
    <m/>
    <m/>
    <m/>
    <m/>
    <m/>
    <m/>
    <m/>
    <m/>
    <n v="0"/>
    <n v="848331090.79999995"/>
    <n v="461010048.80000001"/>
    <m/>
    <m/>
    <m/>
    <m/>
    <m/>
    <m/>
    <m/>
    <m/>
    <d v="2025-07-31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335990820380236"/>
    <s v="Core Value"/>
    <s v="Low"/>
    <s v="Low"/>
    <s v="Low"/>
    <m/>
    <m/>
    <m/>
    <m/>
    <m/>
    <m/>
    <m/>
    <m/>
    <s v="San Diego"/>
    <s v="United States"/>
  </r>
  <r>
    <n v="384"/>
    <s v="CA Indosuez (Switzerland) S.A."/>
    <n v="0"/>
    <n v="3.8000000000000002E-5"/>
    <n v="5.3999999999999998E-5"/>
    <n v="8.2999999999999998E-5"/>
    <n v="1.8900000000000001E-4"/>
    <n v="1.5899999999999999E-4"/>
    <n v="4.1E-5"/>
    <n v="4.8999999999999998E-5"/>
    <n v="5.3999999999999998E-5"/>
    <n v="9.2E-5"/>
    <n v="1.06E-4"/>
    <n v="0"/>
    <n v="3520200"/>
    <n v="5005200"/>
    <n v="7679200"/>
    <n v="17428000"/>
    <n v="14678000"/>
    <n v="3821000"/>
    <n v="4520000"/>
    <n v="4972000"/>
    <n v="8468000"/>
    <n v="9768000"/>
    <n v="-3520200"/>
    <n v="-1485000"/>
    <n v="-2674000"/>
    <n v="-9748800"/>
    <n v="2750000"/>
    <n v="10857000"/>
    <n v="-699000"/>
    <n v="-452000"/>
    <n v="-3496000"/>
    <n v="-1300000"/>
    <n v="0"/>
    <n v="0"/>
    <n v="21615115262.400002"/>
    <n v="30281460044"/>
    <n v="40411789947.099998"/>
    <n v="51412600036.849998"/>
    <n v="46419174921.599998"/>
    <n v="14620952153.6"/>
    <n v="16461374993.75"/>
    <n v="19888000003.900002"/>
    <n v="24504274992.299999"/>
    <n v="24542100007.400002"/>
    <d v="2025-01-31T00:00:00"/>
    <d v="2024-11-30T00:00:00"/>
    <d v="2023-12-31T00:00:00"/>
    <d v="2022-11-30T00:00:00"/>
    <d v="2021-06-30T00:00:00"/>
    <d v="2020-12-31T00:00:00"/>
    <d v="2019-12-31T00:00:00"/>
    <d v="2018-12-31T00:00:00"/>
    <d v="2017-12-31T00:00:00"/>
    <d v="2016-12-31T00:00:00"/>
    <d v="2015-06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Bank and Trust"/>
    <n v="15558521092213.199"/>
    <s v="GARP"/>
    <s v="Low"/>
    <s v="Moderate"/>
    <s v="Moderate"/>
    <s v="Low"/>
    <s v="Low"/>
    <s v="Moderate"/>
    <s v="Moderate"/>
    <s v="Moderate"/>
    <s v="Moderate"/>
    <s v="Moderate"/>
    <s v="Moderate"/>
    <s v="Geneva"/>
    <s v="Switzerland"/>
  </r>
  <r>
    <n v="385"/>
    <s v="Caixabank Asset Management SGIIC, S.A.U."/>
    <n v="0"/>
    <n v="6.5600000000000001E-4"/>
    <n v="7.5299999999999998E-4"/>
    <m/>
    <m/>
    <m/>
    <m/>
    <m/>
    <m/>
    <m/>
    <m/>
    <n v="0"/>
    <n v="60579835"/>
    <n v="69531282"/>
    <m/>
    <m/>
    <m/>
    <m/>
    <m/>
    <m/>
    <m/>
    <m/>
    <n v="-60579835"/>
    <n v="-8951447"/>
    <n v="69531282"/>
    <m/>
    <m/>
    <m/>
    <m/>
    <m/>
    <m/>
    <m/>
    <m/>
    <n v="0"/>
    <n v="344448753988.90002"/>
    <n v="420664255759.84998"/>
    <m/>
    <m/>
    <m/>
    <m/>
    <m/>
    <m/>
    <m/>
    <m/>
    <d v="2025-06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465337806816653"/>
    <s v="Core Growth"/>
    <s v="Low"/>
    <s v="Low"/>
    <s v="Moderate"/>
    <m/>
    <m/>
    <m/>
    <m/>
    <m/>
    <m/>
    <m/>
    <m/>
    <s v="Madrid"/>
    <s v="Spain"/>
  </r>
  <r>
    <n v="386"/>
    <s v="Caja Ingenieros Gestión, SGIIC, SAU"/>
    <n v="0"/>
    <n v="1.8E-5"/>
    <n v="1.5999999999999999E-5"/>
    <m/>
    <m/>
    <m/>
    <m/>
    <m/>
    <m/>
    <m/>
    <m/>
    <n v="0"/>
    <n v="1686601"/>
    <n v="1497273"/>
    <m/>
    <m/>
    <m/>
    <m/>
    <m/>
    <m/>
    <m/>
    <m/>
    <n v="-1686601"/>
    <n v="189328"/>
    <n v="1497273"/>
    <m/>
    <m/>
    <m/>
    <m/>
    <m/>
    <m/>
    <m/>
    <m/>
    <n v="0"/>
    <n v="9589785292.7000008"/>
    <n v="9058501594.8500004"/>
    <m/>
    <m/>
    <m/>
    <m/>
    <m/>
    <m/>
    <m/>
    <m/>
    <d v="2025-06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9241117429856.4004"/>
    <s v="GARP"/>
    <s v="Low"/>
    <s v="Low"/>
    <s v="High"/>
    <m/>
    <m/>
    <m/>
    <m/>
    <m/>
    <m/>
    <m/>
    <m/>
    <s v="Barcelona"/>
    <s v="Spain"/>
  </r>
  <r>
    <n v="387"/>
    <s v="Calamos Advisors LLC"/>
    <n v="0"/>
    <n v="1.15E-4"/>
    <n v="4.4499999999999997E-4"/>
    <n v="4.08E-4"/>
    <m/>
    <m/>
    <m/>
    <m/>
    <n v="0"/>
    <n v="0"/>
    <n v="2.6699999999999998E-4"/>
    <n v="0"/>
    <n v="10592125"/>
    <n v="41124120"/>
    <n v="37660800"/>
    <m/>
    <m/>
    <m/>
    <m/>
    <n v="0"/>
    <n v="0"/>
    <n v="24646000"/>
    <n v="-10592125"/>
    <n v="-30531995"/>
    <n v="3463320"/>
    <n v="37660800"/>
    <m/>
    <m/>
    <m/>
    <m/>
    <n v="0"/>
    <n v="-24646000"/>
    <n v="-5200000"/>
    <n v="0"/>
    <n v="60225391155.099998"/>
    <n v="248800925803"/>
    <n v="186891720122.25"/>
    <m/>
    <m/>
    <m/>
    <m/>
    <n v="0"/>
    <n v="0"/>
    <n v="57014555017.050003"/>
    <d v="2025-02-28T00:00:00"/>
    <d v="2024-12-31T00:00:00"/>
    <d v="2023-12-31T00:00:00"/>
    <d v="2022-12-31T00:00:00"/>
    <m/>
    <m/>
    <m/>
    <m/>
    <d v="2016-06-30T00:00:00"/>
    <d v="2016-06-30T00:00:00"/>
    <d v="2015-12-31T00:00:00"/>
    <s v="Aggregate MFs"/>
    <s v="Aggregate MFs"/>
    <s v="Aggregate MFs"/>
    <s v="Aggregate MFs"/>
    <m/>
    <m/>
    <m/>
    <m/>
    <s v="Aggregate MFs"/>
    <s v="Aggregate MFs"/>
    <s v="Aggregate MFs"/>
    <s v="Investment Managers"/>
    <s v="Investment Advisor/Hedge Fund"/>
    <n v="338689020653486"/>
    <s v="Growth"/>
    <s v="Low"/>
    <s v="Low"/>
    <s v="Low"/>
    <s v="Moderate"/>
    <m/>
    <m/>
    <m/>
    <m/>
    <s v="Moderate"/>
    <s v="Moderate"/>
    <s v="Moderate"/>
    <s v="Naperville"/>
    <s v="United States"/>
  </r>
  <r>
    <n v="388"/>
    <s v="Candriam Belgium S.A."/>
    <n v="0"/>
    <n v="3.4E-5"/>
    <n v="8.2999999999999998E-5"/>
    <m/>
    <m/>
    <m/>
    <m/>
    <m/>
    <m/>
    <n v="0"/>
    <n v="0"/>
    <n v="0"/>
    <n v="3120000"/>
    <n v="7640000"/>
    <m/>
    <m/>
    <m/>
    <m/>
    <m/>
    <m/>
    <n v="0"/>
    <n v="0"/>
    <n v="-3120000"/>
    <n v="-4520000"/>
    <n v="7640000"/>
    <m/>
    <m/>
    <m/>
    <m/>
    <m/>
    <m/>
    <n v="0"/>
    <n v="0"/>
    <n v="0"/>
    <n v="17739898366.5"/>
    <n v="46222000035.099998"/>
    <m/>
    <m/>
    <m/>
    <m/>
    <m/>
    <m/>
    <n v="0"/>
    <n v="0"/>
    <d v="2025-03-31T00:00:00"/>
    <d v="2024-12-31T00:00:00"/>
    <d v="2023-12-31T00:00:00"/>
    <m/>
    <m/>
    <m/>
    <m/>
    <m/>
    <m/>
    <d v="2015-03-31T00:00:00"/>
    <d v="2015-03-31T00:00:00"/>
    <s v="Aggregate MFs"/>
    <s v="Aggregate MFs"/>
    <s v="Aggregate MFs"/>
    <m/>
    <m/>
    <m/>
    <m/>
    <m/>
    <m/>
    <s v="Aggregate MFs"/>
    <s v="Aggregate MFs"/>
    <s v="Investment Managers"/>
    <s v="Investment Advisor/Hedge Fund"/>
    <n v="421652362600115"/>
    <s v="GARP"/>
    <s v="Low"/>
    <s v="Low"/>
    <s v="Moderate"/>
    <m/>
    <m/>
    <m/>
    <m/>
    <m/>
    <m/>
    <s v="Moderate"/>
    <s v="Moderate"/>
    <s v="Brussels"/>
    <s v="Belgium"/>
  </r>
  <r>
    <n v="389"/>
    <s v="Candriam Luxembourg S.A."/>
    <n v="0"/>
    <n v="1.21E-4"/>
    <n v="2.7E-4"/>
    <m/>
    <m/>
    <m/>
    <m/>
    <m/>
    <m/>
    <m/>
    <n v="0"/>
    <n v="0"/>
    <n v="11211852"/>
    <n v="24982728"/>
    <m/>
    <m/>
    <m/>
    <m/>
    <m/>
    <m/>
    <m/>
    <n v="0"/>
    <n v="-11211852"/>
    <n v="-13770876"/>
    <n v="24982728"/>
    <m/>
    <m/>
    <m/>
    <m/>
    <m/>
    <m/>
    <m/>
    <n v="0"/>
    <n v="0"/>
    <n v="63749075089.300003"/>
    <n v="151145504242.29999"/>
    <m/>
    <m/>
    <m/>
    <m/>
    <m/>
    <m/>
    <m/>
    <n v="0"/>
    <d v="2025-02-28T00:00:00"/>
    <d v="2024-12-31T00:00:00"/>
    <d v="2023-12-31T00:00:00"/>
    <m/>
    <m/>
    <m/>
    <m/>
    <m/>
    <m/>
    <m/>
    <d v="2014-03-31T00:00:00"/>
    <s v="Aggregate MFs"/>
    <s v="Aggregate MFs"/>
    <s v="Aggregate MFs"/>
    <m/>
    <m/>
    <m/>
    <m/>
    <m/>
    <m/>
    <m/>
    <s v="Aggregate MFs"/>
    <s v="Investment Managers"/>
    <s v="Investment Advisor"/>
    <n v="852272875979825"/>
    <s v="GARP"/>
    <s v="Moderate"/>
    <s v="Moderate"/>
    <s v="Moderate"/>
    <m/>
    <m/>
    <m/>
    <m/>
    <m/>
    <m/>
    <m/>
    <s v="Low"/>
    <s v="Strassen"/>
    <s v="Luxembourg"/>
  </r>
  <r>
    <n v="390"/>
    <s v="Capital Fixed Income Investors"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4-05-31T00:00:00"/>
    <d v="2024-05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0792346266099.199"/>
    <m/>
    <s v="Low"/>
    <s v="Low"/>
    <m/>
    <m/>
    <m/>
    <m/>
    <m/>
    <m/>
    <m/>
    <m/>
    <m/>
    <s v="Los Angeles"/>
    <s v="United States"/>
  </r>
  <r>
    <n v="391"/>
    <s v="Capital International Sarl"/>
    <n v="0"/>
    <n v="2.0000000000000002E-5"/>
    <n v="1.21E-4"/>
    <n v="1.7799999999999999E-4"/>
    <n v="2.8800000000000001E-4"/>
    <n v="4.3899999999999999E-4"/>
    <n v="9.8999999999999994E-5"/>
    <n v="1.06E-4"/>
    <n v="1.06E-4"/>
    <n v="2.2800000000000001E-4"/>
    <n v="1.2999999999999999E-5"/>
    <n v="0"/>
    <n v="1851026"/>
    <n v="11144526"/>
    <n v="16443160"/>
    <n v="26653960"/>
    <n v="40565960"/>
    <n v="9138960"/>
    <n v="9792960"/>
    <n v="9792960"/>
    <n v="21044560"/>
    <n v="1178800"/>
    <n v="-1851026"/>
    <n v="-9293500"/>
    <n v="-5298634"/>
    <n v="-10210800"/>
    <n v="-13912000"/>
    <n v="31427000"/>
    <n v="-654000"/>
    <n v="0"/>
    <n v="-11251600"/>
    <n v="19865760"/>
    <n v="-73200"/>
    <n v="0"/>
    <n v="10524683640.6"/>
    <n v="67424382297"/>
    <n v="81599181588.100006"/>
    <n v="93523588612.5"/>
    <n v="128289848403.60001"/>
    <n v="34969980990.400002"/>
    <n v="39171840003.050003"/>
    <n v="39171840003.050003"/>
    <n v="60897695563.5"/>
    <n v="2726964139.1999998"/>
    <d v="2025-09-30T00:00:00"/>
    <d v="2024-12-31T00:00:00"/>
    <d v="2023-12-31T00:00:00"/>
    <d v="2022-12-31T00:00:00"/>
    <d v="2021-12-31T00:00:00"/>
    <d v="2020-12-31T00:00:00"/>
    <d v="2019-12-31T00:00:00"/>
    <d v="2017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00997137196592"/>
    <s v="Core Value"/>
    <s v="Low"/>
    <s v="Low"/>
    <s v="Low"/>
    <s v="Low"/>
    <s v="Moderate"/>
    <s v="Moderate"/>
    <s v="Moderate"/>
    <s v="Low"/>
    <s v="Low"/>
    <s v="Moderate"/>
    <s v="Low"/>
    <s v="Geneva"/>
    <s v="Switzerland"/>
  </r>
  <r>
    <n v="392"/>
    <s v="Causeway Capital Management LLC"/>
    <n v="0"/>
    <n v="0"/>
    <n v="1.02E-4"/>
    <n v="2.0000000000000001E-4"/>
    <n v="2.5669999999999998E-3"/>
    <n v="0"/>
    <m/>
    <m/>
    <m/>
    <m/>
    <n v="2.1999999999999999E-5"/>
    <n v="0"/>
    <n v="0"/>
    <n v="9439100"/>
    <n v="18512800"/>
    <n v="237231000"/>
    <n v="0"/>
    <m/>
    <m/>
    <m/>
    <m/>
    <n v="2070800"/>
    <n v="0"/>
    <n v="-9439100"/>
    <n v="-9073700"/>
    <n v="-218718200"/>
    <n v="237231000"/>
    <n v="0"/>
    <m/>
    <m/>
    <m/>
    <m/>
    <n v="0"/>
    <n v="0"/>
    <n v="0"/>
    <n v="57106554922.949997"/>
    <n v="91869770029.949997"/>
    <n v="832397679562.5"/>
    <n v="0"/>
    <m/>
    <m/>
    <m/>
    <m/>
    <n v="6212399957.1999998"/>
    <d v="2024-03-31T00:00:00"/>
    <d v="2024-03-31T00:00:00"/>
    <d v="2023-12-31T00:00:00"/>
    <d v="2022-12-31T00:00:00"/>
    <d v="2021-12-31T00:00:00"/>
    <d v="2020-09-30T00:00:00"/>
    <m/>
    <m/>
    <m/>
    <m/>
    <d v="2015-02-28T00:00:00"/>
    <s v="Aggregate MFs"/>
    <s v="Aggregate MFs"/>
    <s v="Aggregate MFs"/>
    <s v="Aggregate MFs"/>
    <s v="Aggregate MFs"/>
    <s v="Aggregate MFs"/>
    <m/>
    <m/>
    <m/>
    <m/>
    <s v="Aggregate MFs"/>
    <s v="Investment Managers"/>
    <s v="Investment Advisor"/>
    <n v="602714301957422"/>
    <s v="Core Value"/>
    <s v="Moderate"/>
    <s v="Moderate"/>
    <s v="Moderate"/>
    <s v="Moderate"/>
    <s v="Moderate"/>
    <s v="Moderate"/>
    <m/>
    <m/>
    <m/>
    <m/>
    <s v="Low"/>
    <s v="Los Angeles"/>
    <s v="United States"/>
  </r>
  <r>
    <n v="393"/>
    <s v="Columbia Threadneedle Investments (UK)"/>
    <n v="0"/>
    <n v="0"/>
    <n v="3.4999999999999997E-5"/>
    <n v="0"/>
    <n v="9.9999999999999995E-7"/>
    <n v="1.395E-3"/>
    <n v="0"/>
    <n v="0"/>
    <n v="0"/>
    <n v="3.7599999999999998E-4"/>
    <n v="3.8900000000000002E-4"/>
    <n v="0"/>
    <n v="0"/>
    <n v="3242500"/>
    <n v="0"/>
    <n v="121600"/>
    <n v="128889800"/>
    <n v="0"/>
    <n v="0"/>
    <n v="0"/>
    <n v="34769152"/>
    <n v="35947704"/>
    <n v="0"/>
    <n v="-3242500"/>
    <n v="3242500"/>
    <n v="-121600"/>
    <n v="-128768200"/>
    <n v="128889800"/>
    <n v="0"/>
    <n v="0"/>
    <n v="-34769152"/>
    <n v="-1178552"/>
    <n v="6460992"/>
    <n v="0"/>
    <n v="0"/>
    <n v="19617124935"/>
    <n v="0"/>
    <n v="358719940.80000001"/>
    <n v="407613992104.79999"/>
    <n v="0"/>
    <n v="0"/>
    <n v="0"/>
    <n v="100613233684.2"/>
    <n v="83159228474.850006"/>
    <d v="2024-04-30T00:00:00"/>
    <d v="2024-04-30T00:00:00"/>
    <d v="2023-12-31T00:00:00"/>
    <d v="2022-04-30T00:00:00"/>
    <d v="2021-06-30T00:00:00"/>
    <d v="2020-12-31T00:00:00"/>
    <d v="2018-08-31T00:00:00"/>
    <d v="2018-08-31T00:00:00"/>
    <d v="2017-08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004202104337530"/>
    <s v="Core Growth"/>
    <s v="Low"/>
    <s v="Low"/>
    <s v="Low"/>
    <s v="Low"/>
    <s v="Low"/>
    <s v="Low"/>
    <s v="Low"/>
    <s v="Low"/>
    <s v="Moderate"/>
    <s v="Low"/>
    <s v="Low"/>
    <s v="London"/>
    <s v="United Kingdom"/>
  </r>
  <r>
    <n v="394"/>
    <s v="CPR Asset Management"/>
    <n v="0"/>
    <n v="9.9999999999999995E-7"/>
    <m/>
    <m/>
    <n v="0"/>
    <n v="1.1E-5"/>
    <n v="1.2E-5"/>
    <m/>
    <m/>
    <m/>
    <m/>
    <n v="0"/>
    <n v="75900"/>
    <m/>
    <m/>
    <n v="0"/>
    <n v="1050400"/>
    <n v="1133600"/>
    <m/>
    <m/>
    <m/>
    <m/>
    <n v="-75900"/>
    <n v="75900"/>
    <m/>
    <m/>
    <n v="-1050400"/>
    <n v="-83200"/>
    <n v="1133600"/>
    <m/>
    <m/>
    <m/>
    <m/>
    <n v="0"/>
    <n v="431557130.5"/>
    <m/>
    <m/>
    <n v="0"/>
    <n v="3321889974"/>
    <n v="4337689462"/>
    <m/>
    <m/>
    <m/>
    <m/>
    <d v="2025-07-31T00:00:00"/>
    <d v="2024-12-31T00:00:00"/>
    <m/>
    <m/>
    <d v="2021-02-28T00:00:00"/>
    <d v="2020-12-31T00:00:00"/>
    <d v="2019-12-31T00:00:00"/>
    <m/>
    <m/>
    <m/>
    <m/>
    <s v="Aggregate MFs"/>
    <s v="Aggregate MFs"/>
    <m/>
    <m/>
    <s v="Aggregate MFs"/>
    <s v="Aggregate MFs"/>
    <s v="Aggregate MFs"/>
    <m/>
    <m/>
    <m/>
    <m/>
    <s v="Investment Managers"/>
    <s v="Investment Advisor"/>
    <n v="561206087281370"/>
    <s v="Core Growth"/>
    <s v="Low"/>
    <s v="Moderate"/>
    <m/>
    <m/>
    <s v="Moderate"/>
    <s v="Moderate"/>
    <s v="Moderate"/>
    <m/>
    <m/>
    <m/>
    <m/>
    <s v="Paris"/>
    <s v="France"/>
  </r>
  <r>
    <n v="395"/>
    <s v="Driehaus Capital Management, LLC"/>
    <n v="0"/>
    <n v="5.3399999999999997E-4"/>
    <n v="1.1069999999999999E-3"/>
    <n v="9.5E-4"/>
    <m/>
    <n v="0"/>
    <n v="0"/>
    <n v="8.7900000000000001E-4"/>
    <n v="0"/>
    <n v="6.0000000000000002E-5"/>
    <n v="0"/>
    <n v="0"/>
    <n v="49379000"/>
    <n v="102298300"/>
    <n v="87748200"/>
    <m/>
    <n v="0"/>
    <n v="0"/>
    <n v="81211606"/>
    <n v="0"/>
    <n v="5573200"/>
    <n v="0"/>
    <n v="-49379000"/>
    <n v="-52919300"/>
    <n v="14550100"/>
    <n v="87748200"/>
    <m/>
    <n v="0"/>
    <n v="-81211606"/>
    <n v="81211606"/>
    <n v="-5573200"/>
    <n v="5573200"/>
    <n v="0"/>
    <n v="0"/>
    <n v="280762320165.79999"/>
    <n v="618904714576.40002"/>
    <n v="435450442851.04999"/>
    <m/>
    <n v="0"/>
    <n v="0"/>
    <n v="295764313568.75"/>
    <n v="0"/>
    <n v="16127447538.6"/>
    <n v="0"/>
    <d v="2025-02-28T00:00:00"/>
    <d v="2024-12-31T00:00:00"/>
    <d v="2023-12-31T00:00:00"/>
    <d v="2022-12-31T00:00:00"/>
    <m/>
    <d v="2019-05-31T00:00:00"/>
    <d v="2019-05-31T00:00:00"/>
    <d v="2018-12-31T00:00:00"/>
    <d v="2017-01-31T00:00:00"/>
    <d v="2016-12-31T00:00:00"/>
    <d v="2014-07-31T00:00:00"/>
    <s v="Aggregate MFs"/>
    <s v="Aggregate MFs"/>
    <s v="Aggregate MFs"/>
    <s v="Aggregate MFs"/>
    <m/>
    <s v="Aggregate MFs"/>
    <s v="Aggregate MFs"/>
    <s v="Aggregate MFs"/>
    <s v="Aggregate MFs"/>
    <s v="Aggregate MFs"/>
    <s v="Aggregate MFs"/>
    <s v="Investment Managers"/>
    <s v="Investment Advisor/Hedge Fund"/>
    <n v="283685880833000"/>
    <s v="Aggressive Growth"/>
    <s v="Moderate"/>
    <s v="Moderate"/>
    <s v="High"/>
    <s v="High"/>
    <m/>
    <s v="High"/>
    <s v="High"/>
    <s v="High"/>
    <s v="High"/>
    <s v="High"/>
    <s v="High"/>
    <s v="Chicago"/>
    <s v="United States"/>
  </r>
  <r>
    <n v="396"/>
    <s v="Eastspring Investments Berhad"/>
    <n v="0"/>
    <n v="1.9999999999999999E-6"/>
    <m/>
    <m/>
    <m/>
    <m/>
    <m/>
    <m/>
    <m/>
    <m/>
    <m/>
    <n v="0"/>
    <n v="220900"/>
    <m/>
    <m/>
    <m/>
    <m/>
    <m/>
    <m/>
    <m/>
    <m/>
    <m/>
    <n v="-220900"/>
    <n v="220900"/>
    <m/>
    <m/>
    <m/>
    <m/>
    <m/>
    <m/>
    <m/>
    <m/>
    <m/>
    <n v="0"/>
    <n v="1256007604.2"/>
    <m/>
    <m/>
    <m/>
    <m/>
    <m/>
    <m/>
    <m/>
    <m/>
    <m/>
    <d v="2025-03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66517590657130.797"/>
    <m/>
    <s v="Low"/>
    <s v="Low"/>
    <m/>
    <m/>
    <m/>
    <m/>
    <m/>
    <m/>
    <m/>
    <m/>
    <m/>
    <s v="Kuala Lumpur"/>
    <s v="Malaysia"/>
  </r>
  <r>
    <n v="397"/>
    <s v="Edmond de Rothschild Asset Management (France) S.A."/>
    <n v="0"/>
    <n v="0"/>
    <m/>
    <m/>
    <m/>
    <m/>
    <m/>
    <n v="3.4E-5"/>
    <n v="3.4E-5"/>
    <n v="1.1400000000000001E-4"/>
    <m/>
    <n v="0"/>
    <n v="2658"/>
    <m/>
    <m/>
    <m/>
    <m/>
    <m/>
    <n v="3096000"/>
    <n v="3096000"/>
    <n v="10563200"/>
    <m/>
    <n v="-2658"/>
    <n v="2658"/>
    <m/>
    <m/>
    <m/>
    <m/>
    <m/>
    <n v="0"/>
    <n v="-7467200"/>
    <n v="10563200"/>
    <m/>
    <n v="0"/>
    <n v="15113015.199999999"/>
    <m/>
    <m/>
    <m/>
    <m/>
    <m/>
    <n v="10410300006.6"/>
    <n v="10410300006.6"/>
    <n v="29576960058.419998"/>
    <m/>
    <d v="2025-07-31T00:00:00"/>
    <d v="2024-12-31T00:00:00"/>
    <m/>
    <m/>
    <m/>
    <m/>
    <m/>
    <d v="2017-09-30T00:00:00"/>
    <d v="2017-09-30T00:00:00"/>
    <d v="2016-09-30T00:00:00"/>
    <m/>
    <s v="Aggregate MFs"/>
    <s v="Aggregate MFs"/>
    <m/>
    <m/>
    <m/>
    <m/>
    <m/>
    <s v="Aggregate MFs"/>
    <s v="Aggregate MFs"/>
    <s v="Aggregate MFs"/>
    <m/>
    <s v="Investment Managers"/>
    <s v="Investment Advisor"/>
    <n v="169683847081145"/>
    <s v="Core Value"/>
    <s v="Low"/>
    <s v="Low"/>
    <m/>
    <m/>
    <m/>
    <m/>
    <m/>
    <s v="Low"/>
    <s v="Low"/>
    <s v="Moderate"/>
    <m/>
    <s v="Paris"/>
    <s v="France"/>
  </r>
  <r>
    <n v="398"/>
    <s v="Edmond De Rothschild Asset Management (Luxembourg)"/>
    <n v="0"/>
    <n v="5.1E-5"/>
    <m/>
    <m/>
    <m/>
    <m/>
    <n v="9.9999999999999995E-7"/>
    <n v="9.9999999999999995E-7"/>
    <m/>
    <m/>
    <m/>
    <n v="0"/>
    <n v="4673543"/>
    <m/>
    <m/>
    <m/>
    <m/>
    <n v="116438"/>
    <n v="116438"/>
    <m/>
    <m/>
    <m/>
    <n v="-4673543"/>
    <n v="4673543"/>
    <m/>
    <m/>
    <m/>
    <m/>
    <n v="0"/>
    <n v="116438"/>
    <m/>
    <m/>
    <m/>
    <n v="0"/>
    <n v="26573133790"/>
    <m/>
    <m/>
    <m/>
    <m/>
    <n v="391522830"/>
    <n v="391522830"/>
    <m/>
    <m/>
    <m/>
    <d v="2025-07-31T00:00:00"/>
    <d v="2024-12-31T00:00:00"/>
    <m/>
    <m/>
    <m/>
    <m/>
    <d v="2018-09-30T00:00:00"/>
    <d v="2018-09-30T00:00:00"/>
    <m/>
    <m/>
    <m/>
    <s v="Aggregate MFs"/>
    <s v="Aggregate MFs"/>
    <m/>
    <m/>
    <m/>
    <m/>
    <s v="Aggregate MFs"/>
    <s v="Aggregate MFs"/>
    <m/>
    <m/>
    <m/>
    <s v="Investment Managers"/>
    <s v="Investment Advisor"/>
    <n v="15153071161549.199"/>
    <m/>
    <s v="Low"/>
    <s v="Moderate"/>
    <m/>
    <m/>
    <m/>
    <m/>
    <m/>
    <m/>
    <m/>
    <m/>
    <m/>
    <s v="Luxembourg"/>
    <s v="Luxembourg"/>
  </r>
  <r>
    <n v="399"/>
    <s v="Epoch Investment Partners, Inc."/>
    <n v="0"/>
    <n v="0"/>
    <n v="1.4100000000000001E-4"/>
    <n v="5.7000000000000003E-5"/>
    <m/>
    <n v="1.2999999999999999E-5"/>
    <n v="1.2999999999999999E-5"/>
    <m/>
    <m/>
    <m/>
    <m/>
    <n v="0"/>
    <n v="0"/>
    <n v="12984000"/>
    <n v="5222400"/>
    <m/>
    <n v="1167400"/>
    <n v="1167400"/>
    <m/>
    <m/>
    <m/>
    <m/>
    <n v="0"/>
    <n v="-12984000"/>
    <n v="7761600"/>
    <n v="5222400"/>
    <m/>
    <n v="0"/>
    <n v="1167400"/>
    <m/>
    <m/>
    <m/>
    <m/>
    <n v="0"/>
    <n v="0"/>
    <n v="78553199951"/>
    <n v="25916160041.75"/>
    <m/>
    <n v="4348565024.6999998"/>
    <n v="4348565024.6999998"/>
    <m/>
    <m/>
    <m/>
    <m/>
    <d v="2024-06-30T00:00:00"/>
    <d v="2024-06-30T00:00:00"/>
    <d v="2023-12-31T00:00:00"/>
    <d v="2022-12-31T00:00:00"/>
    <m/>
    <d v="2019-03-31T00:00:00"/>
    <d v="2019-03-31T00:00:00"/>
    <m/>
    <m/>
    <m/>
    <m/>
    <s v="Aggregate MFs"/>
    <s v="Aggregate MFs"/>
    <s v="Aggregate MFs"/>
    <s v="Aggregate MFs"/>
    <m/>
    <s v="Aggregate MFs"/>
    <s v="Aggregate MFs"/>
    <m/>
    <m/>
    <m/>
    <m/>
    <s v="Investment Managers"/>
    <s v="Investment Advisor"/>
    <n v="404300288453581"/>
    <s v="Growth"/>
    <s v="Low"/>
    <s v="Low"/>
    <s v="Low"/>
    <s v="Low"/>
    <m/>
    <s v="Moderate"/>
    <s v="Low"/>
    <m/>
    <m/>
    <m/>
    <m/>
    <s v="New York"/>
    <s v="United States"/>
  </r>
  <r>
    <n v="400"/>
    <s v="Eurizon SLJ Capital Limited"/>
    <n v="0"/>
    <n v="1.9000000000000001E-5"/>
    <m/>
    <m/>
    <m/>
    <m/>
    <m/>
    <m/>
    <m/>
    <m/>
    <m/>
    <n v="0"/>
    <n v="1767299"/>
    <m/>
    <m/>
    <m/>
    <m/>
    <m/>
    <m/>
    <m/>
    <m/>
    <m/>
    <n v="-1767299"/>
    <n v="1767299"/>
    <m/>
    <m/>
    <m/>
    <m/>
    <m/>
    <m/>
    <m/>
    <m/>
    <m/>
    <n v="0"/>
    <n v="10048623179.1"/>
    <m/>
    <m/>
    <m/>
    <m/>
    <m/>
    <m/>
    <m/>
    <m/>
    <m/>
    <d v="2025-06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Hedge Fund"/>
    <n v="4220711169840"/>
    <s v="Hedge Fund"/>
    <s v="High"/>
    <s v="High"/>
    <m/>
    <m/>
    <m/>
    <m/>
    <m/>
    <m/>
    <m/>
    <m/>
    <m/>
    <s v="London"/>
    <s v="United Kingdom"/>
  </r>
  <r>
    <n v="401"/>
    <s v="Fidelity Institutional Asset Management"/>
    <n v="0"/>
    <n v="5.0000000000000004E-6"/>
    <n v="5.0000000000000004E-6"/>
    <n v="1.9000000000000001E-5"/>
    <n v="4.8999999999999998E-5"/>
    <n v="6.3E-5"/>
    <m/>
    <m/>
    <m/>
    <m/>
    <m/>
    <n v="0"/>
    <n v="462536"/>
    <n v="475228"/>
    <n v="1785820"/>
    <n v="4546234"/>
    <n v="5828468"/>
    <m/>
    <m/>
    <m/>
    <m/>
    <m/>
    <n v="-462536"/>
    <n v="-12692"/>
    <n v="-1310592"/>
    <n v="-2760414"/>
    <n v="-1282234"/>
    <n v="5828468"/>
    <m/>
    <m/>
    <m/>
    <m/>
    <m/>
    <n v="0"/>
    <n v="2629917257.8000002"/>
    <n v="2875129403.25"/>
    <n v="8862131826.3500004"/>
    <n v="15951855555"/>
    <n v="18432529970.400002"/>
    <m/>
    <m/>
    <m/>
    <m/>
    <m/>
    <d v="2025-06-30T00:00:00"/>
    <d v="2024-12-31T00:00:00"/>
    <d v="2023-12-31T00:00:00"/>
    <d v="2022-12-31T00:00:00"/>
    <d v="2021-12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2834300956053230"/>
    <s v="GARP"/>
    <s v="Low"/>
    <s v="Low"/>
    <s v="Low"/>
    <s v="Low"/>
    <s v="Low"/>
    <s v="Low"/>
    <m/>
    <m/>
    <m/>
    <m/>
    <m/>
    <s v="Providence"/>
    <s v="United States"/>
  </r>
  <r>
    <n v="402"/>
    <s v="Fidelity Investments Canada ULC"/>
    <n v="0"/>
    <n v="0"/>
    <n v="3.9999999999999998E-6"/>
    <n v="1.9999999999999999E-6"/>
    <n v="6.0000000000000002E-6"/>
    <n v="6.0000000000000002E-6"/>
    <n v="1.13E-4"/>
    <n v="2.0999999999999999E-5"/>
    <n v="2.9E-5"/>
    <n v="3.4E-5"/>
    <n v="4.1999999999999998E-5"/>
    <n v="0"/>
    <n v="0"/>
    <n v="362438"/>
    <n v="219420"/>
    <n v="538200"/>
    <n v="538200"/>
    <n v="10398284"/>
    <n v="1935444"/>
    <n v="2701548"/>
    <n v="3141500"/>
    <n v="3866412"/>
    <n v="0"/>
    <n v="-362438"/>
    <n v="143018"/>
    <n v="-318780"/>
    <n v="0"/>
    <n v="-9860084"/>
    <n v="8462840"/>
    <n v="-766104"/>
    <n v="-439952"/>
    <n v="-724912"/>
    <n v="-720740"/>
    <n v="0"/>
    <n v="0"/>
    <n v="2192749877"/>
    <n v="1088871677.3"/>
    <n v="1702057546.8"/>
    <n v="1702057546.8"/>
    <n v="39788749864.400002"/>
    <n v="7048687956.25"/>
    <n v="10806191944.549999"/>
    <n v="9090715632.2999992"/>
    <n v="8944321983.8999996"/>
    <d v="2024-03-31T00:00:00"/>
    <d v="2024-03-31T00:00:00"/>
    <d v="2023-12-31T00:00:00"/>
    <d v="2022-12-31T00:00:00"/>
    <d v="2020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410547193394130"/>
    <s v="GARP"/>
    <s v="Low"/>
    <s v="Moderate"/>
    <s v="Moderate"/>
    <s v="Moderate"/>
    <s v="Moderate"/>
    <s v="Moderate"/>
    <s v="Moderate"/>
    <s v="Moderate"/>
    <s v="Low"/>
    <s v="Moderate"/>
    <s v="Moderate"/>
    <s v="Toronto"/>
    <s v="Canada"/>
  </r>
  <r>
    <n v="403"/>
    <s v="Fidelity Management &amp; Research (Hong Kong) Limited"/>
    <n v="0"/>
    <n v="9.8999999999999999E-4"/>
    <m/>
    <m/>
    <m/>
    <m/>
    <m/>
    <m/>
    <n v="0"/>
    <n v="0"/>
    <m/>
    <n v="0"/>
    <n v="91438900"/>
    <m/>
    <m/>
    <m/>
    <m/>
    <m/>
    <m/>
    <n v="0"/>
    <n v="0"/>
    <m/>
    <n v="-91438900"/>
    <n v="91438900"/>
    <m/>
    <m/>
    <m/>
    <m/>
    <m/>
    <m/>
    <n v="0"/>
    <n v="0"/>
    <m/>
    <n v="0"/>
    <n v="519909226843.20001"/>
    <m/>
    <m/>
    <m/>
    <m/>
    <m/>
    <m/>
    <n v="0"/>
    <n v="0"/>
    <m/>
    <d v="2025-02-28T00:00:00"/>
    <d v="2024-12-31T00:00:00"/>
    <m/>
    <m/>
    <m/>
    <m/>
    <m/>
    <m/>
    <d v="2016-10-31T00:00:00"/>
    <d v="2016-10-31T00:00:00"/>
    <m/>
    <s v="Aggregate MFs"/>
    <s v="Aggregate MFs"/>
    <m/>
    <m/>
    <m/>
    <m/>
    <m/>
    <m/>
    <s v="Aggregate MFs"/>
    <s v="Aggregate MFs"/>
    <m/>
    <s v="Investment Managers"/>
    <s v="Investment Advisor"/>
    <n v="192910051805202"/>
    <s v="Mixed Style"/>
    <s v="Low"/>
    <s v="Moderate"/>
    <m/>
    <m/>
    <m/>
    <m/>
    <m/>
    <m/>
    <s v="Moderate"/>
    <s v="High"/>
    <m/>
    <s v="Central (Hong Kong)"/>
    <s v="Hong Kong"/>
  </r>
  <r>
    <n v="404"/>
    <s v="GAM (Luxembourg) S.A."/>
    <n v="0"/>
    <n v="0"/>
    <n v="6.0000000000000002E-6"/>
    <n v="5.0000000000000004E-6"/>
    <n v="6.9999999999999999E-6"/>
    <n v="1.5999999999999999E-5"/>
    <n v="1.1E-5"/>
    <n v="6.9999999999999999E-6"/>
    <n v="1.0000000000000001E-5"/>
    <m/>
    <m/>
    <n v="0"/>
    <n v="0"/>
    <n v="555300"/>
    <n v="461400"/>
    <n v="616400"/>
    <n v="1482800"/>
    <n v="1058400"/>
    <n v="676200"/>
    <n v="926000"/>
    <m/>
    <m/>
    <n v="0"/>
    <n v="-555300"/>
    <n v="93900"/>
    <n v="-155000"/>
    <n v="-866400"/>
    <n v="424400"/>
    <n v="382200"/>
    <n v="-249800"/>
    <n v="926000"/>
    <m/>
    <m/>
    <n v="0"/>
    <n v="0"/>
    <n v="3359564945.9000001"/>
    <n v="2289697574.4499998"/>
    <n v="2162828377.5"/>
    <n v="4689354945.6000004"/>
    <n v="4049938740.4000001"/>
    <n v="2462650825"/>
    <n v="3704000027.9000001"/>
    <m/>
    <m/>
    <d v="2024-04-30T00:00:00"/>
    <d v="2024-04-30T00:00:00"/>
    <d v="2023-12-31T00:00:00"/>
    <d v="2022-12-31T00:00:00"/>
    <d v="2021-12-31T00:00:00"/>
    <d v="2020-12-31T00:00:00"/>
    <d v="2019-12-31T00:00:00"/>
    <d v="2018-12-31T00:00:00"/>
    <d v="2017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17955306574549.199"/>
    <m/>
    <s v="Low"/>
    <s v="Moderate"/>
    <s v="High"/>
    <s v="Moderate"/>
    <s v="Moderate"/>
    <s v="High"/>
    <s v="High"/>
    <s v="High"/>
    <s v="Moderate"/>
    <m/>
    <m/>
    <s v="Luxembourg"/>
    <s v="Luxembourg"/>
  </r>
  <r>
    <n v="405"/>
    <s v="Gudme Raaschou Fondsmæglerselskab A/S"/>
    <n v="0"/>
    <n v="1.9999999999999999E-6"/>
    <m/>
    <m/>
    <m/>
    <m/>
    <m/>
    <m/>
    <m/>
    <m/>
    <m/>
    <n v="0"/>
    <n v="174200"/>
    <m/>
    <m/>
    <m/>
    <m/>
    <m/>
    <m/>
    <m/>
    <m/>
    <m/>
    <n v="-174200"/>
    <n v="174200"/>
    <m/>
    <m/>
    <m/>
    <m/>
    <m/>
    <m/>
    <m/>
    <m/>
    <m/>
    <n v="0"/>
    <n v="990477713.10000002"/>
    <m/>
    <m/>
    <m/>
    <m/>
    <m/>
    <m/>
    <m/>
    <m/>
    <m/>
    <d v="2025-06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1626413093351.6"/>
    <s v="Growth"/>
    <s v="Low"/>
    <s v="Low"/>
    <m/>
    <m/>
    <m/>
    <m/>
    <m/>
    <m/>
    <m/>
    <m/>
    <m/>
    <s v="Copenhagen"/>
    <s v="Denmark"/>
  </r>
  <r>
    <n v="406"/>
    <s v="Hermes Investment Management Ltd."/>
    <n v="0"/>
    <n v="3.57E-4"/>
    <m/>
    <m/>
    <m/>
    <m/>
    <m/>
    <m/>
    <m/>
    <m/>
    <m/>
    <n v="0"/>
    <n v="33008100"/>
    <m/>
    <m/>
    <m/>
    <m/>
    <m/>
    <m/>
    <m/>
    <m/>
    <m/>
    <n v="-33008100"/>
    <n v="33008100"/>
    <m/>
    <m/>
    <m/>
    <m/>
    <m/>
    <m/>
    <m/>
    <m/>
    <m/>
    <n v="0"/>
    <n v="187679595360.29999"/>
    <m/>
    <m/>
    <m/>
    <m/>
    <m/>
    <m/>
    <m/>
    <m/>
    <m/>
    <d v="2025-03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243950414228420"/>
    <s v="GARP"/>
    <s v="Low"/>
    <s v="Moderate"/>
    <m/>
    <m/>
    <m/>
    <m/>
    <m/>
    <m/>
    <m/>
    <m/>
    <m/>
    <s v="London"/>
    <s v="United Kingdom"/>
  </r>
  <r>
    <n v="407"/>
    <s v="Hong Leong Asset Management Bhd."/>
    <n v="0"/>
    <n v="0"/>
    <n v="2.1999999999999999E-5"/>
    <n v="1.44E-4"/>
    <n v="9.9999999999999995E-7"/>
    <m/>
    <m/>
    <n v="0"/>
    <n v="0"/>
    <m/>
    <n v="0"/>
    <n v="0"/>
    <n v="0"/>
    <n v="2000000"/>
    <n v="13324000"/>
    <n v="124000"/>
    <m/>
    <m/>
    <n v="0"/>
    <n v="0"/>
    <m/>
    <n v="0"/>
    <n v="0"/>
    <n v="-2000000"/>
    <n v="-11324000"/>
    <n v="13200000"/>
    <n v="124000"/>
    <m/>
    <m/>
    <n v="0"/>
    <n v="0"/>
    <m/>
    <n v="0"/>
    <n v="0"/>
    <n v="0"/>
    <n v="12099999990.65"/>
    <n v="66120350050.699997"/>
    <n v="433999963.19999999"/>
    <m/>
    <m/>
    <n v="0"/>
    <n v="0"/>
    <m/>
    <n v="0"/>
    <d v="2024-06-30T00:00:00"/>
    <d v="2024-06-30T00:00:00"/>
    <d v="2023-12-31T00:00:00"/>
    <d v="2022-12-31T00:00:00"/>
    <d v="2021-11-30T00:00:00"/>
    <m/>
    <m/>
    <d v="2017-10-31T00:00:00"/>
    <d v="2017-10-31T00:00:00"/>
    <m/>
    <d v="2014-04-30T00:00:00"/>
    <s v="Aggregate MFs"/>
    <s v="Aggregate MFs"/>
    <s v="Aggregate MFs"/>
    <s v="Aggregate MFs"/>
    <s v="Aggregate MFs"/>
    <m/>
    <m/>
    <s v="Aggregate MFs"/>
    <s v="Aggregate MFs"/>
    <m/>
    <s v="Aggregate MFs"/>
    <s v="Investment Managers"/>
    <s v="Investment Advisor"/>
    <n v="13149664515220.801"/>
    <m/>
    <s v="Low"/>
    <s v="Moderate"/>
    <s v="Moderate"/>
    <s v="Moderate"/>
    <s v="Moderate"/>
    <m/>
    <m/>
    <s v="High"/>
    <s v="High"/>
    <m/>
    <s v="High"/>
    <s v="Kuala Lumpur"/>
    <s v="Malaysia"/>
  </r>
  <r>
    <n v="408"/>
    <s v="Indecap AB"/>
    <n v="0"/>
    <n v="0"/>
    <n v="7.2000000000000002E-5"/>
    <n v="5.8E-5"/>
    <m/>
    <m/>
    <m/>
    <m/>
    <m/>
    <m/>
    <m/>
    <n v="0"/>
    <n v="0"/>
    <n v="6673951"/>
    <n v="5343894"/>
    <m/>
    <m/>
    <m/>
    <m/>
    <m/>
    <m/>
    <m/>
    <n v="0"/>
    <n v="-6673951"/>
    <n v="1330057"/>
    <n v="5343894"/>
    <m/>
    <m/>
    <m/>
    <m/>
    <m/>
    <m/>
    <m/>
    <n v="0"/>
    <n v="0"/>
    <n v="40377403593.650002"/>
    <n v="26519074052.349998"/>
    <m/>
    <m/>
    <m/>
    <m/>
    <m/>
    <m/>
    <m/>
    <d v="2024-05-31T00:00:00"/>
    <d v="2024-05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/Hedge Fund"/>
    <n v="59960321836371.602"/>
    <s v="Growth"/>
    <s v="Moderate"/>
    <s v="Low"/>
    <s v="Low"/>
    <s v="Moderate"/>
    <m/>
    <m/>
    <m/>
    <m/>
    <m/>
    <m/>
    <m/>
    <s v="Stockholm"/>
    <s v="Sweden"/>
  </r>
  <r>
    <n v="409"/>
    <s v="INVESCO Asset Management Deutschland GmbH"/>
    <n v="0"/>
    <n v="0"/>
    <n v="1.9999999999999999E-6"/>
    <n v="1.9999999999999999E-6"/>
    <m/>
    <m/>
    <m/>
    <m/>
    <m/>
    <m/>
    <m/>
    <n v="0"/>
    <n v="0"/>
    <n v="205300"/>
    <n v="214200"/>
    <m/>
    <m/>
    <m/>
    <m/>
    <m/>
    <m/>
    <m/>
    <n v="0"/>
    <n v="-205300"/>
    <n v="-8900"/>
    <n v="214200"/>
    <m/>
    <m/>
    <m/>
    <m/>
    <m/>
    <m/>
    <m/>
    <n v="0"/>
    <n v="0"/>
    <n v="1242065059.1500001"/>
    <n v="1009417500"/>
    <m/>
    <m/>
    <m/>
    <m/>
    <m/>
    <m/>
    <m/>
    <d v="2024-09-30T00:00:00"/>
    <d v="2024-09-30T00:00:00"/>
    <d v="2023-12-31T00:00:00"/>
    <d v="2022-09-30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/Hedge Fund"/>
    <n v="166627315987052"/>
    <s v="Core Value"/>
    <s v="Low"/>
    <s v="Low"/>
    <s v="Moderate"/>
    <s v="Moderate"/>
    <m/>
    <m/>
    <m/>
    <m/>
    <m/>
    <m/>
    <m/>
    <s v="Frankfurt"/>
    <s v="Germany"/>
  </r>
  <r>
    <n v="410"/>
    <s v="Jarislowsky Fraser, Ltd."/>
    <n v="0"/>
    <n v="1.7E-5"/>
    <n v="4.3999999999999999E-5"/>
    <n v="6.3999999999999997E-5"/>
    <n v="0"/>
    <n v="2.3E-5"/>
    <m/>
    <m/>
    <m/>
    <m/>
    <m/>
    <n v="0"/>
    <n v="1562700"/>
    <n v="4026200"/>
    <n v="5907600"/>
    <n v="0"/>
    <n v="2164000"/>
    <m/>
    <m/>
    <m/>
    <m/>
    <m/>
    <n v="-1562700"/>
    <n v="-2463500"/>
    <n v="-1881400"/>
    <n v="5907600"/>
    <n v="-2164000"/>
    <n v="2164000"/>
    <m/>
    <m/>
    <m/>
    <m/>
    <m/>
    <n v="0"/>
    <n v="8885301054.5"/>
    <n v="23553269968.900002"/>
    <n v="29316465037.75"/>
    <n v="0"/>
    <n v="6843650018.3999996"/>
    <m/>
    <m/>
    <m/>
    <m/>
    <m/>
    <d v="2025-01-31T00:00:00"/>
    <d v="2024-12-31T00:00:00"/>
    <d v="2023-11-30T00:00:00"/>
    <d v="2022-12-31T00:00:00"/>
    <d v="2021-05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362654099103190"/>
    <s v="Core Value"/>
    <s v="Low"/>
    <s v="Low"/>
    <s v="Low"/>
    <s v="Low"/>
    <s v="Moderate"/>
    <s v="Low"/>
    <m/>
    <m/>
    <m/>
    <m/>
    <m/>
    <s v="Montreal"/>
    <s v="Canada"/>
  </r>
  <r>
    <n v="411"/>
    <s v="Jennison Associates LLC"/>
    <n v="0"/>
    <n v="1.9999999999999999E-6"/>
    <n v="4.06E-4"/>
    <n v="4.5600000000000003E-4"/>
    <m/>
    <m/>
    <m/>
    <m/>
    <m/>
    <n v="0"/>
    <n v="0"/>
    <n v="0"/>
    <n v="197000"/>
    <n v="37509050"/>
    <n v="42180342"/>
    <m/>
    <m/>
    <m/>
    <m/>
    <m/>
    <n v="0"/>
    <n v="0"/>
    <n v="-197000"/>
    <n v="-37312050"/>
    <n v="-4671292"/>
    <n v="42180342"/>
    <m/>
    <m/>
    <m/>
    <m/>
    <m/>
    <n v="0"/>
    <n v="0"/>
    <n v="0"/>
    <n v="1120115325.8"/>
    <n v="226929752257.64999"/>
    <n v="209319947331"/>
    <m/>
    <m/>
    <m/>
    <m/>
    <m/>
    <n v="0"/>
    <n v="0"/>
    <d v="2025-02-28T00:00:00"/>
    <d v="2024-12-31T00:00:00"/>
    <d v="2023-12-31T00:00:00"/>
    <d v="2022-12-31T00:00:00"/>
    <m/>
    <m/>
    <m/>
    <m/>
    <m/>
    <d v="2015-05-31T00:00:00"/>
    <d v="2015-05-31T00:00:00"/>
    <s v="Aggregate MFs"/>
    <s v="Aggregate MFs"/>
    <s v="Aggregate MFs"/>
    <s v="Aggregate MFs"/>
    <m/>
    <m/>
    <m/>
    <m/>
    <m/>
    <s v="Aggregate MFs"/>
    <s v="Aggregate MFs"/>
    <s v="Investment Managers"/>
    <s v="Investment Advisor/Hedge Fund"/>
    <n v="3040370549111060"/>
    <s v="Growth"/>
    <s v="Low"/>
    <s v="Low"/>
    <s v="Low"/>
    <s v="Low"/>
    <m/>
    <m/>
    <m/>
    <m/>
    <m/>
    <s v="Low"/>
    <s v="Low"/>
    <s v="New York"/>
    <s v="United States"/>
  </r>
  <r>
    <n v="412"/>
    <s v="Jyske Invest Fund Management A/S"/>
    <n v="0"/>
    <n v="0"/>
    <n v="1.9999999999999999E-6"/>
    <m/>
    <m/>
    <m/>
    <m/>
    <m/>
    <m/>
    <m/>
    <m/>
    <n v="0"/>
    <n v="0"/>
    <n v="207900"/>
    <m/>
    <m/>
    <m/>
    <m/>
    <m/>
    <m/>
    <m/>
    <m/>
    <n v="0"/>
    <n v="-207900"/>
    <n v="207900"/>
    <m/>
    <m/>
    <m/>
    <m/>
    <m/>
    <m/>
    <m/>
    <m/>
    <n v="0"/>
    <n v="0"/>
    <n v="1257795054.3499999"/>
    <m/>
    <m/>
    <m/>
    <m/>
    <m/>
    <m/>
    <m/>
    <m/>
    <d v="2024-05-31T00:00:00"/>
    <d v="2024-05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26146056303102"/>
    <s v="Core Growth"/>
    <s v="Low"/>
    <s v="Moderate"/>
    <s v="Moderate"/>
    <m/>
    <m/>
    <m/>
    <m/>
    <m/>
    <m/>
    <m/>
    <m/>
    <s v="Silkeborg"/>
    <s v="Denmark"/>
  </r>
  <r>
    <n v="413"/>
    <s v="Kasikorn Asset Management Co., Ltd."/>
    <n v="0"/>
    <n v="0"/>
    <n v="1.9999999999999999E-6"/>
    <n v="1.9999999999999999E-6"/>
    <n v="3.9999999999999998E-6"/>
    <n v="5.0000000000000004E-6"/>
    <n v="1.9999999999999999E-6"/>
    <n v="9.0000000000000002E-6"/>
    <m/>
    <m/>
    <m/>
    <n v="0"/>
    <n v="0"/>
    <n v="164305"/>
    <n v="161840"/>
    <n v="363600"/>
    <n v="505000"/>
    <n v="192200"/>
    <n v="864000"/>
    <m/>
    <m/>
    <m/>
    <n v="0"/>
    <n v="-164305"/>
    <n v="2465"/>
    <n v="-201760"/>
    <n v="-141400"/>
    <n v="312800"/>
    <n v="-671800"/>
    <n v="864000"/>
    <m/>
    <m/>
    <m/>
    <n v="0"/>
    <n v="0"/>
    <n v="994045297.20000005"/>
    <n v="803130963.79999995"/>
    <n v="1036259994"/>
    <n v="1464500059.0999999"/>
    <n v="766397549.60000002"/>
    <n v="2872799946"/>
    <m/>
    <m/>
    <m/>
    <d v="2024-03-31T00:00:00"/>
    <d v="2024-03-31T00:00:00"/>
    <d v="2023-12-31T00:00:00"/>
    <d v="2022-12-31T00:00:00"/>
    <d v="2021-07-31T00:00:00"/>
    <d v="2020-07-31T00:00:00"/>
    <d v="2019-07-31T00:00:00"/>
    <d v="2018-07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128664347805052"/>
    <m/>
    <s v="Low"/>
    <s v="Low"/>
    <s v="Low"/>
    <s v="Low"/>
    <s v="Moderate"/>
    <s v="Low"/>
    <s v="Low"/>
    <s v="Low"/>
    <m/>
    <m/>
    <m/>
    <s v="Bangkok"/>
    <s v="Thailand"/>
  </r>
  <r>
    <n v="414"/>
    <s v="Keppler Asset Management, Inc."/>
    <n v="0"/>
    <n v="5.0000000000000004E-6"/>
    <m/>
    <m/>
    <m/>
    <m/>
    <m/>
    <m/>
    <m/>
    <m/>
    <m/>
    <n v="0"/>
    <n v="506900"/>
    <m/>
    <m/>
    <m/>
    <m/>
    <m/>
    <m/>
    <m/>
    <m/>
    <m/>
    <n v="-506900"/>
    <n v="506900"/>
    <m/>
    <m/>
    <m/>
    <m/>
    <m/>
    <m/>
    <m/>
    <m/>
    <m/>
    <n v="0"/>
    <n v="3510282495.75"/>
    <m/>
    <m/>
    <m/>
    <m/>
    <m/>
    <m/>
    <m/>
    <m/>
    <m/>
    <d v="2025-03-31T00:00:00"/>
    <d v="2024-09-30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2625388087064.3999"/>
    <s v="Core Value"/>
    <s v="Low"/>
    <s v="High"/>
    <m/>
    <m/>
    <m/>
    <m/>
    <m/>
    <m/>
    <m/>
    <m/>
    <m/>
    <s v="New York"/>
    <s v="United States"/>
  </r>
  <r>
    <n v="415"/>
    <s v="Lansförsäkringar Fondförvaltning AB"/>
    <n v="0"/>
    <n v="7.6000000000000004E-5"/>
    <m/>
    <m/>
    <m/>
    <m/>
    <m/>
    <m/>
    <m/>
    <m/>
    <m/>
    <n v="0"/>
    <n v="7034616"/>
    <m/>
    <m/>
    <m/>
    <m/>
    <m/>
    <m/>
    <m/>
    <m/>
    <m/>
    <n v="-7034616"/>
    <n v="7034616"/>
    <m/>
    <m/>
    <m/>
    <m/>
    <m/>
    <m/>
    <m/>
    <m/>
    <m/>
    <n v="0"/>
    <n v="39997875812.599998"/>
    <m/>
    <m/>
    <m/>
    <m/>
    <m/>
    <m/>
    <m/>
    <m/>
    <m/>
    <d v="2025-05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703305238387829"/>
    <m/>
    <s v="Low"/>
    <s v="Moderate"/>
    <m/>
    <m/>
    <m/>
    <m/>
    <m/>
    <m/>
    <m/>
    <m/>
    <m/>
    <s v="Stockholm"/>
    <s v="Sweden"/>
  </r>
  <r>
    <n v="416"/>
    <s v="Lazard Asset Management Limited"/>
    <n v="0"/>
    <n v="2.5999999999999998E-5"/>
    <n v="1.5999999999999999E-5"/>
    <n v="2.1999999999999999E-5"/>
    <m/>
    <m/>
    <m/>
    <m/>
    <m/>
    <m/>
    <n v="0"/>
    <n v="0"/>
    <n v="2447900"/>
    <n v="1501200"/>
    <n v="2075600"/>
    <m/>
    <m/>
    <m/>
    <m/>
    <m/>
    <m/>
    <n v="0"/>
    <n v="-2447900"/>
    <n v="946700"/>
    <n v="-574400"/>
    <n v="2075600"/>
    <m/>
    <m/>
    <m/>
    <m/>
    <m/>
    <m/>
    <n v="0"/>
    <n v="0"/>
    <n v="15030862070.4"/>
    <n v="9082259928.6000004"/>
    <n v="10300165054.85"/>
    <m/>
    <m/>
    <m/>
    <m/>
    <m/>
    <m/>
    <n v="0"/>
    <d v="2025-04-30T00:00:00"/>
    <d v="2024-11-30T00:00:00"/>
    <d v="2023-12-31T00:00:00"/>
    <d v="2022-12-31T00:00:00"/>
    <m/>
    <m/>
    <m/>
    <m/>
    <m/>
    <m/>
    <d v="2014-03-31T00:00:00"/>
    <s v="Aggregate MFs"/>
    <s v="Aggregate MFs"/>
    <s v="Aggregate MFs"/>
    <s v="Aggregate MFs"/>
    <m/>
    <m/>
    <m/>
    <m/>
    <m/>
    <m/>
    <s v="Aggregate MFs"/>
    <s v="Investment Managers"/>
    <s v="Investment Advisor/Hedge Fund"/>
    <n v="73800987564175.203"/>
    <s v="Core Value"/>
    <s v="Low"/>
    <s v="Moderate"/>
    <s v="Moderate"/>
    <s v="Moderate"/>
    <m/>
    <m/>
    <m/>
    <m/>
    <m/>
    <m/>
    <s v="Low"/>
    <s v="London"/>
    <s v="United Kingdom"/>
  </r>
  <r>
    <n v="417"/>
    <s v="Liontrust Investment Partners LLP"/>
    <n v="0"/>
    <n v="0"/>
    <n v="6.0000000000000002E-6"/>
    <n v="1.2999999999999999E-5"/>
    <n v="1.5E-5"/>
    <m/>
    <m/>
    <m/>
    <m/>
    <m/>
    <m/>
    <n v="0"/>
    <n v="0"/>
    <n v="564582"/>
    <n v="1205000"/>
    <n v="1386800"/>
    <m/>
    <m/>
    <m/>
    <m/>
    <m/>
    <m/>
    <n v="0"/>
    <n v="-564582"/>
    <n v="-640418"/>
    <n v="-181800"/>
    <n v="1386800"/>
    <m/>
    <m/>
    <m/>
    <m/>
    <m/>
    <m/>
    <n v="0"/>
    <n v="0"/>
    <n v="3415721133.4499998"/>
    <n v="5979812441.8999996"/>
    <n v="4866012907.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451292714091814"/>
    <s v="Growth"/>
    <s v="Low"/>
    <s v="Low"/>
    <s v="Low"/>
    <s v="Low"/>
    <s v="Low"/>
    <m/>
    <m/>
    <m/>
    <m/>
    <m/>
    <m/>
    <s v="London"/>
    <s v="United Kingdom"/>
  </r>
  <r>
    <n v="418"/>
    <s v="Lombard Odier Asset Management (Europe) Ltd"/>
    <n v="0"/>
    <n v="1.0000000000000001E-5"/>
    <n v="0"/>
    <m/>
    <m/>
    <m/>
    <m/>
    <m/>
    <m/>
    <m/>
    <m/>
    <n v="0"/>
    <n v="912800"/>
    <n v="0"/>
    <m/>
    <m/>
    <m/>
    <m/>
    <m/>
    <m/>
    <m/>
    <m/>
    <n v="-912800"/>
    <n v="912800"/>
    <n v="0"/>
    <m/>
    <m/>
    <m/>
    <m/>
    <m/>
    <m/>
    <m/>
    <m/>
    <n v="0"/>
    <n v="5190057495.3000002"/>
    <n v="0"/>
    <m/>
    <m/>
    <m/>
    <m/>
    <m/>
    <m/>
    <m/>
    <m/>
    <d v="2025-07-31T00:00:00"/>
    <d v="2024-12-31T00:00:00"/>
    <d v="2023-10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87275115562858.797"/>
    <s v="GARP"/>
    <s v="Low"/>
    <s v="Moderate"/>
    <s v="Moderate"/>
    <m/>
    <m/>
    <m/>
    <m/>
    <m/>
    <m/>
    <m/>
    <m/>
    <s v="London"/>
    <s v="United Kingdom"/>
  </r>
  <r>
    <n v="419"/>
    <s v="Macquarie Investment Management"/>
    <n v="0"/>
    <n v="8.2999999999999998E-5"/>
    <n v="6.0000000000000002E-6"/>
    <n v="0"/>
    <n v="0"/>
    <n v="9.2900000000000003E-4"/>
    <n v="1.176E-3"/>
    <n v="4.5800000000000002E-4"/>
    <n v="1.944E-3"/>
    <n v="4.26E-4"/>
    <n v="5.6400000000000005E-4"/>
    <n v="0"/>
    <n v="7673500"/>
    <n v="519700"/>
    <n v="0"/>
    <n v="0"/>
    <n v="85816000"/>
    <n v="108645320"/>
    <n v="42293120"/>
    <n v="179605080"/>
    <n v="39334000"/>
    <n v="52071600"/>
    <n v="-7673500"/>
    <n v="7153800"/>
    <n v="519700"/>
    <n v="0"/>
    <n v="-85816000"/>
    <n v="-22829320"/>
    <n v="66352200"/>
    <n v="-137311960"/>
    <n v="140271080"/>
    <n v="-12737600"/>
    <n v="52071600"/>
    <n v="0"/>
    <n v="43630483898"/>
    <n v="3144185047.1500001"/>
    <n v="0"/>
    <n v="0"/>
    <n v="271393099754.39999"/>
    <n v="415728351380.40002"/>
    <n v="154027191631.25"/>
    <n v="718420320043.25"/>
    <n v="113822762543.10001"/>
    <n v="120459267199.5"/>
    <d v="2025-04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595269282931300"/>
    <s v="Growth"/>
    <s v="Low"/>
    <s v="Low"/>
    <s v="Low"/>
    <s v="Low"/>
    <s v="Moderate"/>
    <s v="Low"/>
    <s v="Low"/>
    <s v="Low"/>
    <s v="Low"/>
    <s v="Low"/>
    <s v="Low"/>
    <s v="Philadelphia"/>
    <s v="United States"/>
  </r>
  <r>
    <n v="420"/>
    <s v="Manulife Asset Management (Taiwan) Co., Ltd"/>
    <n v="0"/>
    <n v="0"/>
    <n v="3.9999999999999998E-6"/>
    <n v="7.9999999999999996E-6"/>
    <n v="9.0000000000000002E-6"/>
    <m/>
    <m/>
    <m/>
    <m/>
    <m/>
    <m/>
    <n v="0"/>
    <n v="0"/>
    <n v="387359"/>
    <n v="719588"/>
    <n v="813266"/>
    <m/>
    <m/>
    <m/>
    <m/>
    <m/>
    <m/>
    <n v="0"/>
    <n v="-387359"/>
    <n v="-332229"/>
    <n v="-93678"/>
    <n v="813266"/>
    <m/>
    <m/>
    <m/>
    <m/>
    <m/>
    <m/>
    <n v="0"/>
    <n v="0"/>
    <n v="2343521887.1500001"/>
    <n v="3570955453.4499998"/>
    <n v="2853592995"/>
    <m/>
    <m/>
    <m/>
    <m/>
    <m/>
    <m/>
    <d v="2024-12-31T00:00:00"/>
    <d v="2024-12-31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776753870037.59998"/>
    <m/>
    <s v="Moderate"/>
    <s v="High"/>
    <s v="High"/>
    <s v="Moderate"/>
    <s v="High"/>
    <m/>
    <m/>
    <m/>
    <m/>
    <m/>
    <m/>
    <s v="Taipei"/>
    <s v="Taiwan"/>
  </r>
  <r>
    <n v="421"/>
    <s v="Manulife Investment Management (Hong Kong) Limited"/>
    <n v="0"/>
    <n v="0"/>
    <n v="5.3000000000000001E-5"/>
    <n v="8.0000000000000007E-5"/>
    <n v="0"/>
    <n v="0"/>
    <n v="1.1400000000000001E-4"/>
    <m/>
    <m/>
    <m/>
    <m/>
    <n v="0"/>
    <n v="0"/>
    <n v="4897100"/>
    <n v="7425200"/>
    <n v="0"/>
    <n v="0"/>
    <n v="10575200"/>
    <m/>
    <m/>
    <m/>
    <m/>
    <n v="0"/>
    <n v="-4897100"/>
    <n v="-2528100"/>
    <n v="7425200"/>
    <n v="0"/>
    <n v="-10575200"/>
    <n v="10575200"/>
    <m/>
    <m/>
    <m/>
    <m/>
    <n v="0"/>
    <n v="0"/>
    <n v="29627455042.25"/>
    <n v="36847554955.199997"/>
    <n v="0"/>
    <n v="0"/>
    <n v="40465714107.599998"/>
    <m/>
    <m/>
    <m/>
    <m/>
    <d v="2024-12-31T00:00:00"/>
    <d v="2024-12-31T00:00:00"/>
    <d v="2023-12-31T00:00:00"/>
    <d v="2022-12-31T00:00:00"/>
    <d v="2020-06-30T00:00:00"/>
    <d v="2020-06-30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0"/>
    <s v="Deep Value"/>
    <s v="Moderate"/>
    <m/>
    <m/>
    <s v="Low"/>
    <s v="Moderate"/>
    <s v="Low"/>
    <s v="High"/>
    <m/>
    <m/>
    <m/>
    <m/>
    <s v="Causeway Bay (Hong Kong)"/>
    <s v="Hong Kong"/>
  </r>
  <r>
    <n v="422"/>
    <s v="Manulife Investment Management (M) Berhad"/>
    <n v="0"/>
    <n v="7.9999999999999996E-6"/>
    <n v="1.2999999999999999E-5"/>
    <n v="3.4999999999999997E-5"/>
    <n v="1.9000000000000001E-5"/>
    <m/>
    <n v="7.9999999999999996E-6"/>
    <n v="6.9999999999999999E-6"/>
    <n v="9.0000000000000002E-6"/>
    <n v="1.2999999999999999E-5"/>
    <m/>
    <n v="0"/>
    <n v="707000"/>
    <n v="1200200"/>
    <n v="3223600"/>
    <n v="1801200"/>
    <m/>
    <n v="733200"/>
    <n v="636400"/>
    <n v="788400"/>
    <n v="1164000"/>
    <m/>
    <n v="-707000"/>
    <n v="-493200"/>
    <n v="-2023400"/>
    <n v="1422400"/>
    <n v="1801200"/>
    <m/>
    <n v="96800"/>
    <n v="-152000"/>
    <n v="-375600"/>
    <n v="1164000"/>
    <m/>
    <n v="0"/>
    <n v="4895974988.25"/>
    <n v="7200909889.5"/>
    <n v="15191214963.75"/>
    <n v="5538689936.1000004"/>
    <m/>
    <n v="2612025041.8000002"/>
    <n v="2641059931.1999998"/>
    <n v="2582010016.3200002"/>
    <n v="3266474944.5999999"/>
    <m/>
    <d v="2025-03-31T00:00:00"/>
    <d v="2024-09-30T00:00:00"/>
    <d v="2023-09-30T00:00:00"/>
    <d v="2022-09-30T00:00:00"/>
    <d v="2021-09-30T00:00:00"/>
    <m/>
    <d v="2019-02-28T00:00:00"/>
    <d v="2018-02-28T00:00:00"/>
    <d v="2017-08-31T00:00:00"/>
    <d v="2016-08-31T00:00:00"/>
    <m/>
    <s v="Aggregate MFs"/>
    <s v="Aggregate MFs"/>
    <s v="Aggregate MFs"/>
    <s v="Aggregate MFs"/>
    <s v="Aggregate MFs"/>
    <m/>
    <s v="Aggregate MFs"/>
    <s v="Aggregate MFs"/>
    <s v="Aggregate MFs"/>
    <s v="Aggregate MFs"/>
    <m/>
    <s v="Investment Managers"/>
    <s v="Investment Advisor"/>
    <n v="12510374175934.801"/>
    <m/>
    <s v="Low"/>
    <s v="Low"/>
    <s v="Low"/>
    <s v="Low"/>
    <s v="Moderate"/>
    <m/>
    <s v="Moderate"/>
    <s v="Moderate"/>
    <s v="Moderate"/>
    <s v="Moderate"/>
    <m/>
    <s v="Kuala Lumpur"/>
    <s v="Malaysia"/>
  </r>
  <r>
    <n v="423"/>
    <s v="Midas International Asset Management Ltd."/>
    <n v="0"/>
    <n v="0"/>
    <n v="2.0999999999999999E-5"/>
    <n v="3.4999999999999997E-5"/>
    <m/>
    <n v="0"/>
    <n v="0"/>
    <n v="7.9999999999999996E-6"/>
    <n v="5.0000000000000004E-6"/>
    <m/>
    <m/>
    <n v="0"/>
    <n v="0"/>
    <n v="1933000"/>
    <n v="3256000"/>
    <m/>
    <n v="0"/>
    <n v="0"/>
    <n v="730000"/>
    <n v="440000"/>
    <m/>
    <m/>
    <n v="0"/>
    <n v="-1933000"/>
    <n v="-1323000"/>
    <n v="3256000"/>
    <m/>
    <n v="0"/>
    <n v="-730000"/>
    <n v="290000"/>
    <n v="440000"/>
    <m/>
    <m/>
    <n v="0"/>
    <n v="0"/>
    <n v="11694649948.549999"/>
    <n v="16157899956.549999"/>
    <m/>
    <n v="0"/>
    <n v="0"/>
    <n v="2658584950"/>
    <n v="1760000013.55"/>
    <m/>
    <m/>
    <d v="2024-06-30T00:00:00"/>
    <d v="2024-06-30T00:00:00"/>
    <d v="2023-12-31T00:00:00"/>
    <d v="2022-12-31T00:00:00"/>
    <m/>
    <d v="2019-09-30T00:00:00"/>
    <d v="2019-09-30T00:00:00"/>
    <d v="2018-12-31T00:00:00"/>
    <d v="2017-12-31T00:00:00"/>
    <m/>
    <m/>
    <s v="Aggregate MFs"/>
    <s v="Aggregate MFs"/>
    <s v="Aggregate MFs"/>
    <s v="Aggregate MFs"/>
    <m/>
    <s v="Aggregate MFs"/>
    <s v="Aggregate MFs"/>
    <s v="Aggregate MFs"/>
    <s v="Aggregate MFs"/>
    <m/>
    <m/>
    <s v="Investment Managers"/>
    <s v="Investment Advisor/Hedge Fund"/>
    <n v="9388580888822.4004"/>
    <m/>
    <s v="Low"/>
    <s v="Moderate"/>
    <s v="Moderate"/>
    <s v="Low"/>
    <m/>
    <s v="High"/>
    <s v="High"/>
    <s v="High"/>
    <s v="High"/>
    <m/>
    <m/>
    <s v="Seoul"/>
    <s v="South Korea"/>
  </r>
  <r>
    <n v="424"/>
    <s v="NFJ Investment Group, LLC"/>
    <n v="0"/>
    <n v="1.9999999999999999E-6"/>
    <m/>
    <m/>
    <m/>
    <m/>
    <m/>
    <m/>
    <m/>
    <m/>
    <m/>
    <n v="0"/>
    <n v="163200"/>
    <m/>
    <m/>
    <m/>
    <m/>
    <m/>
    <m/>
    <m/>
    <m/>
    <m/>
    <n v="-163200"/>
    <n v="163200"/>
    <m/>
    <m/>
    <m/>
    <m/>
    <m/>
    <m/>
    <m/>
    <m/>
    <m/>
    <n v="0"/>
    <n v="927933147.79999995"/>
    <m/>
    <m/>
    <m/>
    <m/>
    <m/>
    <m/>
    <m/>
    <m/>
    <m/>
    <d v="2025-01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49002068198804.398"/>
    <s v="Deep Value"/>
    <s v="Low"/>
    <s v="Low"/>
    <m/>
    <m/>
    <m/>
    <m/>
    <m/>
    <m/>
    <m/>
    <m/>
    <m/>
    <s v="Dallas"/>
    <s v="United States"/>
  </r>
  <r>
    <n v="425"/>
    <s v="Ninety One UK Limited"/>
    <n v="0"/>
    <n v="8.4099999999999995E-4"/>
    <n v="7.2300000000000001E-4"/>
    <m/>
    <m/>
    <m/>
    <m/>
    <m/>
    <m/>
    <n v="0"/>
    <n v="0"/>
    <n v="0"/>
    <n v="77722001"/>
    <n v="66841901"/>
    <m/>
    <m/>
    <m/>
    <m/>
    <m/>
    <m/>
    <n v="0"/>
    <n v="0"/>
    <n v="-77722001"/>
    <n v="10880100"/>
    <n v="66841901"/>
    <m/>
    <m/>
    <m/>
    <m/>
    <m/>
    <m/>
    <n v="0"/>
    <n v="0"/>
    <n v="0"/>
    <n v="441916793008.90002"/>
    <n v="404393500716.25"/>
    <m/>
    <m/>
    <m/>
    <m/>
    <m/>
    <m/>
    <n v="0"/>
    <n v="0"/>
    <d v="2025-03-31T00:00:00"/>
    <d v="2024-12-31T00:00:00"/>
    <d v="2023-12-31T00:00:00"/>
    <m/>
    <m/>
    <m/>
    <m/>
    <m/>
    <m/>
    <d v="2015-09-30T00:00:00"/>
    <d v="2015-09-30T00:00:00"/>
    <s v="Aggregate MFs"/>
    <s v="Aggregate MFs"/>
    <s v="Aggregate MFs"/>
    <m/>
    <m/>
    <m/>
    <m/>
    <m/>
    <m/>
    <s v="Aggregate MFs"/>
    <s v="Aggregate MFs"/>
    <s v="Investment Managers"/>
    <s v="Investment Advisor/Hedge Fund"/>
    <n v="1002124515722230"/>
    <s v="Core Growth"/>
    <s v="Low"/>
    <s v="Low"/>
    <s v="Low"/>
    <m/>
    <m/>
    <m/>
    <m/>
    <m/>
    <m/>
    <s v="Moderate"/>
    <s v="Moderate"/>
    <s v="London"/>
    <s v="United Kingdom"/>
  </r>
  <r>
    <n v="426"/>
    <s v="Nippon Life Global Investors Singapore Limited"/>
    <n v="0"/>
    <n v="0"/>
    <n v="1.8200000000000001E-4"/>
    <m/>
    <m/>
    <m/>
    <m/>
    <m/>
    <m/>
    <m/>
    <m/>
    <n v="0"/>
    <n v="0"/>
    <n v="16792000"/>
    <m/>
    <m/>
    <m/>
    <m/>
    <m/>
    <m/>
    <m/>
    <m/>
    <n v="0"/>
    <n v="-16792000"/>
    <n v="16792000"/>
    <m/>
    <m/>
    <m/>
    <m/>
    <m/>
    <m/>
    <m/>
    <m/>
    <n v="0"/>
    <n v="0"/>
    <n v="101591599919.64999"/>
    <m/>
    <m/>
    <m/>
    <m/>
    <m/>
    <m/>
    <m/>
    <m/>
    <d v="2024-06-30T00:00:00"/>
    <d v="2024-06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8444023089950.4004"/>
    <m/>
    <m/>
    <s v="Low"/>
    <s v="Low"/>
    <m/>
    <m/>
    <m/>
    <m/>
    <m/>
    <m/>
    <m/>
    <m/>
    <s v="Singapore"/>
    <s v="Singapore"/>
  </r>
  <r>
    <n v="427"/>
    <s v="Nomura Asset Management Singapore Ltd."/>
    <n v="0"/>
    <n v="2.3800000000000001E-4"/>
    <n v="5.0000000000000004E-6"/>
    <n v="6.9999999999999999E-6"/>
    <n v="0"/>
    <n v="1.9999999999999999E-6"/>
    <n v="0"/>
    <n v="0"/>
    <n v="1.4E-5"/>
    <n v="1.8E-5"/>
    <n v="1.0000000000000001E-5"/>
    <n v="0"/>
    <n v="21947100"/>
    <n v="429000"/>
    <n v="645000"/>
    <n v="0"/>
    <n v="211400"/>
    <n v="0"/>
    <n v="0"/>
    <n v="1277400"/>
    <n v="1642400"/>
    <n v="912800"/>
    <n v="-21947100"/>
    <n v="21518100"/>
    <n v="-216000"/>
    <n v="645000"/>
    <n v="-211400"/>
    <n v="211400"/>
    <n v="0"/>
    <n v="-1277400"/>
    <n v="-365000"/>
    <n v="729600"/>
    <n v="0"/>
    <n v="0"/>
    <n v="124788244382"/>
    <n v="2595449977.75"/>
    <n v="3200812437.9000001"/>
    <n v="0"/>
    <n v="668552508"/>
    <n v="0"/>
    <n v="0"/>
    <n v="5109600037.5500002"/>
    <n v="4752694993.1999998"/>
    <n v="2510199960.4000001"/>
    <d v="2025-06-30T00:00:00"/>
    <d v="2024-12-31T00:00:00"/>
    <d v="2023-12-31T00:00:00"/>
    <d v="2022-12-31T00:00:00"/>
    <d v="2021-04-30T00:00:00"/>
    <d v="2020-12-31T00:00:00"/>
    <d v="2019-11-30T00:00:00"/>
    <d v="2018-04-30T00:00:00"/>
    <d v="2017-12-31T00:00:00"/>
    <d v="2016-12-31T00:00:00"/>
    <d v="2015-01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9238257320431.1992"/>
    <s v="Core Growth"/>
    <s v="Low"/>
    <s v="Low"/>
    <s v="Moderate"/>
    <s v="Moderate"/>
    <s v="Moderate"/>
    <s v="Moderate"/>
    <s v="Moderate"/>
    <s v="Moderate"/>
    <s v="Moderate"/>
    <s v="High"/>
    <s v="Moderate"/>
    <s v="Singapore"/>
    <s v="Singapore"/>
  </r>
  <r>
    <n v="428"/>
    <s v="Nomura Asset Management Taiwan Limited"/>
    <n v="0"/>
    <n v="6.8999999999999997E-5"/>
    <n v="9.0000000000000006E-5"/>
    <n v="0"/>
    <n v="0"/>
    <n v="1.8900000000000001E-4"/>
    <n v="3.4999999999999997E-5"/>
    <n v="4.1E-5"/>
    <n v="3.3000000000000003E-5"/>
    <n v="3.1999999999999999E-5"/>
    <n v="3.8999999999999999E-5"/>
    <n v="0"/>
    <n v="6365000"/>
    <n v="8290000"/>
    <n v="0"/>
    <n v="0"/>
    <n v="17433054"/>
    <n v="3242018"/>
    <n v="3819058"/>
    <n v="3018714"/>
    <n v="2920760"/>
    <n v="3604124"/>
    <n v="-6365000"/>
    <n v="-1925000"/>
    <n v="8290000"/>
    <n v="0"/>
    <n v="-17433054"/>
    <n v="14191036"/>
    <n v="-577040"/>
    <n v="800344"/>
    <n v="97954"/>
    <n v="-683364"/>
    <n v="-891872"/>
    <n v="0"/>
    <n v="36190529683.599998"/>
    <n v="50154499912.75"/>
    <n v="0"/>
    <n v="0"/>
    <n v="55132033179.599998"/>
    <n v="12405493316.4"/>
    <n v="13908616350"/>
    <n v="12074855992.200001"/>
    <n v="8451949239.6000004"/>
    <n v="8337560872.5"/>
    <d v="2025-02-28T00:00:00"/>
    <d v="2024-12-31T00:00:00"/>
    <d v="2023-12-31T00:00:00"/>
    <d v="2021-10-31T00:00:00"/>
    <d v="2021-10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0569186484061.203"/>
    <s v="Growth"/>
    <s v="Moderate"/>
    <s v="High"/>
    <s v="Moderate"/>
    <s v="Moderate"/>
    <s v="High"/>
    <s v="High"/>
    <s v="Moderate"/>
    <s v="Moderate"/>
    <s v="Moderate"/>
    <s v="Moderate"/>
    <s v="Moderate"/>
    <s v="Taipei"/>
    <s v="Taiwan"/>
  </r>
  <r>
    <n v="429"/>
    <s v="Optimix Vermogensbeheer N.V."/>
    <n v="0"/>
    <n v="9.0000000000000002E-6"/>
    <n v="2.1999999999999999E-5"/>
    <n v="2.1999999999999999E-5"/>
    <n v="2.1999999999999999E-5"/>
    <m/>
    <m/>
    <m/>
    <m/>
    <m/>
    <n v="0"/>
    <n v="0"/>
    <n v="850000"/>
    <n v="2000000"/>
    <n v="2000000"/>
    <n v="2000000"/>
    <m/>
    <m/>
    <m/>
    <m/>
    <m/>
    <n v="0"/>
    <n v="-850000"/>
    <n v="-1150000"/>
    <n v="0"/>
    <n v="0"/>
    <n v="2000000"/>
    <m/>
    <m/>
    <m/>
    <m/>
    <m/>
    <n v="0"/>
    <n v="0"/>
    <n v="4832985158.1999998"/>
    <n v="12099999990.65"/>
    <n v="9924999992.0499992"/>
    <n v="7017612997.5"/>
    <m/>
    <m/>
    <m/>
    <m/>
    <m/>
    <n v="0"/>
    <d v="2025-05-31T00:00:00"/>
    <d v="2024-12-31T00:00:00"/>
    <d v="2023-12-31T00:00:00"/>
    <d v="2022-12-31T00:00:00"/>
    <d v="2021-12-31T00:00:00"/>
    <m/>
    <m/>
    <m/>
    <m/>
    <m/>
    <d v="2014-03-31T00:00:00"/>
    <s v="Aggregate MFs"/>
    <s v="Aggregate MFs"/>
    <s v="Aggregate MFs"/>
    <s v="Aggregate MFs"/>
    <s v="Aggregate MFs"/>
    <m/>
    <m/>
    <m/>
    <m/>
    <m/>
    <s v="Aggregate MFs"/>
    <s v="Investment Managers"/>
    <s v="Investment Advisor/Hedge Fund"/>
    <n v="3960289283367.6001"/>
    <s v="GARP"/>
    <s v="Moderate"/>
    <s v="Moderate"/>
    <s v="Moderate"/>
    <s v="Low"/>
    <s v="Low"/>
    <m/>
    <m/>
    <m/>
    <m/>
    <m/>
    <s v="High"/>
    <s v="Amsterdam"/>
    <s v="Netherlands"/>
  </r>
  <r>
    <n v="430"/>
    <s v="Origin Asset Management LLP"/>
    <n v="0"/>
    <n v="0"/>
    <n v="6.5399999999999996E-4"/>
    <n v="6.2799999999999998E-4"/>
    <n v="0"/>
    <n v="6.1799999999999995E-4"/>
    <m/>
    <m/>
    <m/>
    <m/>
    <m/>
    <n v="0"/>
    <n v="0"/>
    <n v="60438000"/>
    <n v="58038000"/>
    <n v="0"/>
    <n v="57125600"/>
    <m/>
    <m/>
    <m/>
    <m/>
    <m/>
    <n v="0"/>
    <n v="-60438000"/>
    <n v="2400000"/>
    <n v="58038000"/>
    <n v="-57125600"/>
    <n v="57125600"/>
    <m/>
    <m/>
    <m/>
    <m/>
    <m/>
    <n v="0"/>
    <n v="0"/>
    <n v="365649899656.95001"/>
    <n v="288013575192.20001"/>
    <n v="0"/>
    <n v="180659709828"/>
    <m/>
    <m/>
    <m/>
    <m/>
    <m/>
    <d v="2024-06-30T00:00:00"/>
    <d v="2024-06-30T00:00:00"/>
    <d v="2023-12-31T00:00:00"/>
    <d v="2022-12-31T00:00:00"/>
    <d v="2021-08-31T00:00:00"/>
    <d v="2020-12-31T00:00:00"/>
    <m/>
    <m/>
    <m/>
    <m/>
    <m/>
    <s v="Aggregate MFs"/>
    <s v="Aggregate MFs"/>
    <s v="Aggregate MFs"/>
    <s v="Aggregate MFs"/>
    <s v="Aggregate MFs"/>
    <s v="Aggregate MFs"/>
    <m/>
    <m/>
    <m/>
    <m/>
    <m/>
    <s v="Investment Managers"/>
    <s v="Investment Advisor"/>
    <n v="79402353087418.797"/>
    <s v="GARP"/>
    <s v="High"/>
    <s v="High"/>
    <s v="Moderate"/>
    <s v="Moderate"/>
    <s v="Moderate"/>
    <s v="Moderate"/>
    <m/>
    <m/>
    <m/>
    <m/>
    <m/>
    <s v="London"/>
    <s v="United Kingdom"/>
  </r>
  <r>
    <n v="431"/>
    <s v="Osmosis Investment Management LLP"/>
    <n v="0"/>
    <n v="0"/>
    <m/>
    <m/>
    <m/>
    <m/>
    <m/>
    <m/>
    <m/>
    <m/>
    <m/>
    <n v="0"/>
    <n v="7000"/>
    <m/>
    <m/>
    <m/>
    <m/>
    <m/>
    <m/>
    <m/>
    <m/>
    <m/>
    <n v="-7000"/>
    <n v="7000"/>
    <m/>
    <m/>
    <m/>
    <m/>
    <m/>
    <m/>
    <m/>
    <m/>
    <m/>
    <n v="0"/>
    <n v="39801028.5"/>
    <m/>
    <m/>
    <m/>
    <m/>
    <m/>
    <m/>
    <m/>
    <m/>
    <m/>
    <d v="2025-03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24184178480115.602"/>
    <m/>
    <s v="Low"/>
    <s v="Moderate"/>
    <m/>
    <m/>
    <m/>
    <m/>
    <m/>
    <m/>
    <m/>
    <m/>
    <m/>
    <s v="London"/>
    <s v="United Kingdom"/>
  </r>
  <r>
    <n v="432"/>
    <s v="Ostrum Asset Management Asia Limited"/>
    <n v="0"/>
    <n v="9.0000000000000002E-6"/>
    <n v="1.8E-5"/>
    <m/>
    <m/>
    <m/>
    <m/>
    <m/>
    <m/>
    <n v="0"/>
    <n v="0"/>
    <n v="0"/>
    <n v="870000"/>
    <n v="1630000"/>
    <m/>
    <m/>
    <m/>
    <m/>
    <m/>
    <m/>
    <n v="0"/>
    <n v="0"/>
    <n v="-870000"/>
    <n v="-760000"/>
    <n v="1630000"/>
    <m/>
    <m/>
    <m/>
    <m/>
    <m/>
    <m/>
    <n v="0"/>
    <n v="0"/>
    <n v="0"/>
    <n v="4946702359.5"/>
    <n v="9861500022.3999996"/>
    <m/>
    <m/>
    <m/>
    <m/>
    <m/>
    <m/>
    <n v="0"/>
    <n v="0"/>
    <d v="2025-02-28T00:00:00"/>
    <d v="2024-12-31T00:00:00"/>
    <d v="2023-12-31T00:00:00"/>
    <m/>
    <m/>
    <m/>
    <m/>
    <m/>
    <m/>
    <d v="2015-06-30T00:00:00"/>
    <d v="2015-06-30T00:00:00"/>
    <s v="Aggregate MFs"/>
    <s v="Aggregate MFs"/>
    <s v="Aggregate MFs"/>
    <m/>
    <m/>
    <m/>
    <m/>
    <m/>
    <m/>
    <s v="Aggregate MFs"/>
    <s v="Aggregate MFs"/>
    <s v="Investment Managers"/>
    <s v="Investment Advisor"/>
    <n v="3364247876737.2002"/>
    <m/>
    <s v="Moderate"/>
    <s v="Moderate"/>
    <s v="Moderate"/>
    <m/>
    <m/>
    <m/>
    <m/>
    <m/>
    <m/>
    <s v="Low"/>
    <s v="Low"/>
    <s v="Singapore"/>
    <s v="Singapore"/>
  </r>
  <r>
    <n v="433"/>
    <s v="Pendal Group Limited"/>
    <n v="0"/>
    <n v="4.5000000000000003E-5"/>
    <n v="6.0000000000000002E-5"/>
    <m/>
    <m/>
    <m/>
    <m/>
    <m/>
    <m/>
    <m/>
    <m/>
    <n v="0"/>
    <n v="4189500"/>
    <n v="5530900"/>
    <m/>
    <m/>
    <m/>
    <m/>
    <m/>
    <m/>
    <m/>
    <m/>
    <n v="-4189500"/>
    <n v="-1341400"/>
    <n v="5530900"/>
    <m/>
    <m/>
    <m/>
    <m/>
    <m/>
    <m/>
    <m/>
    <m/>
    <n v="0"/>
    <n v="29012287554"/>
    <n v="33461944961.650002"/>
    <m/>
    <m/>
    <m/>
    <m/>
    <m/>
    <m/>
    <m/>
    <m/>
    <d v="2025-01-31T00:00:00"/>
    <d v="2024-09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96546339448794"/>
    <s v="Core Growth"/>
    <s v="Low"/>
    <s v="Low"/>
    <s v="Moderate"/>
    <m/>
    <m/>
    <m/>
    <m/>
    <m/>
    <m/>
    <m/>
    <m/>
    <s v="Sydney"/>
    <s v="Australia"/>
  </r>
  <r>
    <n v="434"/>
    <s v="Penserra Capital Management LLC"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4-12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48108595746867"/>
    <s v="Index"/>
    <s v="Moderate"/>
    <s v="High"/>
    <m/>
    <m/>
    <m/>
    <m/>
    <m/>
    <m/>
    <m/>
    <m/>
    <m/>
    <s v="New York"/>
    <s v="United States"/>
  </r>
  <r>
    <n v="435"/>
    <s v="Perinvest (UK) Ltd."/>
    <n v="0"/>
    <n v="0"/>
    <n v="2.5999999999999998E-5"/>
    <n v="2.0000000000000002E-5"/>
    <n v="0"/>
    <n v="0"/>
    <n v="2.3E-5"/>
    <m/>
    <m/>
    <m/>
    <m/>
    <n v="0"/>
    <n v="0"/>
    <n v="2358000"/>
    <n v="1840000"/>
    <n v="0"/>
    <n v="0"/>
    <n v="2116000"/>
    <m/>
    <m/>
    <m/>
    <m/>
    <n v="0"/>
    <n v="-2358000"/>
    <n v="518000"/>
    <n v="1840000"/>
    <n v="0"/>
    <n v="-2116000"/>
    <n v="2116000"/>
    <m/>
    <m/>
    <m/>
    <m/>
    <n v="0"/>
    <n v="0"/>
    <n v="14147430121.5"/>
    <n v="9131000079.8500004"/>
    <n v="0"/>
    <n v="0"/>
    <n v="8096816246.8000002"/>
    <m/>
    <m/>
    <m/>
    <m/>
    <d v="2024-03-31T00:00:00"/>
    <d v="2024-03-31T00:00:00"/>
    <d v="2023-09-30T00:00:00"/>
    <d v="2022-12-31T00:00:00"/>
    <d v="2020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65271230115.20001"/>
    <s v="Hedge Fund"/>
    <s v="Low"/>
    <s v="Low"/>
    <s v="Moderate"/>
    <s v="Moderate"/>
    <s v="Moderate"/>
    <s v="Moderate"/>
    <m/>
    <m/>
    <m/>
    <m/>
    <m/>
    <s v="London"/>
    <s v="United Kingdom"/>
  </r>
  <r>
    <n v="436"/>
    <s v="Phillip Capital Management Sdn. Bhd."/>
    <n v="0"/>
    <n v="0"/>
    <n v="0"/>
    <n v="0"/>
    <m/>
    <m/>
    <m/>
    <m/>
    <m/>
    <m/>
    <m/>
    <n v="0"/>
    <n v="0"/>
    <n v="20900"/>
    <n v="0"/>
    <m/>
    <m/>
    <m/>
    <m/>
    <m/>
    <m/>
    <m/>
    <n v="0"/>
    <n v="-20900"/>
    <n v="20900"/>
    <n v="0"/>
    <m/>
    <m/>
    <m/>
    <m/>
    <m/>
    <m/>
    <m/>
    <n v="0"/>
    <n v="0"/>
    <n v="126444985.09999999"/>
    <n v="0"/>
    <m/>
    <m/>
    <m/>
    <m/>
    <m/>
    <m/>
    <m/>
    <d v="2024-12-31T00:00:00"/>
    <d v="2024-12-31T00:00:00"/>
    <d v="2023-12-31T00:00:00"/>
    <d v="2022-09-30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141168693857.6001"/>
    <m/>
    <s v="Low"/>
    <s v="Low"/>
    <s v="Low"/>
    <s v="Low"/>
    <m/>
    <m/>
    <m/>
    <m/>
    <m/>
    <m/>
    <m/>
    <s v="Kuala Lumpur"/>
    <s v="Malaysia"/>
  </r>
  <r>
    <n v="437"/>
    <s v="PineBridge Investments (Taiwan)"/>
    <n v="0"/>
    <n v="0"/>
    <m/>
    <m/>
    <m/>
    <n v="0"/>
    <n v="0"/>
    <n v="5.0000000000000004E-6"/>
    <m/>
    <m/>
    <m/>
    <n v="0"/>
    <n v="0"/>
    <m/>
    <m/>
    <m/>
    <n v="0"/>
    <n v="0"/>
    <n v="418270"/>
    <m/>
    <m/>
    <m/>
    <n v="0"/>
    <n v="0"/>
    <m/>
    <m/>
    <m/>
    <n v="0"/>
    <n v="-418270"/>
    <n v="418270"/>
    <m/>
    <m/>
    <m/>
    <n v="0"/>
    <n v="0"/>
    <m/>
    <m/>
    <m/>
    <n v="0"/>
    <n v="0"/>
    <n v="1523296325"/>
    <m/>
    <m/>
    <m/>
    <d v="2024-12-31T00:00:00"/>
    <d v="2024-12-31T00:00:00"/>
    <m/>
    <m/>
    <m/>
    <d v="2019-06-30T00:00:00"/>
    <d v="2019-06-30T00:00:00"/>
    <d v="2018-12-31T00:00:00"/>
    <m/>
    <m/>
    <m/>
    <s v="Aggregate MFs"/>
    <s v="Aggregate MFs"/>
    <m/>
    <m/>
    <m/>
    <s v="Aggregate MFs"/>
    <s v="Aggregate MFs"/>
    <s v="Aggregate MFs"/>
    <m/>
    <m/>
    <m/>
    <s v="Investment Managers"/>
    <s v="Investment Advisor"/>
    <n v="1600590954704.3999"/>
    <m/>
    <s v="Moderate"/>
    <s v="Moderate"/>
    <m/>
    <m/>
    <m/>
    <s v="Moderate"/>
    <s v="Moderate"/>
    <s v="Moderate"/>
    <m/>
    <m/>
    <m/>
    <s v="Taipei"/>
    <s v="Taiwan"/>
  </r>
  <r>
    <n v="438"/>
    <s v="PineBridge Investments Asia Limited"/>
    <n v="0"/>
    <n v="3.3000000000000003E-5"/>
    <m/>
    <m/>
    <m/>
    <m/>
    <m/>
    <m/>
    <n v="0"/>
    <n v="0"/>
    <n v="0"/>
    <n v="0"/>
    <n v="3078600"/>
    <m/>
    <m/>
    <m/>
    <m/>
    <m/>
    <m/>
    <n v="0"/>
    <n v="0"/>
    <n v="0"/>
    <n v="-3078600"/>
    <n v="3078600"/>
    <m/>
    <m/>
    <m/>
    <m/>
    <m/>
    <m/>
    <n v="0"/>
    <n v="0"/>
    <n v="-15184000"/>
    <n v="0"/>
    <n v="17504503436.400002"/>
    <m/>
    <m/>
    <m/>
    <m/>
    <m/>
    <m/>
    <n v="0"/>
    <n v="0"/>
    <n v="0"/>
    <d v="2025-07-31T00:00:00"/>
    <d v="2024-12-31T00:00:00"/>
    <m/>
    <m/>
    <m/>
    <m/>
    <m/>
    <m/>
    <d v="2016-12-31T00:00:00"/>
    <d v="2016-12-31T00:00:00"/>
    <d v="2015-12-31T00:00:00"/>
    <s v="Aggregate MFs"/>
    <s v="Aggregate MFs"/>
    <m/>
    <m/>
    <m/>
    <m/>
    <m/>
    <m/>
    <s v="Aggregate MFs"/>
    <s v="Aggregate MFs"/>
    <s v="Aggregate MFs"/>
    <s v="Investment Managers"/>
    <s v="Investment Advisor"/>
    <n v="8057985761787.5996"/>
    <s v="GARP"/>
    <s v="Moderate"/>
    <s v="High"/>
    <m/>
    <m/>
    <m/>
    <m/>
    <m/>
    <m/>
    <s v="Moderate"/>
    <s v="Moderate"/>
    <s v="Moderate"/>
    <s v="Central (Hong Kong)"/>
    <s v="Hong Kong"/>
  </r>
  <r>
    <n v="439"/>
    <s v="Principal Global Investors (Equity)"/>
    <n v="0"/>
    <n v="0"/>
    <n v="8.2999999999999998E-5"/>
    <n v="3.0000000000000001E-5"/>
    <n v="3.2200000000000002E-4"/>
    <n v="0"/>
    <m/>
    <m/>
    <n v="0"/>
    <n v="0"/>
    <m/>
    <n v="0"/>
    <n v="0"/>
    <n v="7638000"/>
    <n v="2800800"/>
    <n v="29785400"/>
    <n v="0"/>
    <m/>
    <m/>
    <n v="0"/>
    <n v="0"/>
    <m/>
    <n v="0"/>
    <n v="-7638000"/>
    <n v="4837200"/>
    <n v="-26984600"/>
    <n v="29785400"/>
    <n v="0"/>
    <m/>
    <m/>
    <n v="0"/>
    <n v="0"/>
    <m/>
    <n v="0"/>
    <n v="0"/>
    <n v="46209900026.949997"/>
    <n v="13898970028.9"/>
    <n v="104511205725"/>
    <n v="0"/>
    <m/>
    <m/>
    <n v="0"/>
    <n v="0"/>
    <m/>
    <d v="2024-06-30T00:00:00"/>
    <d v="2024-06-30T00:00:00"/>
    <d v="2023-12-31T00:00:00"/>
    <d v="2022-12-31T00:00:00"/>
    <d v="2021-12-31T00:00:00"/>
    <d v="2020-09-30T00:00:00"/>
    <m/>
    <m/>
    <d v="2016-10-31T00:00:00"/>
    <d v="2016-10-31T00:00:00"/>
    <m/>
    <s v="Aggregate MFs"/>
    <s v="Aggregate MFs"/>
    <s v="Aggregate MFs"/>
    <s v="Aggregate MFs"/>
    <s v="Aggregate MFs"/>
    <s v="Aggregate MFs"/>
    <m/>
    <m/>
    <s v="Aggregate MFs"/>
    <s v="Aggregate MFs"/>
    <m/>
    <s v="Investment Managers"/>
    <s v="Investment Advisor"/>
    <n v="4310769469929500"/>
    <s v="Core Growth"/>
    <s v="Low"/>
    <s v="Low"/>
    <s v="Low"/>
    <s v="Low"/>
    <s v="Low"/>
    <s v="Low"/>
    <m/>
    <m/>
    <s v="Low"/>
    <s v="Low"/>
    <m/>
    <s v="Des Moines"/>
    <s v="United States"/>
  </r>
  <r>
    <n v="440"/>
    <s v="Putnam Investment Management, L.L.C."/>
    <n v="0"/>
    <n v="1.63E-4"/>
    <n v="2.1699999999999999E-4"/>
    <n v="4.15E-4"/>
    <m/>
    <m/>
    <m/>
    <m/>
    <m/>
    <m/>
    <n v="0"/>
    <n v="0"/>
    <n v="15104200"/>
    <n v="20043400"/>
    <n v="38304800"/>
    <m/>
    <m/>
    <m/>
    <m/>
    <m/>
    <m/>
    <n v="0"/>
    <n v="-15104200"/>
    <n v="-4939200"/>
    <n v="-18261400"/>
    <n v="38304800"/>
    <m/>
    <m/>
    <m/>
    <m/>
    <m/>
    <m/>
    <n v="0"/>
    <n v="0"/>
    <n v="85880439842.699997"/>
    <n v="121262569944.8"/>
    <n v="190087570126.85001"/>
    <m/>
    <m/>
    <m/>
    <m/>
    <m/>
    <m/>
    <n v="0"/>
    <d v="2025-06-30T00:00:00"/>
    <d v="2024-12-31T00:00:00"/>
    <d v="2023-12-31T00:00:00"/>
    <d v="2022-12-31T00:00:00"/>
    <m/>
    <m/>
    <m/>
    <m/>
    <m/>
    <m/>
    <d v="2015-01-31T00:00:00"/>
    <s v="Aggregate MFs"/>
    <s v="Aggregate MFs"/>
    <s v="Aggregate MFs"/>
    <s v="Aggregate MFs"/>
    <m/>
    <m/>
    <m/>
    <m/>
    <m/>
    <m/>
    <s v="Aggregate MFs"/>
    <s v="Investment Managers"/>
    <s v="Investment Advisor/Hedge Fund"/>
    <n v="2086730632709450"/>
    <s v="Core Growth"/>
    <s v="Low"/>
    <s v="Low"/>
    <s v="Low"/>
    <s v="Low"/>
    <m/>
    <m/>
    <m/>
    <m/>
    <m/>
    <m/>
    <s v="Low"/>
    <s v="Boston"/>
    <s v="United States"/>
  </r>
  <r>
    <n v="441"/>
    <s v="Putnam Investments Canada ULC"/>
    <n v="0"/>
    <n v="2.03E-4"/>
    <m/>
    <m/>
    <m/>
    <m/>
    <m/>
    <m/>
    <m/>
    <m/>
    <m/>
    <n v="0"/>
    <n v="18765900"/>
    <m/>
    <m/>
    <m/>
    <m/>
    <m/>
    <m/>
    <m/>
    <m/>
    <m/>
    <n v="-18765900"/>
    <n v="18765900"/>
    <m/>
    <m/>
    <m/>
    <m/>
    <m/>
    <m/>
    <m/>
    <m/>
    <m/>
    <n v="0"/>
    <n v="106700371125.3"/>
    <m/>
    <m/>
    <m/>
    <m/>
    <m/>
    <m/>
    <m/>
    <m/>
    <m/>
    <d v="2025-06-30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13664519634739.199"/>
    <m/>
    <s v="High"/>
    <s v="High"/>
    <m/>
    <m/>
    <m/>
    <m/>
    <m/>
    <m/>
    <m/>
    <m/>
    <m/>
    <s v="Vancouver"/>
    <s v="Canada"/>
  </r>
  <r>
    <n v="442"/>
    <s v="Rayliant Global Advisors Limited"/>
    <n v="0"/>
    <n v="0"/>
    <n v="1.9999999999999999E-6"/>
    <m/>
    <m/>
    <m/>
    <m/>
    <m/>
    <m/>
    <m/>
    <m/>
    <n v="0"/>
    <n v="0"/>
    <n v="220400"/>
    <m/>
    <m/>
    <m/>
    <m/>
    <m/>
    <m/>
    <m/>
    <m/>
    <n v="0"/>
    <n v="-220400"/>
    <n v="220400"/>
    <m/>
    <m/>
    <m/>
    <m/>
    <m/>
    <m/>
    <m/>
    <m/>
    <n v="0"/>
    <n v="0"/>
    <n v="1333420066.8"/>
    <m/>
    <m/>
    <m/>
    <m/>
    <m/>
    <m/>
    <m/>
    <m/>
    <d v="2024-06-30T00:00:00"/>
    <d v="2024-06-30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3265310341478.3999"/>
    <m/>
    <s v="High"/>
    <s v="High"/>
    <s v="High"/>
    <m/>
    <m/>
    <m/>
    <m/>
    <m/>
    <m/>
    <m/>
    <m/>
    <s v="Central (Hong Kong)"/>
    <s v="Hong Kong"/>
  </r>
  <r>
    <n v="443"/>
    <s v="Research Affiliates, LLC"/>
    <n v="0"/>
    <n v="3.4999999999999997E-5"/>
    <n v="2.8499999999999999E-4"/>
    <n v="2.6200000000000003E-4"/>
    <n v="0"/>
    <n v="6.3999999999999997E-5"/>
    <n v="1.0900000000000001E-4"/>
    <n v="8.5000000000000006E-5"/>
    <n v="7.7000000000000001E-5"/>
    <n v="7.7999999999999999E-5"/>
    <n v="1.4E-5"/>
    <n v="0"/>
    <n v="3273900"/>
    <n v="26356000"/>
    <n v="24225600"/>
    <n v="0"/>
    <n v="5951800"/>
    <n v="10048800"/>
    <n v="7856400"/>
    <n v="7080000"/>
    <n v="7164400"/>
    <n v="1252400"/>
    <n v="-3273900"/>
    <n v="-23082100"/>
    <n v="2130400"/>
    <n v="24225600"/>
    <n v="-5951800"/>
    <n v="-4097000"/>
    <n v="2192400"/>
    <n v="776400"/>
    <n v="-84400"/>
    <n v="5912000"/>
    <n v="-502000"/>
    <n v="0"/>
    <n v="18614952855.599998"/>
    <n v="159453799943.60001"/>
    <n v="120219540079.64999"/>
    <n v="0"/>
    <n v="18822567488.400002"/>
    <n v="38451458917.599998"/>
    <n v="28612200531.25"/>
    <n v="28320000070.049999"/>
    <n v="20731982499.599998"/>
    <n v="2897225844.75"/>
    <d v="2025-03-31T00:00:00"/>
    <d v="2024-12-31T00:00:00"/>
    <d v="2023-12-31T00:00:00"/>
    <d v="2022-12-31T00:00:00"/>
    <d v="2021-03-31T00:00:00"/>
    <d v="2020-12-31T00:00:00"/>
    <d v="2019-12-31T00:00:00"/>
    <d v="2018-12-31T00:00:00"/>
    <d v="2017-12-31T00:00:00"/>
    <d v="2016-12-31T00:00:00"/>
    <d v="2015-12-31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44535210781359"/>
    <s v="Income Value"/>
    <s v="Low"/>
    <s v="Low"/>
    <s v="Moderate"/>
    <s v="Moderate"/>
    <s v="Moderate"/>
    <s v="Moderate"/>
    <s v="Low"/>
    <s v="Low"/>
    <s v="Low"/>
    <s v="Low"/>
    <s v="Moderate"/>
    <s v="Newport Beach"/>
    <s v="United States"/>
  </r>
  <r>
    <n v="444"/>
    <s v="RHB Asset Management Sdn. Bhd."/>
    <n v="0"/>
    <n v="0"/>
    <n v="6.0000000000000002E-6"/>
    <n v="3.0000000000000001E-6"/>
    <n v="3.9999999999999998E-6"/>
    <n v="9.9999999999999995E-7"/>
    <n v="1.9999999999999999E-6"/>
    <n v="6.9999999999999999E-6"/>
    <n v="6.0000000000000002E-6"/>
    <n v="6.9999999999999999E-6"/>
    <n v="3.9999999999999998E-6"/>
    <n v="0"/>
    <n v="0"/>
    <n v="583800"/>
    <n v="243000"/>
    <n v="346600"/>
    <n v="68800"/>
    <n v="184000"/>
    <n v="644000"/>
    <n v="576000"/>
    <n v="648000"/>
    <n v="376000"/>
    <n v="0"/>
    <n v="-583800"/>
    <n v="340800"/>
    <n v="-103600"/>
    <n v="277800"/>
    <n v="-115200"/>
    <n v="-460000"/>
    <n v="68000"/>
    <n v="-72000"/>
    <n v="272000"/>
    <n v="0"/>
    <n v="0"/>
    <n v="0"/>
    <n v="3531990023.5500002"/>
    <n v="1278787495.7"/>
    <n v="1243427497.2"/>
    <n v="198660068.80000001"/>
    <n v="646300028.32000005"/>
    <n v="2382799991"/>
    <n v="2131199961.24"/>
    <n v="1701000063"/>
    <n v="799000036.79999995"/>
    <d v="2024-12-31T00:00:00"/>
    <d v="2024-12-31T00:00:00"/>
    <d v="2023-12-31T00:00:00"/>
    <d v="2022-11-30T00:00:00"/>
    <d v="2021-10-31T00:00:00"/>
    <d v="2020-10-31T00:00:00"/>
    <d v="2019-10-31T00:00:00"/>
    <d v="2018-11-30T00:00:00"/>
    <d v="2017-11-30T00:00:00"/>
    <d v="2016-11-30T00:00:00"/>
    <d v="2015-11-30T00:00:00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8706784853277.199"/>
    <m/>
    <m/>
    <s v="Low"/>
    <s v="Low"/>
    <s v="Low"/>
    <s v="Low"/>
    <s v="High"/>
    <s v="Low"/>
    <s v="Low"/>
    <s v="Low"/>
    <s v="Low"/>
    <s v="Moderate"/>
    <s v="Kuala Lumpur"/>
    <s v="Malaysia"/>
  </r>
  <r>
    <n v="445"/>
    <s v="RWC Asset Advisors (US) LLC"/>
    <n v="0"/>
    <n v="9.4399999999999996E-4"/>
    <n v="1.3320000000000001E-3"/>
    <n v="1.9239999999999999E-3"/>
    <m/>
    <m/>
    <m/>
    <m/>
    <m/>
    <m/>
    <m/>
    <n v="0"/>
    <n v="87179936"/>
    <n v="123092230"/>
    <n v="177767200"/>
    <m/>
    <m/>
    <m/>
    <m/>
    <m/>
    <m/>
    <m/>
    <n v="-87179936"/>
    <n v="-35912294"/>
    <n v="-54674970"/>
    <n v="177767200"/>
    <m/>
    <m/>
    <m/>
    <m/>
    <m/>
    <m/>
    <m/>
    <n v="0"/>
    <n v="495693333241.90002"/>
    <n v="744707990969.05005"/>
    <n v="882169730749.44995"/>
    <m/>
    <m/>
    <m/>
    <m/>
    <m/>
    <m/>
    <m/>
    <d v="2025-06-30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/Hedge Fund"/>
    <n v="39750125539186.797"/>
    <m/>
    <s v="High"/>
    <s v="High"/>
    <s v="Moderate"/>
    <s v="High"/>
    <m/>
    <m/>
    <m/>
    <m/>
    <m/>
    <m/>
    <m/>
    <s v="Miami"/>
    <s v="United States"/>
  </r>
  <r>
    <n v="446"/>
    <s v="Scottish Widows Unit Trust Managers Ltd"/>
    <n v="0"/>
    <n v="0"/>
    <n v="2.5099999999999998E-4"/>
    <n v="1.6200000000000001E-4"/>
    <n v="1.8900000000000001E-4"/>
    <n v="3.2699999999999998E-4"/>
    <n v="2.6800000000000001E-4"/>
    <m/>
    <m/>
    <m/>
    <m/>
    <n v="0"/>
    <n v="476"/>
    <n v="23233899"/>
    <n v="14945000"/>
    <n v="17418800"/>
    <n v="30210512"/>
    <n v="24789738"/>
    <m/>
    <m/>
    <m/>
    <m/>
    <n v="-476"/>
    <n v="-23233423"/>
    <n v="8288899"/>
    <n v="-2473800"/>
    <n v="-12791712"/>
    <n v="5420774"/>
    <n v="24789738"/>
    <m/>
    <m/>
    <m/>
    <m/>
    <n v="0"/>
    <n v="2706498.9"/>
    <n v="140565088817.79999"/>
    <n v="74164562606.75"/>
    <n v="61119199050"/>
    <n v="95540744052"/>
    <n v="94857255811.199997"/>
    <m/>
    <m/>
    <m/>
    <m/>
    <d v="2025-04-30T00:00:00"/>
    <d v="2024-12-31T00:00:00"/>
    <d v="2023-12-31T00:00:00"/>
    <d v="2022-12-31T00:00:00"/>
    <d v="2021-12-31T00:00:00"/>
    <d v="2020-12-31T00:00:00"/>
    <d v="2019-12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"/>
    <n v="47741576765394"/>
    <m/>
    <s v="High"/>
    <s v="Moderate"/>
    <s v="Low"/>
    <s v="Low"/>
    <s v="Moderate"/>
    <s v="Low"/>
    <s v="Moderate"/>
    <m/>
    <m/>
    <m/>
    <m/>
    <s v="Edinburgh"/>
    <s v="United Kingdom"/>
  </r>
  <r>
    <n v="447"/>
    <s v="Segall Bryant &amp; Hamill, LLC"/>
    <n v="0"/>
    <n v="0"/>
    <n v="1.9999999999999999E-6"/>
    <n v="3.0000000000000001E-6"/>
    <n v="3.9999999999999998E-6"/>
    <n v="0"/>
    <n v="0"/>
    <m/>
    <m/>
    <m/>
    <m/>
    <n v="0"/>
    <n v="0"/>
    <n v="150400"/>
    <n v="233600"/>
    <n v="324400"/>
    <n v="0"/>
    <n v="0"/>
    <m/>
    <m/>
    <m/>
    <m/>
    <n v="0"/>
    <n v="-150400"/>
    <n v="-83200"/>
    <n v="-90800"/>
    <n v="324400"/>
    <n v="0"/>
    <n v="0"/>
    <m/>
    <m/>
    <m/>
    <m/>
    <n v="0"/>
    <n v="0"/>
    <n v="909919935.5"/>
    <n v="1159239952.75"/>
    <n v="1138256797.5"/>
    <n v="0"/>
    <n v="0"/>
    <m/>
    <m/>
    <m/>
    <m/>
    <d v="2024-05-31T00:00:00"/>
    <d v="2024-05-31T00:00:00"/>
    <d v="2023-12-31T00:00:00"/>
    <d v="2022-12-31T00:00:00"/>
    <d v="2021-12-31T00:00:00"/>
    <d v="2019-10-31T00:00:00"/>
    <d v="2019-10-31T00:00:00"/>
    <m/>
    <m/>
    <m/>
    <m/>
    <s v="Aggregate MFs"/>
    <s v="Aggregate MFs"/>
    <s v="Aggregate MFs"/>
    <s v="Aggregate MFs"/>
    <s v="Aggregate MFs"/>
    <s v="Aggregate MFs"/>
    <s v="Aggregate MFs"/>
    <m/>
    <m/>
    <m/>
    <m/>
    <s v="Investment Managers"/>
    <s v="Investment Advisor/Hedge Fund"/>
    <n v="124568043479297"/>
    <s v="Core Growth"/>
    <s v="Low"/>
    <s v="Moderate"/>
    <s v="Moderate"/>
    <s v="Low"/>
    <s v="Low"/>
    <s v="Low"/>
    <s v="Low"/>
    <m/>
    <m/>
    <m/>
    <m/>
    <s v="Chicago"/>
    <s v="United States"/>
  </r>
  <r>
    <n v="448"/>
    <s v="Strive Asset Management LLC"/>
    <n v="0"/>
    <n v="9.0000000000000002E-6"/>
    <n v="5.0000000000000004E-6"/>
    <m/>
    <m/>
    <m/>
    <m/>
    <m/>
    <m/>
    <m/>
    <m/>
    <n v="0"/>
    <n v="865774"/>
    <n v="473708"/>
    <m/>
    <m/>
    <m/>
    <m/>
    <m/>
    <m/>
    <m/>
    <m/>
    <n v="-865774"/>
    <n v="392066"/>
    <n v="473708"/>
    <m/>
    <m/>
    <m/>
    <m/>
    <m/>
    <m/>
    <m/>
    <m/>
    <n v="0"/>
    <n v="4922673875.3000002"/>
    <n v="2865933353.9499998"/>
    <m/>
    <m/>
    <m/>
    <m/>
    <m/>
    <m/>
    <m/>
    <m/>
    <d v="2025-09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9439476423986"/>
    <m/>
    <s v="Moderate"/>
    <s v="Moderate"/>
    <s v="Moderate"/>
    <m/>
    <m/>
    <m/>
    <m/>
    <m/>
    <m/>
    <m/>
    <m/>
    <s v="Dublin"/>
    <s v="United States"/>
  </r>
  <r>
    <n v="449"/>
    <s v="Swiss Rock Asset Management AG"/>
    <n v="0"/>
    <n v="0"/>
    <n v="2.1999999999999999E-5"/>
    <n v="1.0000000000000001E-5"/>
    <n v="5.0000000000000004E-6"/>
    <n v="1.4E-5"/>
    <n v="3.0000000000000001E-6"/>
    <n v="0"/>
    <m/>
    <m/>
    <m/>
    <n v="0"/>
    <n v="0"/>
    <n v="2047000"/>
    <n v="922400"/>
    <n v="419200"/>
    <n v="1322200"/>
    <n v="253600"/>
    <n v="0"/>
    <m/>
    <m/>
    <m/>
    <n v="0"/>
    <n v="-2047000"/>
    <n v="1124600"/>
    <n v="503200"/>
    <n v="-903000"/>
    <n v="1068600"/>
    <n v="253600"/>
    <n v="0"/>
    <m/>
    <m/>
    <m/>
    <n v="0"/>
    <n v="0"/>
    <n v="11616724984"/>
    <n v="4577409988.8000002"/>
    <n v="1470891697.5"/>
    <n v="4181457524.4000001"/>
    <n v="970393411.60000002"/>
    <n v="0"/>
    <m/>
    <m/>
    <m/>
    <d v="2024-07-31T00:00:00"/>
    <d v="2024-07-31T00:00:00"/>
    <d v="2023-10-31T00:00:00"/>
    <d v="2022-12-31T00:00:00"/>
    <d v="2021-12-31T00:00:00"/>
    <d v="2020-12-31T00:00:00"/>
    <d v="2019-12-31T00:00:00"/>
    <d v="2018-10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m/>
    <s v="Investment Managers"/>
    <s v="Investment Advisor"/>
    <n v="26033974454305.199"/>
    <s v="Deep Value"/>
    <s v="Low"/>
    <s v="Low"/>
    <s v="Moderate"/>
    <s v="Low"/>
    <s v="Moderate"/>
    <s v="Moderate"/>
    <s v="Moderate"/>
    <s v="Low"/>
    <m/>
    <m/>
    <m/>
    <s v="Zurich"/>
    <s v="Switzerland"/>
  </r>
  <r>
    <n v="450"/>
    <s v="T. Rowe Price International Ltd"/>
    <n v="0"/>
    <n v="5.3000000000000001E-5"/>
    <n v="8.7000000000000001E-5"/>
    <m/>
    <m/>
    <m/>
    <m/>
    <m/>
    <m/>
    <n v="5.7600000000000001E-4"/>
    <n v="5.7600000000000001E-4"/>
    <n v="0"/>
    <n v="4898400"/>
    <n v="8012800"/>
    <m/>
    <m/>
    <m/>
    <m/>
    <m/>
    <m/>
    <n v="53249132"/>
    <n v="53249132"/>
    <n v="-4898400"/>
    <n v="-3114400"/>
    <n v="8012800"/>
    <m/>
    <m/>
    <m/>
    <m/>
    <m/>
    <m/>
    <n v="0"/>
    <n v="-155693020"/>
    <n v="0"/>
    <n v="27851640363"/>
    <n v="48477439891.599998"/>
    <m/>
    <m/>
    <m/>
    <m/>
    <m/>
    <m/>
    <n v="123183298028.55"/>
    <n v="123183298028.55"/>
    <d v="2025-06-30T00:00:00"/>
    <d v="2024-12-31T00:00:00"/>
    <d v="2023-12-31T00:00:00"/>
    <m/>
    <m/>
    <m/>
    <m/>
    <m/>
    <m/>
    <d v="2015-12-31T00:00:00"/>
    <d v="2015-12-31T00:00:00"/>
    <s v="Aggregate MFs"/>
    <s v="Aggregate MFs"/>
    <s v="Aggregate MFs"/>
    <m/>
    <m/>
    <m/>
    <m/>
    <m/>
    <m/>
    <s v="Aggregate MFs"/>
    <s v="Aggregate MFs"/>
    <s v="Investment Managers"/>
    <s v="Investment Advisor/Hedge Fund"/>
    <n v="2641795932487610"/>
    <s v="GARP"/>
    <s v="Low"/>
    <s v="Low"/>
    <s v="Low"/>
    <m/>
    <m/>
    <m/>
    <m/>
    <m/>
    <m/>
    <s v="Moderate"/>
    <s v="Low"/>
    <s v="London"/>
    <s v="United Kingdom"/>
  </r>
  <r>
    <n v="451"/>
    <s v="T. Rowe Price Singapore Private Ltd."/>
    <n v="0"/>
    <n v="1.4580000000000001E-3"/>
    <n v="1.018E-3"/>
    <m/>
    <m/>
    <m/>
    <m/>
    <m/>
    <m/>
    <m/>
    <m/>
    <n v="0"/>
    <n v="134679600"/>
    <n v="94065400"/>
    <m/>
    <m/>
    <m/>
    <m/>
    <m/>
    <m/>
    <m/>
    <m/>
    <n v="-134679600"/>
    <n v="40614200"/>
    <n v="94065400"/>
    <m/>
    <m/>
    <m/>
    <m/>
    <m/>
    <m/>
    <m/>
    <m/>
    <n v="0"/>
    <n v="765770002832.69995"/>
    <n v="569095669534.55005"/>
    <m/>
    <m/>
    <m/>
    <m/>
    <m/>
    <m/>
    <m/>
    <m/>
    <d v="2025-06-30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"/>
    <n v="10963190357953.199"/>
    <s v="Core Growth"/>
    <s v="High"/>
    <s v="Moderate"/>
    <s v="High"/>
    <m/>
    <m/>
    <m/>
    <m/>
    <m/>
    <m/>
    <m/>
    <m/>
    <s v="Singapore"/>
    <s v="Singapore"/>
  </r>
  <r>
    <n v="452"/>
    <s v="Thrivent Asset Management, LLC"/>
    <n v="0"/>
    <n v="0"/>
    <n v="7.8999999999999996E-5"/>
    <n v="7.2000000000000002E-5"/>
    <m/>
    <m/>
    <m/>
    <m/>
    <m/>
    <m/>
    <n v="0"/>
    <n v="0"/>
    <n v="0"/>
    <n v="7340300"/>
    <n v="6624200"/>
    <m/>
    <m/>
    <m/>
    <m/>
    <m/>
    <m/>
    <n v="0"/>
    <n v="0"/>
    <n v="-7340300"/>
    <n v="716100"/>
    <n v="6624200"/>
    <m/>
    <m/>
    <m/>
    <m/>
    <m/>
    <m/>
    <n v="0"/>
    <n v="0"/>
    <n v="0"/>
    <n v="44408814960.75"/>
    <n v="32872592493.950001"/>
    <m/>
    <m/>
    <m/>
    <m/>
    <m/>
    <m/>
    <n v="0"/>
    <d v="2024-07-31T00:00:00"/>
    <d v="2024-07-31T00:00:00"/>
    <d v="2023-12-31T00:00:00"/>
    <d v="2022-12-31T00:00:00"/>
    <m/>
    <m/>
    <m/>
    <m/>
    <m/>
    <m/>
    <d v="2014-10-31T00:00:00"/>
    <s v="Aggregate MFs"/>
    <s v="Aggregate MFs"/>
    <s v="Aggregate MFs"/>
    <s v="Aggregate MFs"/>
    <m/>
    <m/>
    <m/>
    <m/>
    <m/>
    <m/>
    <s v="Aggregate MFs"/>
    <s v="Investment Managers"/>
    <s v="Investment Advisor"/>
    <n v="1038118754120890"/>
    <s v="GARP"/>
    <s v="Low"/>
    <s v="Low"/>
    <s v="Low"/>
    <s v="Low"/>
    <m/>
    <m/>
    <m/>
    <m/>
    <m/>
    <m/>
    <s v="Moderate"/>
    <s v="Minneapolis"/>
    <s v="United States"/>
  </r>
  <r>
    <n v="453"/>
    <s v="UBS Asset Management (Americas) LLC"/>
    <n v="0"/>
    <n v="8.0000000000000007E-5"/>
    <n v="1.157E-3"/>
    <n v="1.7899999999999999E-3"/>
    <n v="4.0369999999999998E-3"/>
    <n v="2.264E-3"/>
    <n v="1.057E-3"/>
    <n v="5.0000000000000002E-5"/>
    <n v="1.2999999999999999E-5"/>
    <m/>
    <n v="2.5000000000000001E-5"/>
    <n v="0"/>
    <n v="7354392"/>
    <n v="106908892"/>
    <n v="165421192"/>
    <n v="372997400"/>
    <n v="209160400"/>
    <n v="97692600"/>
    <n v="4647200"/>
    <n v="1210000"/>
    <m/>
    <n v="2278000"/>
    <n v="-7354392"/>
    <n v="-99554500"/>
    <n v="-58512300"/>
    <n v="-207576208"/>
    <n v="163837000"/>
    <n v="111467800"/>
    <n v="93045400"/>
    <n v="3437200"/>
    <n v="1210000"/>
    <m/>
    <n v="0"/>
    <n v="0"/>
    <n v="41816078958"/>
    <n v="646798796073.05005"/>
    <n v="820902665992.75"/>
    <n v="1308775709092.5"/>
    <n v="661469764222.80005"/>
    <n v="373818067389.59998"/>
    <n v="16924624318.75"/>
    <n v="4840000003.3500004"/>
    <m/>
    <n v="6264499968.5500002"/>
    <d v="2025-06-30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m/>
    <d v="2015-01-31T00:00:00"/>
    <s v="Aggregate MFs"/>
    <s v="Aggregate MFs"/>
    <s v="Aggregate MFs"/>
    <s v="Aggregate MFs"/>
    <s v="Aggregate MFs"/>
    <s v="Aggregate MFs"/>
    <s v="Aggregate MFs"/>
    <s v="Aggregate MFs"/>
    <s v="Aggregate MFs"/>
    <m/>
    <s v="Aggregate MFs"/>
    <s v="Investment Managers"/>
    <s v="Investment Advisor"/>
    <n v="2126138395260510"/>
    <s v="Core Value"/>
    <s v="Low"/>
    <s v="Moderate"/>
    <s v="Low"/>
    <s v="Low"/>
    <s v="Moderate"/>
    <s v="Low"/>
    <s v="Low"/>
    <s v="Low"/>
    <s v="Low"/>
    <m/>
    <s v="Moderate"/>
    <s v="Chicago"/>
    <s v="United States"/>
  </r>
  <r>
    <n v="454"/>
    <s v="UBS Asset Management (Hong Kong) Limited"/>
    <n v="0"/>
    <n v="0"/>
    <n v="6.0000000000000002E-6"/>
    <n v="5.0000000000000004E-6"/>
    <n v="2.9E-5"/>
    <m/>
    <m/>
    <m/>
    <m/>
    <m/>
    <m/>
    <n v="0"/>
    <n v="0"/>
    <n v="521200"/>
    <n v="481600"/>
    <n v="2669000"/>
    <m/>
    <m/>
    <m/>
    <m/>
    <m/>
    <m/>
    <n v="0"/>
    <n v="-521200"/>
    <n v="39600"/>
    <n v="-2187400"/>
    <n v="2669000"/>
    <m/>
    <m/>
    <m/>
    <m/>
    <m/>
    <m/>
    <n v="0"/>
    <n v="0"/>
    <n v="3153259937.8000002"/>
    <n v="2389940065.6999998"/>
    <n v="9365004667.5"/>
    <m/>
    <m/>
    <m/>
    <m/>
    <m/>
    <m/>
    <d v="2024-06-30T00:00:00"/>
    <d v="2024-06-30T00:00:00"/>
    <d v="2023-12-31T00:00:00"/>
    <d v="2022-12-31T00:00:00"/>
    <d v="2021-12-31T00:00:00"/>
    <m/>
    <m/>
    <m/>
    <m/>
    <m/>
    <m/>
    <s v="Aggregate MFs"/>
    <s v="Aggregate MFs"/>
    <s v="Aggregate MFs"/>
    <s v="Aggregate MFs"/>
    <s v="Aggregate MFs"/>
    <m/>
    <m/>
    <m/>
    <m/>
    <m/>
    <m/>
    <s v="Investment Managers"/>
    <s v="Investment Advisor"/>
    <n v="120487630451918"/>
    <s v="Core Value"/>
    <s v="Low"/>
    <s v="Low"/>
    <s v="Low"/>
    <s v="Low"/>
    <s v="Moderate"/>
    <m/>
    <m/>
    <m/>
    <m/>
    <m/>
    <m/>
    <s v="Central (Hong Kong)"/>
    <s v="Hong Kong"/>
  </r>
  <r>
    <n v="455"/>
    <s v="UBS Asset Management (Japan) Ltd."/>
    <n v="0"/>
    <n v="0"/>
    <n v="1.9999999999999999E-6"/>
    <n v="6.0000000000000002E-6"/>
    <m/>
    <m/>
    <m/>
    <m/>
    <m/>
    <m/>
    <m/>
    <n v="0"/>
    <n v="0"/>
    <n v="209475"/>
    <n v="552634"/>
    <m/>
    <m/>
    <m/>
    <m/>
    <m/>
    <m/>
    <m/>
    <n v="0"/>
    <n v="-209475"/>
    <n v="-343159"/>
    <n v="552634"/>
    <m/>
    <m/>
    <m/>
    <m/>
    <m/>
    <m/>
    <m/>
    <n v="0"/>
    <n v="0"/>
    <n v="1225428682.0999999"/>
    <n v="2908236488.3000002"/>
    <m/>
    <m/>
    <m/>
    <m/>
    <m/>
    <m/>
    <m/>
    <d v="2024-11-30T00:00:00"/>
    <d v="2024-11-30T00:00:00"/>
    <d v="2023-11-30T00:00:00"/>
    <d v="2022-11-30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1520951687886"/>
    <s v="Growth"/>
    <s v="Low"/>
    <s v="Low"/>
    <s v="Moderate"/>
    <s v="Moderate"/>
    <m/>
    <m/>
    <m/>
    <m/>
    <m/>
    <m/>
    <m/>
    <s v="Chiyoda-ku (Tokyo)"/>
    <s v="Japan"/>
  </r>
  <r>
    <n v="456"/>
    <s v="UBS Asset Management (Singapore) Ltd."/>
    <n v="0"/>
    <n v="0"/>
    <n v="1.552E-3"/>
    <n v="6.2290000000000002E-3"/>
    <n v="7.9699999999999997E-3"/>
    <n v="3.274E-3"/>
    <n v="1.9729999999999999E-3"/>
    <n v="1.5219999999999999E-3"/>
    <n v="4.55E-4"/>
    <n v="6.1899999999999998E-4"/>
    <m/>
    <n v="0"/>
    <n v="0"/>
    <n v="143445840"/>
    <n v="575590540"/>
    <n v="736391600"/>
    <n v="302558200"/>
    <n v="182280400"/>
    <n v="140621000"/>
    <n v="42021200"/>
    <n v="57226400"/>
    <m/>
    <n v="0"/>
    <n v="-143445840"/>
    <n v="-432144700"/>
    <n v="-160801060"/>
    <n v="433833400"/>
    <n v="120277800"/>
    <n v="41659400"/>
    <n v="98599800"/>
    <n v="-15205200"/>
    <n v="57226400"/>
    <m/>
    <n v="0"/>
    <n v="0"/>
    <n v="867847331340.90002"/>
    <n v="2856368057002.8999"/>
    <n v="2583855647452.5"/>
    <n v="956840306479.19995"/>
    <n v="697490975178.40002"/>
    <n v="512127214231.25"/>
    <n v="168084799980.60001"/>
    <n v="165598895096.70001"/>
    <m/>
    <d v="2024-12-31T00:00:00"/>
    <d v="2024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"/>
    <n v="82412759996325.594"/>
    <s v="Core Value"/>
    <s v="Low"/>
    <s v="Low"/>
    <s v="High"/>
    <s v="Moderate"/>
    <s v="Moderate"/>
    <s v="High"/>
    <s v="Moderate"/>
    <s v="Moderate"/>
    <s v="Moderate"/>
    <s v="High"/>
    <m/>
    <s v="Singapore"/>
    <s v="Singapore"/>
  </r>
  <r>
    <n v="457"/>
    <s v="Unigestion"/>
    <n v="0"/>
    <n v="3.9999999999999998E-6"/>
    <n v="5.0000000000000004E-6"/>
    <m/>
    <m/>
    <m/>
    <m/>
    <m/>
    <m/>
    <m/>
    <m/>
    <n v="0"/>
    <n v="392200"/>
    <n v="485100"/>
    <m/>
    <m/>
    <m/>
    <m/>
    <m/>
    <m/>
    <m/>
    <m/>
    <n v="-392200"/>
    <n v="-92900"/>
    <n v="485100"/>
    <m/>
    <m/>
    <m/>
    <m/>
    <m/>
    <m/>
    <m/>
    <m/>
    <n v="0"/>
    <n v="2229996124.4000001"/>
    <n v="2934854921.5500002"/>
    <m/>
    <m/>
    <m/>
    <m/>
    <m/>
    <m/>
    <m/>
    <m/>
    <d v="2025-02-28T00:00:00"/>
    <d v="2024-12-31T00:00:00"/>
    <d v="2023-12-31T00:00:00"/>
    <m/>
    <m/>
    <m/>
    <m/>
    <m/>
    <m/>
    <m/>
    <m/>
    <s v="Aggregate MFs"/>
    <s v="Aggregate MFs"/>
    <s v="Aggregate MFs"/>
    <m/>
    <m/>
    <m/>
    <m/>
    <m/>
    <m/>
    <m/>
    <m/>
    <s v="Investment Managers"/>
    <s v="Investment Advisor/Hedge Fund"/>
    <n v="36152078017746"/>
    <s v="Core Value"/>
    <s v="Low"/>
    <s v="Moderate"/>
    <s v="Moderate"/>
    <m/>
    <m/>
    <m/>
    <m/>
    <m/>
    <m/>
    <m/>
    <m/>
    <s v="Geneva"/>
    <s v="Switzerland"/>
  </r>
  <r>
    <n v="458"/>
    <s v="Universal-Investment-Gesellschaft mbH"/>
    <n v="0"/>
    <n v="0"/>
    <m/>
    <m/>
    <m/>
    <n v="0"/>
    <n v="0"/>
    <n v="2.0599999999999999E-4"/>
    <n v="0"/>
    <n v="0"/>
    <m/>
    <n v="0"/>
    <n v="0"/>
    <m/>
    <m/>
    <m/>
    <n v="0"/>
    <n v="0"/>
    <n v="19000000"/>
    <n v="0"/>
    <n v="0"/>
    <m/>
    <n v="0"/>
    <n v="0"/>
    <m/>
    <m/>
    <m/>
    <n v="0"/>
    <n v="-19000000"/>
    <n v="19000000"/>
    <n v="0"/>
    <n v="0"/>
    <m/>
    <n v="0"/>
    <n v="0"/>
    <m/>
    <m/>
    <m/>
    <n v="0"/>
    <n v="0"/>
    <n v="69196045243.75"/>
    <n v="0"/>
    <n v="0"/>
    <m/>
    <d v="2024-06-30T00:00:00"/>
    <d v="2024-06-30T00:00:00"/>
    <m/>
    <m/>
    <m/>
    <d v="2019-03-31T00:00:00"/>
    <d v="2019-03-31T00:00:00"/>
    <d v="2018-12-31T00:00:00"/>
    <d v="2016-06-30T00:00:00"/>
    <d v="2016-06-30T00:00:00"/>
    <m/>
    <s v="Aggregate MFs"/>
    <s v="Aggregate MFs"/>
    <m/>
    <m/>
    <m/>
    <s v="Aggregate MFs"/>
    <s v="Aggregate MFs"/>
    <s v="Aggregate MFs"/>
    <s v="Aggregate MFs"/>
    <s v="Aggregate MFs"/>
    <m/>
    <s v="Investment Managers"/>
    <s v="Investment Advisor/Hedge Fund"/>
    <n v="956376221105710"/>
    <m/>
    <s v="High"/>
    <s v="High"/>
    <m/>
    <m/>
    <m/>
    <s v="Moderate"/>
    <s v="Moderate"/>
    <s v="Moderate"/>
    <s v="Low"/>
    <s v="Moderate"/>
    <m/>
    <s v="Frankfurt"/>
    <s v="Germany"/>
  </r>
  <r>
    <n v="459"/>
    <s v="Vident Investment Advisory, LLC"/>
    <n v="0"/>
    <n v="0"/>
    <m/>
    <n v="0"/>
    <n v="0"/>
    <n v="1.05E-4"/>
    <n v="0"/>
    <n v="2.8E-5"/>
    <n v="1.2400000000000001E-4"/>
    <n v="0"/>
    <n v="1E-4"/>
    <n v="0"/>
    <n v="0"/>
    <m/>
    <n v="0"/>
    <n v="0"/>
    <n v="9692400"/>
    <n v="0"/>
    <n v="2546200"/>
    <n v="11418800"/>
    <n v="0"/>
    <n v="9209200"/>
    <n v="0"/>
    <n v="0"/>
    <m/>
    <n v="0"/>
    <n v="-9692400"/>
    <n v="9692400"/>
    <n v="-2546200"/>
    <n v="-8872600"/>
    <n v="11418800"/>
    <n v="-9209200"/>
    <n v="-1019200"/>
    <n v="0"/>
    <n v="0"/>
    <m/>
    <n v="0"/>
    <n v="0"/>
    <n v="30652214907.599998"/>
    <n v="0"/>
    <n v="9272998406.25"/>
    <n v="45675199975.650002"/>
    <n v="0"/>
    <n v="21304002196.349998"/>
    <d v="2024-08-31T00:00:00"/>
    <d v="2024-08-31T00:00:00"/>
    <m/>
    <d v="2021-08-31T00:00:00"/>
    <d v="2021-08-31T00:00:00"/>
    <d v="2020-12-31T00:00:00"/>
    <d v="2019-01-31T00:00:00"/>
    <d v="2018-12-31T00:00:00"/>
    <d v="2017-12-31T00:00:00"/>
    <d v="2016-01-31T00:00:00"/>
    <d v="2015-12-31T00:00:00"/>
    <s v="Aggregate MFs"/>
    <s v="Aggregate MFs"/>
    <m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70129708597575.602"/>
    <m/>
    <s v="High"/>
    <s v="Low"/>
    <m/>
    <s v="Moderate"/>
    <s v="Moderate"/>
    <s v="Moderate"/>
    <s v="Moderate"/>
    <s v="Moderate"/>
    <s v="High"/>
    <s v="Moderate"/>
    <s v="High"/>
    <s v="Alpharetta"/>
    <s v="United States"/>
  </r>
  <r>
    <n v="460"/>
    <s v="Virtus Investment Advisers, Inc."/>
    <n v="0"/>
    <n v="1.9999999999999999E-6"/>
    <n v="7.4999999999999993E-5"/>
    <n v="1.18E-4"/>
    <m/>
    <m/>
    <m/>
    <m/>
    <m/>
    <m/>
    <m/>
    <n v="0"/>
    <n v="182900"/>
    <n v="6886700"/>
    <n v="10865000"/>
    <m/>
    <m/>
    <m/>
    <m/>
    <m/>
    <m/>
    <m/>
    <n v="-182900"/>
    <n v="-6703800"/>
    <n v="-3978300"/>
    <n v="10865000"/>
    <m/>
    <m/>
    <m/>
    <m/>
    <m/>
    <m/>
    <m/>
    <n v="0"/>
    <n v="1039944648.2"/>
    <n v="41664534898.150002"/>
    <n v="53917562510.900002"/>
    <m/>
    <m/>
    <m/>
    <m/>
    <m/>
    <m/>
    <m/>
    <d v="2025-03-31T00:00:00"/>
    <d v="2024-12-31T00:00:00"/>
    <d v="2023-12-31T00:00:00"/>
    <d v="2022-12-31T00:00:00"/>
    <m/>
    <m/>
    <m/>
    <m/>
    <m/>
    <m/>
    <m/>
    <s v="Aggregate MFs"/>
    <s v="Aggregate MFs"/>
    <s v="Aggregate MFs"/>
    <s v="Aggregate MFs"/>
    <m/>
    <m/>
    <m/>
    <m/>
    <m/>
    <m/>
    <m/>
    <s v="Investment Managers"/>
    <s v="Investment Advisor"/>
    <n v="22226699385124.801"/>
    <s v="GARP"/>
    <s v="Low"/>
    <s v="Moderate"/>
    <s v="High"/>
    <s v="Low"/>
    <m/>
    <m/>
    <m/>
    <m/>
    <m/>
    <m/>
    <m/>
    <s v="Hartford"/>
    <s v="United States"/>
  </r>
  <r>
    <n v="461"/>
    <s v="Vontobel Asset Management S.A."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4-09-30T00:00:00"/>
    <d v="2024-09-30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"/>
    <n v="34185704576132.398"/>
    <m/>
    <s v="Low"/>
    <s v="Moderate"/>
    <m/>
    <m/>
    <m/>
    <m/>
    <m/>
    <m/>
    <m/>
    <m/>
    <m/>
    <s v="Luxembourg"/>
    <s v="Luxembourg"/>
  </r>
  <r>
    <n v="462"/>
    <s v="William Blair Investment Management, LLC"/>
    <n v="0"/>
    <n v="3.0800000000000001E-4"/>
    <m/>
    <m/>
    <m/>
    <m/>
    <m/>
    <m/>
    <m/>
    <m/>
    <m/>
    <n v="0"/>
    <n v="28439700"/>
    <m/>
    <m/>
    <m/>
    <m/>
    <m/>
    <m/>
    <m/>
    <m/>
    <m/>
    <n v="-28439700"/>
    <n v="28439700"/>
    <m/>
    <m/>
    <m/>
    <m/>
    <m/>
    <m/>
    <m/>
    <m/>
    <m/>
    <n v="0"/>
    <n v="161704290347.29999"/>
    <m/>
    <m/>
    <m/>
    <m/>
    <m/>
    <m/>
    <m/>
    <m/>
    <m/>
    <d v="2025-05-31T00:00:00"/>
    <d v="2024-12-31T00:00:00"/>
    <m/>
    <m/>
    <m/>
    <m/>
    <m/>
    <m/>
    <m/>
    <m/>
    <m/>
    <s v="Aggregate MFs"/>
    <s v="Aggregate MFs"/>
    <m/>
    <m/>
    <m/>
    <m/>
    <m/>
    <m/>
    <m/>
    <m/>
    <m/>
    <s v="Investment Managers"/>
    <s v="Investment Advisor/Hedge Fund"/>
    <n v="761021252800970"/>
    <s v="GARP"/>
    <s v="Low"/>
    <s v="Low"/>
    <m/>
    <m/>
    <m/>
    <m/>
    <m/>
    <m/>
    <m/>
    <m/>
    <m/>
    <s v="Chicago"/>
    <s v="United States"/>
  </r>
  <r>
    <n v="463"/>
    <s v="Wilmington Trust Investment Management LLC"/>
    <n v="0"/>
    <n v="2.4000000000000001E-5"/>
    <n v="2.6999999999999999E-5"/>
    <m/>
    <m/>
    <m/>
    <m/>
    <m/>
    <m/>
    <n v="5.0000000000000004E-6"/>
    <n v="5.0000000000000004E-6"/>
    <n v="0"/>
    <n v="2236200"/>
    <n v="2480900"/>
    <m/>
    <m/>
    <m/>
    <m/>
    <m/>
    <m/>
    <n v="471600"/>
    <n v="471600"/>
    <n v="-2236200"/>
    <n v="-244700"/>
    <n v="2480900"/>
    <m/>
    <m/>
    <m/>
    <m/>
    <m/>
    <m/>
    <n v="0"/>
    <n v="0"/>
    <n v="0"/>
    <n v="12714731030.299999"/>
    <n v="15009445002.85"/>
    <m/>
    <m/>
    <m/>
    <m/>
    <m/>
    <m/>
    <n v="1184895035.5"/>
    <n v="1184895035.5"/>
    <d v="2025-03-31T00:00:00"/>
    <d v="2024-12-31T00:00:00"/>
    <d v="2023-12-31T00:00:00"/>
    <m/>
    <m/>
    <m/>
    <m/>
    <m/>
    <m/>
    <d v="2015-06-30T00:00:00"/>
    <d v="2015-06-30T00:00:00"/>
    <s v="Aggregate MFs"/>
    <s v="Aggregate MFs"/>
    <s v="Aggregate MFs"/>
    <m/>
    <m/>
    <m/>
    <m/>
    <m/>
    <m/>
    <s v="Aggregate MFs"/>
    <s v="Aggregate MFs"/>
    <s v="Investment Managers"/>
    <s v="Bank and Trust"/>
    <n v="194243177382646"/>
    <s v="Core Value"/>
    <s v="Low"/>
    <s v="Low"/>
    <s v="Low"/>
    <m/>
    <m/>
    <m/>
    <m/>
    <m/>
    <m/>
    <s v="Low"/>
    <s v="Low"/>
    <s v="Atlanta"/>
    <s v="United States"/>
  </r>
  <r>
    <n v="464"/>
    <s v="1832 Asset Management L.P."/>
    <m/>
    <m/>
    <m/>
    <m/>
    <m/>
    <m/>
    <m/>
    <m/>
    <n v="0"/>
    <n v="0"/>
    <n v="1.7799999999999999E-4"/>
    <m/>
    <m/>
    <m/>
    <m/>
    <m/>
    <m/>
    <m/>
    <m/>
    <n v="0"/>
    <n v="0"/>
    <n v="16410400"/>
    <m/>
    <m/>
    <m/>
    <m/>
    <m/>
    <m/>
    <m/>
    <m/>
    <n v="0"/>
    <n v="-16410400"/>
    <n v="-165600"/>
    <m/>
    <m/>
    <m/>
    <m/>
    <m/>
    <m/>
    <m/>
    <m/>
    <n v="0"/>
    <n v="0"/>
    <n v="37962819594.75"/>
    <m/>
    <m/>
    <m/>
    <m/>
    <m/>
    <m/>
    <m/>
    <m/>
    <d v="2016-03-31T00:00:00"/>
    <d v="2016-03-31T00:00:00"/>
    <d v="2015-12-31T00:00:00"/>
    <m/>
    <m/>
    <m/>
    <m/>
    <m/>
    <m/>
    <m/>
    <m/>
    <s v="Aggregate MFs"/>
    <s v="Aggregate MFs"/>
    <s v="Aggregate MFs"/>
    <s v="Investment Managers"/>
    <s v="Investment Advisor"/>
    <n v="1356873806618560"/>
    <s v="GARP"/>
    <m/>
    <m/>
    <m/>
    <m/>
    <m/>
    <m/>
    <m/>
    <m/>
    <s v="Moderate"/>
    <s v="Moderate"/>
    <s v="Moderate"/>
    <s v="Toronto"/>
    <s v="Canada"/>
  </r>
  <r>
    <n v="465"/>
    <s v="ABN AMRO Investment Solutions (AAIS)"/>
    <m/>
    <n v="0"/>
    <n v="0"/>
    <n v="2.4000000000000001E-5"/>
    <n v="8.7999999999999998E-5"/>
    <n v="1.5200000000000001E-4"/>
    <n v="5.0000000000000002E-5"/>
    <n v="4.3999999999999999E-5"/>
    <n v="9.2E-5"/>
    <n v="0"/>
    <n v="5.1999999999999997E-5"/>
    <m/>
    <n v="0"/>
    <n v="0"/>
    <n v="2255416"/>
    <n v="8148204"/>
    <n v="14061052"/>
    <n v="4612354"/>
    <n v="4027602"/>
    <n v="8472554"/>
    <n v="0"/>
    <n v="4798708"/>
    <m/>
    <n v="0"/>
    <n v="-2255416"/>
    <n v="-5892788"/>
    <n v="-5912848"/>
    <n v="9448698"/>
    <n v="584752"/>
    <n v="-4444952"/>
    <n v="8472554"/>
    <n v="-4798708"/>
    <n v="0"/>
    <m/>
    <n v="0"/>
    <n v="0"/>
    <n v="11192501835.35"/>
    <n v="28590471255"/>
    <n v="44468076837.599998"/>
    <n v="17649046682"/>
    <n v="14668112143.75"/>
    <n v="33890215960.599998"/>
    <n v="0"/>
    <n v="10197254538"/>
    <m/>
    <d v="2023-03-31T00:00:00"/>
    <d v="2023-03-31T00:00:00"/>
    <d v="2022-12-31T00:00:00"/>
    <d v="2021-12-31T00:00:00"/>
    <d v="2020-12-31T00:00:00"/>
    <d v="2019-12-31T00:00:00"/>
    <d v="2018-12-31T00:00:00"/>
    <d v="2017-12-31T00:00:00"/>
    <d v="2016-04-30T00:00:00"/>
    <d v="2015-11-30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12557743974140"/>
    <s v="Growth"/>
    <m/>
    <s v="Low"/>
    <s v="Low"/>
    <s v="Moderate"/>
    <s v="Low"/>
    <s v="Moderate"/>
    <s v="Moderate"/>
    <s v="Moderate"/>
    <s v="Moderate"/>
    <s v="Moderate"/>
    <s v="Moderate"/>
    <s v="Paris"/>
    <s v="France"/>
  </r>
  <r>
    <n v="466"/>
    <s v="Adasina Social Capital"/>
    <m/>
    <m/>
    <n v="0"/>
    <n v="0"/>
    <n v="3.9999999999999998E-6"/>
    <m/>
    <m/>
    <m/>
    <m/>
    <m/>
    <m/>
    <m/>
    <m/>
    <n v="0"/>
    <n v="0"/>
    <n v="399524"/>
    <m/>
    <m/>
    <m/>
    <m/>
    <m/>
    <m/>
    <m/>
    <m/>
    <n v="0"/>
    <n v="-399524"/>
    <n v="399524"/>
    <m/>
    <m/>
    <m/>
    <m/>
    <m/>
    <m/>
    <m/>
    <m/>
    <n v="0"/>
    <n v="0"/>
    <n v="1401852442.5"/>
    <m/>
    <m/>
    <m/>
    <m/>
    <m/>
    <m/>
    <m/>
    <m/>
    <d v="2022-12-31T00:00:00"/>
    <d v="2022-12-31T00:00:00"/>
    <d v="2021-12-31T00:00:00"/>
    <m/>
    <m/>
    <m/>
    <m/>
    <m/>
    <m/>
    <m/>
    <m/>
    <s v="Aggregate MFs"/>
    <s v="Aggregate MFs"/>
    <s v="Aggregate MFs"/>
    <m/>
    <m/>
    <m/>
    <m/>
    <m/>
    <m/>
    <s v="Investment Managers"/>
    <s v="Investment Advisor"/>
    <n v="4076096992644"/>
    <m/>
    <m/>
    <m/>
    <s v="High"/>
    <s v="High"/>
    <s v="High"/>
    <m/>
    <m/>
    <m/>
    <m/>
    <m/>
    <m/>
    <s v="San Francisco"/>
    <s v="United States"/>
  </r>
  <r>
    <n v="467"/>
    <s v="Adiperdana (Ardan)"/>
    <m/>
    <m/>
    <m/>
    <m/>
    <m/>
    <n v="1.5E-5"/>
    <n v="6.9999999999999999E-6"/>
    <n v="1.9999999999999999E-6"/>
    <m/>
    <m/>
    <m/>
    <m/>
    <m/>
    <m/>
    <m/>
    <m/>
    <n v="1391800"/>
    <n v="639000"/>
    <n v="218000"/>
    <m/>
    <m/>
    <m/>
    <m/>
    <m/>
    <m/>
    <m/>
    <m/>
    <n v="752800"/>
    <n v="421000"/>
    <n v="218000"/>
    <m/>
    <m/>
    <m/>
    <m/>
    <m/>
    <m/>
    <m/>
    <m/>
    <n v="4401567518.3999996"/>
    <n v="2445116068"/>
    <n v="793933550"/>
    <m/>
    <m/>
    <m/>
    <m/>
    <m/>
    <m/>
    <m/>
    <m/>
    <d v="2020-12-31T00:00:00"/>
    <d v="2019-12-31T00:00:00"/>
    <d v="2018-12-31T00:00:00"/>
    <m/>
    <m/>
    <m/>
    <m/>
    <m/>
    <m/>
    <m/>
    <m/>
    <s v="Indonesia Insider"/>
    <s v="Indonesia Insider"/>
    <s v="Indonesia Insider"/>
    <m/>
    <m/>
    <m/>
    <s v="Strategic Entities"/>
    <s v="Individual Investor"/>
    <n v="5229212692.8000002"/>
    <m/>
    <m/>
    <m/>
    <m/>
    <m/>
    <m/>
    <s v="Low"/>
    <s v="Moderate"/>
    <s v="Low"/>
    <m/>
    <m/>
    <m/>
    <m/>
    <s v="Indonesia"/>
  </r>
  <r>
    <n v="468"/>
    <s v="Advisory Research, Inc."/>
    <m/>
    <m/>
    <m/>
    <m/>
    <m/>
    <n v="1.4E-5"/>
    <n v="1.4E-5"/>
    <n v="1.4E-5"/>
    <n v="6.9999999999999999E-6"/>
    <m/>
    <m/>
    <m/>
    <m/>
    <m/>
    <m/>
    <m/>
    <n v="1293800"/>
    <n v="1293800"/>
    <n v="1293800"/>
    <n v="658400"/>
    <m/>
    <m/>
    <m/>
    <m/>
    <m/>
    <m/>
    <m/>
    <n v="0"/>
    <n v="0"/>
    <n v="635400"/>
    <n v="658400"/>
    <m/>
    <m/>
    <m/>
    <m/>
    <m/>
    <m/>
    <m/>
    <n v="5159027556.5600004"/>
    <n v="5159027556.5600004"/>
    <n v="4431264968"/>
    <n v="2320860037.1999998"/>
    <m/>
    <m/>
    <m/>
    <m/>
    <m/>
    <m/>
    <m/>
    <d v="2019-07-31T00:00:00"/>
    <d v="2019-07-31T00:00:00"/>
    <d v="2018-10-31T00:00:00"/>
    <d v="2017-10-31T00:00:00"/>
    <m/>
    <m/>
    <m/>
    <m/>
    <m/>
    <m/>
    <m/>
    <s v="Aggregate MFs"/>
    <s v="Aggregate MFs"/>
    <s v="Aggregate MFs"/>
    <s v="Aggregate MFs"/>
    <m/>
    <m/>
    <s v="Investment Managers"/>
    <s v="Investment Advisor/Hedge Fund"/>
    <n v="9465321109924.8008"/>
    <s v="Core Value"/>
    <m/>
    <m/>
    <m/>
    <m/>
    <m/>
    <s v="High"/>
    <s v="Moderate"/>
    <s v="Moderate"/>
    <s v="Low"/>
    <m/>
    <m/>
    <s v="Chicago"/>
    <s v="United States"/>
  </r>
  <r>
    <n v="469"/>
    <s v="AGF International Advisors Company Ltd."/>
    <m/>
    <n v="0"/>
    <n v="0"/>
    <n v="3.9899999999999999E-4"/>
    <n v="7.6300000000000001E-4"/>
    <n v="6.5899999999999997E-4"/>
    <n v="7.2099999999999996E-4"/>
    <n v="5.3899999999999998E-4"/>
    <n v="4.5800000000000002E-4"/>
    <n v="5.2300000000000003E-4"/>
    <n v="4.4999999999999999E-4"/>
    <m/>
    <n v="30696"/>
    <n v="30696"/>
    <n v="36881198"/>
    <n v="70522550"/>
    <n v="60881484"/>
    <n v="66655788"/>
    <n v="49763188"/>
    <n v="42329388"/>
    <n v="48369812"/>
    <n v="41567500"/>
    <m/>
    <n v="0"/>
    <n v="-36850502"/>
    <n v="-33641352"/>
    <n v="9641066"/>
    <n v="-5774304"/>
    <n v="16892600"/>
    <n v="7433800"/>
    <n v="-6040424"/>
    <n v="6802312"/>
    <n v="41567500"/>
    <m/>
    <n v="185710808.69999999"/>
    <n v="185710808.69999999"/>
    <n v="183022945204"/>
    <n v="247449983317.5"/>
    <n v="192537692895.60001"/>
    <n v="255056553434.39999"/>
    <n v="181232410862.5"/>
    <n v="169317552047.25"/>
    <n v="139970143561.5"/>
    <n v="96159722194.949997"/>
    <m/>
    <d v="2023-12-31T00:00:00"/>
    <d v="2023-12-31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107019358560.8"/>
    <s v="Core Value"/>
    <m/>
    <s v="Low"/>
    <s v="Moderate"/>
    <s v="Low"/>
    <s v="Low"/>
    <s v="Low"/>
    <s v="Low"/>
    <s v="Low"/>
    <s v="Low"/>
    <s v="Low"/>
    <s v="Moderate"/>
    <s v="Dublin"/>
    <s v="Ireland"/>
  </r>
  <r>
    <n v="470"/>
    <s v="AJO, LP"/>
    <m/>
    <m/>
    <m/>
    <m/>
    <m/>
    <m/>
    <m/>
    <m/>
    <n v="1.9000000000000001E-5"/>
    <n v="1.9000000000000001E-5"/>
    <n v="1.4E-5"/>
    <m/>
    <m/>
    <m/>
    <m/>
    <m/>
    <m/>
    <m/>
    <m/>
    <n v="1738000"/>
    <n v="1738000"/>
    <n v="1338800"/>
    <m/>
    <m/>
    <m/>
    <m/>
    <m/>
    <m/>
    <m/>
    <m/>
    <n v="0"/>
    <n v="399200"/>
    <n v="0"/>
    <m/>
    <m/>
    <m/>
    <m/>
    <m/>
    <m/>
    <m/>
    <m/>
    <n v="4877262465.6000004"/>
    <n v="4877262465.6000004"/>
    <n v="3188017513.5"/>
    <m/>
    <m/>
    <m/>
    <m/>
    <m/>
    <m/>
    <m/>
    <m/>
    <d v="2016-08-31T00:00:00"/>
    <d v="2016-08-31T00:00:00"/>
    <d v="2015-07-31T00:00:00"/>
    <m/>
    <m/>
    <m/>
    <m/>
    <m/>
    <m/>
    <m/>
    <m/>
    <s v="Aggregate MFs"/>
    <s v="Aggregate MFs"/>
    <s v="Aggregate MFs"/>
    <s v="Investment Managers"/>
    <s v="Investment Advisor/Hedge Fund"/>
    <n v="2175192001758"/>
    <s v="Deep Value"/>
    <m/>
    <m/>
    <m/>
    <m/>
    <m/>
    <m/>
    <m/>
    <m/>
    <s v="Moderate"/>
    <s v="Moderate"/>
    <s v="Moderate"/>
    <s v="Philadelphia"/>
    <s v="United States"/>
  </r>
  <r>
    <n v="471"/>
    <s v="Aletti Gestielle SGR S.p.A._NLE"/>
    <m/>
    <m/>
    <m/>
    <m/>
    <m/>
    <m/>
    <m/>
    <m/>
    <n v="0"/>
    <n v="0"/>
    <n v="6.4999999999999994E-5"/>
    <m/>
    <m/>
    <m/>
    <m/>
    <m/>
    <m/>
    <m/>
    <m/>
    <n v="0"/>
    <n v="0"/>
    <n v="6000000"/>
    <m/>
    <m/>
    <m/>
    <m/>
    <m/>
    <m/>
    <m/>
    <m/>
    <n v="0"/>
    <n v="-6000000"/>
    <n v="0"/>
    <m/>
    <m/>
    <m/>
    <m/>
    <m/>
    <m/>
    <m/>
    <m/>
    <n v="0"/>
    <n v="0"/>
    <n v="13880034479.25"/>
    <m/>
    <m/>
    <m/>
    <m/>
    <m/>
    <m/>
    <m/>
    <m/>
    <d v="2016-08-31T00:00:00"/>
    <d v="2016-08-31T00:00:00"/>
    <d v="2015-12-31T00:00:00"/>
    <m/>
    <m/>
    <m/>
    <m/>
    <m/>
    <m/>
    <m/>
    <m/>
    <s v="Aggregate MFs"/>
    <s v="Aggregate MFs"/>
    <s v="Aggregate MFs"/>
    <s v="Investment Managers"/>
    <s v="Investment Advisor"/>
    <n v="406532867988"/>
    <m/>
    <m/>
    <m/>
    <m/>
    <m/>
    <m/>
    <m/>
    <m/>
    <m/>
    <s v="High"/>
    <s v="Moderate"/>
    <s v="High"/>
    <s v="Milan"/>
    <s v="Italy"/>
  </r>
  <r>
    <n v="472"/>
    <s v="AllianceBernstein Ltd. (Growth)"/>
    <m/>
    <m/>
    <m/>
    <m/>
    <m/>
    <m/>
    <m/>
    <m/>
    <m/>
    <n v="3.0000000000000001E-5"/>
    <n v="3.0000000000000001E-5"/>
    <m/>
    <m/>
    <m/>
    <m/>
    <m/>
    <m/>
    <m/>
    <m/>
    <m/>
    <n v="2762000"/>
    <n v="2762000"/>
    <m/>
    <m/>
    <m/>
    <m/>
    <m/>
    <m/>
    <m/>
    <m/>
    <m/>
    <n v="0"/>
    <n v="0"/>
    <m/>
    <m/>
    <m/>
    <m/>
    <m/>
    <m/>
    <m/>
    <m/>
    <m/>
    <n v="5869249943.6999998"/>
    <n v="5869249943.6999998"/>
    <m/>
    <m/>
    <m/>
    <m/>
    <m/>
    <m/>
    <m/>
    <m/>
    <m/>
    <d v="2015-11-30T00:00:00"/>
    <d v="2015-11-30T00:00:00"/>
    <m/>
    <m/>
    <m/>
    <m/>
    <m/>
    <m/>
    <m/>
    <m/>
    <m/>
    <s v="Aggregate MFs"/>
    <s v="Aggregate MFs"/>
    <s v="Investment Managers"/>
    <s v="Investment Advisor/Hedge Fund"/>
    <n v="9813499634088"/>
    <s v="Core Growth"/>
    <m/>
    <m/>
    <m/>
    <m/>
    <m/>
    <m/>
    <m/>
    <m/>
    <m/>
    <s v="Low"/>
    <s v="Low"/>
    <s v="London"/>
    <s v="United Kingdom"/>
  </r>
  <r>
    <n v="473"/>
    <s v="Allianz Global Investors Japan Co., Ltd."/>
    <m/>
    <n v="1.9999999999999999E-6"/>
    <n v="1.9999999999999999E-6"/>
    <n v="1.9999999999999999E-6"/>
    <m/>
    <m/>
    <m/>
    <m/>
    <m/>
    <m/>
    <n v="0"/>
    <m/>
    <n v="145000"/>
    <n v="145000"/>
    <n v="145000"/>
    <m/>
    <m/>
    <m/>
    <m/>
    <m/>
    <m/>
    <n v="0"/>
    <m/>
    <n v="0"/>
    <n v="0"/>
    <n v="145000"/>
    <m/>
    <m/>
    <m/>
    <m/>
    <m/>
    <m/>
    <n v="0"/>
    <m/>
    <n v="753999998"/>
    <n v="753999998"/>
    <n v="719562478.79999995"/>
    <m/>
    <m/>
    <m/>
    <m/>
    <m/>
    <m/>
    <n v="0"/>
    <m/>
    <d v="2023-06-30T00:00:00"/>
    <d v="2023-06-30T00:00:00"/>
    <d v="2022-12-31T00:00:00"/>
    <m/>
    <m/>
    <m/>
    <m/>
    <m/>
    <m/>
    <d v="2014-10-31T00:00:00"/>
    <m/>
    <s v="Aggregate MFs"/>
    <s v="Aggregate MFs"/>
    <s v="Aggregate MFs"/>
    <m/>
    <m/>
    <m/>
    <m/>
    <m/>
    <m/>
    <s v="Aggregate MFs"/>
    <s v="Investment Managers"/>
    <s v="Investment Advisor"/>
    <n v="9390415949030.4004"/>
    <m/>
    <m/>
    <s v="Low"/>
    <s v="Moderate"/>
    <s v="High"/>
    <m/>
    <m/>
    <m/>
    <m/>
    <m/>
    <m/>
    <s v="Moderate"/>
    <s v="Minato-ku (Tokyo)"/>
    <s v="Japan"/>
  </r>
  <r>
    <n v="474"/>
    <s v="Allianz Global Investors Taiwan Ltd."/>
    <m/>
    <m/>
    <m/>
    <m/>
    <m/>
    <m/>
    <m/>
    <n v="0"/>
    <n v="0"/>
    <n v="2.5999999999999998E-5"/>
    <n v="1.5999999999999999E-5"/>
    <m/>
    <m/>
    <m/>
    <m/>
    <m/>
    <m/>
    <m/>
    <n v="0"/>
    <n v="0"/>
    <n v="2376320"/>
    <n v="1463976"/>
    <m/>
    <m/>
    <m/>
    <m/>
    <m/>
    <m/>
    <m/>
    <n v="0"/>
    <n v="-2376320"/>
    <n v="912344"/>
    <n v="294124"/>
    <m/>
    <m/>
    <m/>
    <m/>
    <m/>
    <m/>
    <m/>
    <n v="0"/>
    <n v="0"/>
    <n v="6876475948.8000002"/>
    <n v="3386672884.1999998"/>
    <m/>
    <m/>
    <m/>
    <m/>
    <m/>
    <m/>
    <m/>
    <d v="2017-12-31T00:00:00"/>
    <d v="2017-12-31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99906613118373.594"/>
    <s v="Core Growth"/>
    <m/>
    <m/>
    <m/>
    <m/>
    <m/>
    <m/>
    <m/>
    <s v="Moderate"/>
    <s v="Moderate"/>
    <s v="Moderate"/>
    <s v="Moderate"/>
    <s v="Taipei"/>
    <s v="Taiwan"/>
  </r>
  <r>
    <n v="475"/>
    <s v="Allianz Global Investors U.S. LLC_NLE"/>
    <m/>
    <m/>
    <m/>
    <m/>
    <m/>
    <m/>
    <m/>
    <m/>
    <m/>
    <m/>
    <n v="2.5999999999999998E-5"/>
    <m/>
    <m/>
    <m/>
    <m/>
    <m/>
    <m/>
    <m/>
    <m/>
    <m/>
    <m/>
    <n v="2396000"/>
    <m/>
    <m/>
    <m/>
    <m/>
    <m/>
    <m/>
    <m/>
    <m/>
    <m/>
    <m/>
    <n v="0"/>
    <m/>
    <m/>
    <m/>
    <m/>
    <m/>
    <m/>
    <m/>
    <m/>
    <m/>
    <m/>
    <n v="6589000065.5500002"/>
    <m/>
    <m/>
    <m/>
    <m/>
    <m/>
    <m/>
    <m/>
    <m/>
    <m/>
    <m/>
    <d v="2015-01-31T00:00:00"/>
    <m/>
    <m/>
    <m/>
    <m/>
    <m/>
    <m/>
    <m/>
    <m/>
    <m/>
    <m/>
    <s v="Aggregate MFs"/>
    <s v="Investment Managers"/>
    <s v="Investment Advisor/Hedge Fund"/>
    <n v="1468219058170.8"/>
    <m/>
    <m/>
    <m/>
    <m/>
    <m/>
    <m/>
    <m/>
    <m/>
    <m/>
    <m/>
    <m/>
    <s v="Moderate"/>
    <s v="San Diego"/>
    <s v="United States"/>
  </r>
  <r>
    <n v="476"/>
    <s v="AMF Tjänstepension AB"/>
    <m/>
    <m/>
    <m/>
    <n v="0"/>
    <n v="0"/>
    <n v="3.0000000000000001E-5"/>
    <n v="1.2999999999999999E-5"/>
    <n v="9.2E-5"/>
    <n v="1.08E-4"/>
    <n v="0"/>
    <n v="1.05E-4"/>
    <m/>
    <m/>
    <m/>
    <n v="0"/>
    <n v="0"/>
    <n v="2790600"/>
    <n v="1199600"/>
    <n v="8469872"/>
    <n v="10022072"/>
    <n v="72"/>
    <n v="9688872"/>
    <m/>
    <m/>
    <m/>
    <n v="0"/>
    <n v="-2790600"/>
    <n v="1591000"/>
    <n v="-7270272"/>
    <n v="-1552200"/>
    <n v="10022000"/>
    <n v="-9688800"/>
    <n v="9688872"/>
    <m/>
    <m/>
    <m/>
    <n v="0"/>
    <n v="0"/>
    <n v="8825272466.3999996"/>
    <n v="4590236617.1999998"/>
    <n v="30846402418.75"/>
    <n v="40088288011.800003"/>
    <n v="208380.9"/>
    <n v="22413646173.150002"/>
    <m/>
    <m/>
    <m/>
    <d v="2021-05-31T00:00:00"/>
    <d v="2021-05-31T00:00:00"/>
    <d v="2020-12-31T00:00:00"/>
    <d v="2019-12-31T00:00:00"/>
    <d v="2018-12-31T00:00:00"/>
    <d v="2017-12-31T00:00:00"/>
    <d v="2016-12-31T00:00:00"/>
    <d v="2015-12-31T00:00:00"/>
    <m/>
    <m/>
    <m/>
    <s v="Aggregate MFs"/>
    <s v="Aggregate MFs"/>
    <s v="Aggregate MFs"/>
    <s v="Aggregate MFs"/>
    <s v="Aggregate MFs"/>
    <s v="Aggregate MFs"/>
    <s v="Aggregate MFs"/>
    <s v="Aggregate MFs"/>
    <s v="Investment Managers"/>
    <s v="Pension Fund"/>
    <n v="689224673902765"/>
    <s v="Growth"/>
    <m/>
    <m/>
    <m/>
    <s v="Low"/>
    <s v="Low"/>
    <s v="Low"/>
    <s v="Low"/>
    <s v="Low"/>
    <s v="Low"/>
    <s v="Low"/>
    <s v="Low"/>
    <s v="Stockholm"/>
    <s v="Sweden"/>
  </r>
  <r>
    <n v="477"/>
    <s v="Amundi Asset Management Singapore Ltd."/>
    <m/>
    <m/>
    <m/>
    <m/>
    <m/>
    <m/>
    <m/>
    <n v="6.8999999999999997E-5"/>
    <n v="6.8999999999999997E-5"/>
    <n v="1.5300000000000001E-4"/>
    <n v="9.8999999999999994E-5"/>
    <m/>
    <m/>
    <m/>
    <m/>
    <m/>
    <m/>
    <m/>
    <n v="6331200"/>
    <n v="6331200"/>
    <n v="14122400"/>
    <n v="9175200"/>
    <m/>
    <m/>
    <m/>
    <m/>
    <m/>
    <m/>
    <m/>
    <n v="0"/>
    <n v="-7791200"/>
    <n v="4947200"/>
    <n v="-28"/>
    <m/>
    <m/>
    <m/>
    <m/>
    <m/>
    <m/>
    <m/>
    <n v="21288660018.299999"/>
    <n v="21288660018.299999"/>
    <n v="37071300015"/>
    <n v="21225348708.299999"/>
    <m/>
    <m/>
    <m/>
    <m/>
    <m/>
    <m/>
    <m/>
    <d v="2017-09-30T00:00:00"/>
    <d v="2017-09-30T00:00:00"/>
    <d v="2016-11-30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1082280339666"/>
    <s v="GARP"/>
    <m/>
    <m/>
    <m/>
    <m/>
    <m/>
    <m/>
    <m/>
    <s v="High"/>
    <s v="Moderate"/>
    <s v="Moderate"/>
    <s v="Moderate"/>
    <s v="Singapore"/>
    <s v="Singapore"/>
  </r>
  <r>
    <n v="478"/>
    <s v="Amundi Asset Management US, Inc._NLE"/>
    <m/>
    <n v="0"/>
    <n v="0"/>
    <n v="7.3999999999999996E-5"/>
    <m/>
    <m/>
    <m/>
    <n v="0"/>
    <n v="0"/>
    <n v="0"/>
    <n v="0"/>
    <m/>
    <n v="0"/>
    <n v="0"/>
    <n v="6796600"/>
    <m/>
    <m/>
    <m/>
    <n v="0"/>
    <n v="0"/>
    <n v="0"/>
    <n v="0"/>
    <m/>
    <n v="0"/>
    <n v="-6796600"/>
    <n v="6796600"/>
    <m/>
    <m/>
    <m/>
    <n v="0"/>
    <n v="0"/>
    <n v="0"/>
    <n v="0"/>
    <m/>
    <n v="0"/>
    <n v="0"/>
    <n v="33728127544.099998"/>
    <m/>
    <m/>
    <m/>
    <n v="0"/>
    <n v="0"/>
    <n v="0"/>
    <n v="0"/>
    <m/>
    <d v="2023-03-31T00:00:00"/>
    <d v="2023-03-31T00:00:00"/>
    <d v="2022-12-31T00:00:00"/>
    <m/>
    <m/>
    <m/>
    <d v="2017-10-31T00:00:00"/>
    <d v="2017-10-31T00:00:00"/>
    <d v="2016-03-31T00:00:00"/>
    <d v="2015-06-30T00:00:00"/>
    <m/>
    <s v="Aggregate MFs"/>
    <s v="Aggregate MFs"/>
    <s v="Aggregate MFs"/>
    <m/>
    <m/>
    <m/>
    <s v="Aggregate MFs"/>
    <s v="Aggregate MFs"/>
    <s v="Aggregate MFs"/>
    <s v="Aggregate MFs"/>
    <s v="Investment Managers"/>
    <s v="Investment Advisor"/>
    <n v="23497950"/>
    <m/>
    <m/>
    <s v="Low"/>
    <s v="Low"/>
    <s v="Low"/>
    <m/>
    <m/>
    <m/>
    <s v="Moderate"/>
    <s v="Moderate"/>
    <s v="Moderate"/>
    <s v="Moderate"/>
    <s v="Boston"/>
    <s v="United States"/>
  </r>
  <r>
    <n v="479"/>
    <s v="Amundi Austria GmbH"/>
    <m/>
    <m/>
    <m/>
    <m/>
    <m/>
    <m/>
    <m/>
    <n v="5.0000000000000004E-6"/>
    <n v="5.0000000000000004E-6"/>
    <m/>
    <n v="0"/>
    <m/>
    <m/>
    <m/>
    <m/>
    <m/>
    <m/>
    <m/>
    <n v="483200"/>
    <n v="483200"/>
    <m/>
    <n v="0"/>
    <m/>
    <m/>
    <m/>
    <m/>
    <m/>
    <m/>
    <m/>
    <n v="0"/>
    <n v="483200"/>
    <m/>
    <n v="0"/>
    <m/>
    <m/>
    <m/>
    <m/>
    <m/>
    <m/>
    <m/>
    <n v="1582479943.8"/>
    <n v="1582479943.8"/>
    <m/>
    <n v="0"/>
    <m/>
    <m/>
    <m/>
    <m/>
    <m/>
    <m/>
    <m/>
    <d v="2017-08-31T00:00:00"/>
    <d v="2017-08-31T00:00:00"/>
    <m/>
    <d v="2014-08-31T00:00:00"/>
    <m/>
    <m/>
    <m/>
    <m/>
    <m/>
    <m/>
    <m/>
    <s v="Aggregate MFs"/>
    <s v="Aggregate MFs"/>
    <m/>
    <s v="Aggregate MFs"/>
    <s v="Investment Managers"/>
    <s v="Investment Advisor"/>
    <n v="57562005358885.203"/>
    <s v="Core Growth"/>
    <m/>
    <m/>
    <m/>
    <m/>
    <m/>
    <m/>
    <m/>
    <s v="Low"/>
    <s v="High"/>
    <m/>
    <s v="Low"/>
    <s v="Vienna"/>
    <s v="Austria"/>
  </r>
  <r>
    <n v="480"/>
    <s v="Amundi Deutschland GmbH"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6-09-30T00:00:00"/>
    <d v="2016-09-30T00:00:00"/>
    <m/>
    <m/>
    <m/>
    <m/>
    <m/>
    <m/>
    <m/>
    <m/>
    <m/>
    <s v="Aggregate MFs"/>
    <s v="Aggregate MFs"/>
    <m/>
    <s v="Investment Managers"/>
    <s v="Investment Advisor"/>
    <n v="88870610252810.406"/>
    <s v="Core Growth"/>
    <m/>
    <m/>
    <m/>
    <m/>
    <m/>
    <m/>
    <m/>
    <m/>
    <s v="High"/>
    <s v="High"/>
    <m/>
    <s v="Munich"/>
    <s v="Germany"/>
  </r>
  <r>
    <n v="481"/>
    <s v="Amundi Luxembourg S.A."/>
    <m/>
    <m/>
    <m/>
    <n v="0"/>
    <n v="0"/>
    <n v="1.1400000000000001E-4"/>
    <m/>
    <m/>
    <m/>
    <m/>
    <m/>
    <m/>
    <m/>
    <m/>
    <n v="0"/>
    <n v="0"/>
    <n v="10527600"/>
    <m/>
    <m/>
    <m/>
    <m/>
    <m/>
    <m/>
    <m/>
    <m/>
    <n v="0"/>
    <n v="-10527600"/>
    <n v="10527600"/>
    <m/>
    <m/>
    <m/>
    <m/>
    <m/>
    <m/>
    <m/>
    <m/>
    <n v="0"/>
    <n v="0"/>
    <n v="33293535050.5"/>
    <m/>
    <m/>
    <m/>
    <m/>
    <m/>
    <m/>
    <m/>
    <m/>
    <d v="2021-06-30T00:00:00"/>
    <d v="2021-06-30T00:00:00"/>
    <d v="2020-11-30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6565441521860.4004"/>
    <m/>
    <m/>
    <m/>
    <m/>
    <m/>
    <s v="Low"/>
    <s v="Low"/>
    <m/>
    <m/>
    <m/>
    <m/>
    <m/>
    <s v="Luxembourg"/>
    <s v="Luxembourg"/>
  </r>
  <r>
    <n v="482"/>
    <s v="Analytic Investors, LLC_NLE"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8-07-31T00:00:00"/>
    <d v="2018-07-31T00:00:00"/>
    <m/>
    <m/>
    <m/>
    <m/>
    <m/>
    <m/>
    <m/>
    <m/>
    <m/>
    <s v="Aggregate MFs"/>
    <s v="Aggregate MFs"/>
    <m/>
    <m/>
    <m/>
    <s v="Investment Managers"/>
    <s v="Investment Advisor/Hedge Fund"/>
    <n v="215559207351.60001"/>
    <m/>
    <m/>
    <m/>
    <m/>
    <m/>
    <m/>
    <m/>
    <s v="Low"/>
    <s v="Moderate"/>
    <m/>
    <m/>
    <m/>
    <s v="Los Angeles"/>
    <s v="United States"/>
  </r>
  <r>
    <n v="483"/>
    <s v="Argonaut Capital Partners LLP"/>
    <m/>
    <n v="0"/>
    <n v="7.9999999999999996E-6"/>
    <n v="3.0000000000000001E-6"/>
    <m/>
    <m/>
    <m/>
    <m/>
    <m/>
    <m/>
    <m/>
    <m/>
    <n v="0"/>
    <n v="731729"/>
    <n v="305200"/>
    <m/>
    <m/>
    <m/>
    <m/>
    <m/>
    <m/>
    <m/>
    <m/>
    <n v="-731729"/>
    <n v="426529"/>
    <n v="305200"/>
    <m/>
    <m/>
    <m/>
    <m/>
    <m/>
    <m/>
    <m/>
    <m/>
    <n v="0"/>
    <n v="4426960490.3500004"/>
    <n v="1514554971.05"/>
    <m/>
    <m/>
    <m/>
    <m/>
    <m/>
    <m/>
    <m/>
    <m/>
    <d v="2024-01-31T00:00:00"/>
    <d v="2023-12-31T00:00:00"/>
    <d v="2022-12-31T00:00:00"/>
    <m/>
    <m/>
    <m/>
    <m/>
    <m/>
    <m/>
    <m/>
    <m/>
    <s v="Aggregate MFs"/>
    <s v="Aggregate MFs"/>
    <s v="Aggregate MFs"/>
    <m/>
    <m/>
    <m/>
    <m/>
    <m/>
    <m/>
    <m/>
    <s v="Investment Managers"/>
    <s v="Investment Advisor/Hedge Fund"/>
    <n v="8476320264202.7998"/>
    <s v="Hedge Fund"/>
    <m/>
    <s v="High"/>
    <s v="High"/>
    <s v="Moderate"/>
    <m/>
    <m/>
    <m/>
    <m/>
    <m/>
    <m/>
    <m/>
    <s v="London"/>
    <s v="United Kingdom"/>
  </r>
  <r>
    <n v="484"/>
    <s v="Arianto (Sulaiman Arif)"/>
    <m/>
    <m/>
    <m/>
    <m/>
    <m/>
    <m/>
    <n v="2.4000000000000001E-5"/>
    <n v="1.4E-5"/>
    <n v="7.9999999999999996E-6"/>
    <n v="7.9999999999999996E-6"/>
    <m/>
    <m/>
    <m/>
    <m/>
    <m/>
    <m/>
    <m/>
    <n v="2207116"/>
    <n v="1271316"/>
    <n v="760116"/>
    <n v="760116"/>
    <m/>
    <m/>
    <m/>
    <m/>
    <m/>
    <m/>
    <m/>
    <n v="935800"/>
    <n v="511200"/>
    <n v="0"/>
    <n v="760116"/>
    <m/>
    <m/>
    <m/>
    <m/>
    <m/>
    <m/>
    <m/>
    <n v="8445469077.1999998"/>
    <n v="4630002062.5"/>
    <n v="3040463983.4000001"/>
    <n v="2199585670.5"/>
    <m/>
    <m/>
    <m/>
    <m/>
    <m/>
    <m/>
    <m/>
    <d v="2019-12-31T00:00:00"/>
    <d v="2018-12-31T00:00:00"/>
    <d v="2017-12-31T00:00:00"/>
    <d v="2016-12-31T00:00:00"/>
    <m/>
    <m/>
    <m/>
    <m/>
    <m/>
    <m/>
    <m/>
    <s v="Indonesia Insider"/>
    <s v="Indonesia Insider"/>
    <s v="Indonesia Insider"/>
    <s v="Indonesia Insider"/>
    <m/>
    <s v="Strategic Entities"/>
    <s v="Individual Investor"/>
    <n v="10149166009.200001"/>
    <m/>
    <m/>
    <m/>
    <m/>
    <m/>
    <m/>
    <m/>
    <s v="Low"/>
    <s v="Low"/>
    <s v="Low"/>
    <s v="Low"/>
    <m/>
    <m/>
    <s v="Indonesia"/>
  </r>
  <r>
    <n v="485"/>
    <s v="Arrow Investment Advisors, LLC"/>
    <m/>
    <m/>
    <n v="0"/>
    <n v="3.9999999999999998E-6"/>
    <n v="0"/>
    <n v="3.9999999999999998E-6"/>
    <n v="5.0000000000000004E-6"/>
    <m/>
    <m/>
    <m/>
    <m/>
    <m/>
    <m/>
    <n v="0"/>
    <n v="353298"/>
    <n v="0"/>
    <n v="333566"/>
    <n v="420918"/>
    <m/>
    <m/>
    <m/>
    <m/>
    <m/>
    <m/>
    <n v="-353298"/>
    <n v="353298"/>
    <n v="-333566"/>
    <n v="-87352"/>
    <n v="420918"/>
    <m/>
    <m/>
    <m/>
    <m/>
    <m/>
    <m/>
    <n v="0"/>
    <n v="1753241288.7"/>
    <n v="0"/>
    <n v="1054902420"/>
    <n v="1467951564"/>
    <m/>
    <m/>
    <m/>
    <m/>
    <m/>
    <m/>
    <d v="2023-01-31T00:00:00"/>
    <d v="2022-12-31T00:00:00"/>
    <d v="2021-07-31T00:00:00"/>
    <d v="2020-12-31T00:00:00"/>
    <d v="2019-11-30T00:00:00"/>
    <m/>
    <m/>
    <m/>
    <m/>
    <m/>
    <m/>
    <s v="Aggregate MFs"/>
    <s v="Aggregate MFs"/>
    <s v="Aggregate MFs"/>
    <s v="Aggregate MFs"/>
    <s v="Aggregate MFs"/>
    <m/>
    <m/>
    <m/>
    <m/>
    <s v="Investment Managers"/>
    <s v="Investment Advisor/Hedge Fund"/>
    <n v="3884847068006.3999"/>
    <s v="Core Value"/>
    <m/>
    <m/>
    <s v="Moderate"/>
    <s v="High"/>
    <s v="Moderate"/>
    <s v="High"/>
    <s v="High"/>
    <m/>
    <m/>
    <m/>
    <m/>
    <s v="Olney"/>
    <s v="United States"/>
  </r>
  <r>
    <n v="486"/>
    <s v="Arrowstreet Capital, Limited Partnership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8-31T00:00:00"/>
    <d v="2015-08-31T00:00:00"/>
    <m/>
    <m/>
    <m/>
    <m/>
    <m/>
    <m/>
    <m/>
    <m/>
    <m/>
    <s v="Aggregate MFs"/>
    <s v="Aggregate MFs"/>
    <s v="Investment Managers"/>
    <s v="Investment Advisor/Hedge Fund"/>
    <n v="2449604769838180"/>
    <s v="Hedge Fund"/>
    <m/>
    <m/>
    <m/>
    <m/>
    <m/>
    <m/>
    <m/>
    <m/>
    <m/>
    <s v="High"/>
    <s v="High"/>
    <s v="Boston"/>
    <s v="United States"/>
  </r>
  <r>
    <n v="487"/>
    <s v="Artisan Partners Limited Partnership"/>
    <m/>
    <m/>
    <m/>
    <m/>
    <m/>
    <m/>
    <m/>
    <n v="0"/>
    <n v="0"/>
    <n v="3.9599999999999998E-4"/>
    <n v="2.12E-4"/>
    <m/>
    <m/>
    <m/>
    <m/>
    <m/>
    <m/>
    <m/>
    <n v="0"/>
    <n v="0"/>
    <n v="36611200"/>
    <n v="19557600"/>
    <m/>
    <m/>
    <m/>
    <m/>
    <m/>
    <m/>
    <m/>
    <n v="0"/>
    <n v="-36611200"/>
    <n v="17053600"/>
    <n v="4137600"/>
    <m/>
    <m/>
    <m/>
    <m/>
    <m/>
    <m/>
    <m/>
    <n v="0"/>
    <n v="0"/>
    <n v="105943660075.5"/>
    <n v="45243360452.25"/>
    <m/>
    <m/>
    <m/>
    <m/>
    <m/>
    <m/>
    <m/>
    <d v="2017-03-31T00:00:00"/>
    <d v="2017-03-31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2023589133005280"/>
    <s v="Core Growth"/>
    <m/>
    <m/>
    <m/>
    <m/>
    <m/>
    <m/>
    <m/>
    <s v="Moderate"/>
    <s v="Low"/>
    <s v="Low"/>
    <s v="Low"/>
    <s v="Milwaukee"/>
    <s v="United States"/>
  </r>
  <r>
    <n v="488"/>
    <s v="Ashmore Equities Investment Management (US) LLC_NLE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6-30T00:00:00"/>
    <d v="2015-06-30T00:00:00"/>
    <m/>
    <m/>
    <m/>
    <m/>
    <m/>
    <m/>
    <m/>
    <m/>
    <m/>
    <s v="Aggregate MFs"/>
    <s v="Aggregate MFs"/>
    <s v="Investment Managers"/>
    <s v="Investment Advisor/Hedge Fund"/>
    <n v="263106958146"/>
    <m/>
    <m/>
    <m/>
    <m/>
    <m/>
    <m/>
    <m/>
    <m/>
    <m/>
    <m/>
    <s v="Moderate"/>
    <s v="High"/>
    <s v="Arlington"/>
    <s v="United States"/>
  </r>
  <r>
    <n v="489"/>
    <s v="Askolani"/>
    <m/>
    <m/>
    <m/>
    <m/>
    <m/>
    <m/>
    <n v="1.9999999999999999E-6"/>
    <n v="1.9999999999999999E-6"/>
    <m/>
    <m/>
    <m/>
    <m/>
    <m/>
    <m/>
    <m/>
    <m/>
    <m/>
    <n v="218000"/>
    <n v="218000"/>
    <m/>
    <m/>
    <m/>
    <m/>
    <m/>
    <m/>
    <m/>
    <m/>
    <m/>
    <n v="0"/>
    <n v="218000"/>
    <m/>
    <m/>
    <m/>
    <m/>
    <m/>
    <m/>
    <m/>
    <m/>
    <m/>
    <n v="834171066.39999998"/>
    <n v="793933550"/>
    <m/>
    <m/>
    <m/>
    <m/>
    <m/>
    <m/>
    <m/>
    <m/>
    <m/>
    <d v="2019-12-31T00:00:00"/>
    <d v="2018-12-31T00:00:00"/>
    <m/>
    <m/>
    <m/>
    <m/>
    <m/>
    <m/>
    <m/>
    <m/>
    <m/>
    <s v="Indonesia Insider"/>
    <s v="Indonesia Insider"/>
    <m/>
    <m/>
    <m/>
    <s v="Strategic Entities"/>
    <s v="Individual Investor"/>
    <n v="7883145475.1999998"/>
    <m/>
    <m/>
    <m/>
    <m/>
    <m/>
    <m/>
    <m/>
    <s v="Moderate"/>
    <s v="Low"/>
    <m/>
    <m/>
    <m/>
    <m/>
    <s v="Indonesia"/>
  </r>
  <r>
    <n v="490"/>
    <s v="Asset Management One Singapore Pte. Ltd."/>
    <m/>
    <m/>
    <n v="9.5000000000000005E-5"/>
    <n v="9.5000000000000005E-5"/>
    <n v="1.01E-4"/>
    <n v="1.11E-4"/>
    <m/>
    <m/>
    <m/>
    <m/>
    <m/>
    <m/>
    <m/>
    <n v="8820000"/>
    <n v="8820000"/>
    <n v="9366600"/>
    <n v="10282000"/>
    <m/>
    <m/>
    <m/>
    <m/>
    <m/>
    <m/>
    <m/>
    <n v="0"/>
    <n v="-546600"/>
    <n v="-915400"/>
    <n v="10282000"/>
    <m/>
    <m/>
    <m/>
    <m/>
    <m/>
    <m/>
    <m/>
    <n v="37485000082.800003"/>
    <n v="37485000082.800003"/>
    <n v="28099799903.5"/>
    <n v="22980270013.25"/>
    <m/>
    <m/>
    <m/>
    <m/>
    <m/>
    <m/>
    <m/>
    <d v="2022-05-31T00:00:00"/>
    <d v="2022-05-31T00:00:00"/>
    <d v="2021-05-31T00:00:00"/>
    <d v="2020-05-31T00:00:00"/>
    <m/>
    <m/>
    <m/>
    <m/>
    <m/>
    <m/>
    <m/>
    <s v="Aggregate MFs"/>
    <s v="Aggregate MFs"/>
    <s v="Aggregate MFs"/>
    <s v="Aggregate MFs"/>
    <m/>
    <m/>
    <m/>
    <m/>
    <m/>
    <s v="Investment Managers"/>
    <s v="Investment Advisor/Hedge Fund"/>
    <n v="1061630656291.2"/>
    <m/>
    <m/>
    <m/>
    <m/>
    <s v="Low"/>
    <s v="Low"/>
    <m/>
    <m/>
    <m/>
    <m/>
    <m/>
    <m/>
    <s v="Singapore"/>
    <s v="Singapore"/>
  </r>
  <r>
    <n v="491"/>
    <s v="Asset Management One USA Inc."/>
    <m/>
    <m/>
    <m/>
    <m/>
    <m/>
    <m/>
    <m/>
    <m/>
    <m/>
    <m/>
    <n v="0"/>
    <m/>
    <m/>
    <m/>
    <m/>
    <m/>
    <m/>
    <m/>
    <m/>
    <m/>
    <m/>
    <n v="13756"/>
    <m/>
    <m/>
    <m/>
    <m/>
    <m/>
    <m/>
    <m/>
    <m/>
    <m/>
    <m/>
    <n v="0"/>
    <m/>
    <m/>
    <m/>
    <m/>
    <m/>
    <m/>
    <m/>
    <m/>
    <m/>
    <m/>
    <n v="37828961.850000001"/>
    <m/>
    <m/>
    <m/>
    <m/>
    <m/>
    <m/>
    <m/>
    <m/>
    <m/>
    <m/>
    <d v="2015-01-31T00:00:00"/>
    <m/>
    <m/>
    <m/>
    <m/>
    <m/>
    <m/>
    <m/>
    <m/>
    <m/>
    <m/>
    <s v="Aggregate MFs"/>
    <s v="Investment Managers"/>
    <s v="Investment Advisor/Hedge Fund"/>
    <n v="532437659311904"/>
    <s v="Hedge Fund"/>
    <m/>
    <m/>
    <m/>
    <m/>
    <m/>
    <m/>
    <m/>
    <m/>
    <m/>
    <m/>
    <s v="Low"/>
    <s v="New York"/>
    <s v="United States"/>
  </r>
  <r>
    <n v="492"/>
    <s v="AXA Investment Managers UK Ltd.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6-30T00:00:00"/>
    <d v="2015-06-30T00:00:00"/>
    <m/>
    <m/>
    <m/>
    <m/>
    <m/>
    <m/>
    <m/>
    <m/>
    <m/>
    <s v="Aggregate MFs"/>
    <s v="Aggregate MFs"/>
    <s v="Investment Managers"/>
    <s v="Investment Advisor/Hedge Fund"/>
    <n v="497026613587945"/>
    <s v="Core Value"/>
    <m/>
    <m/>
    <m/>
    <m/>
    <m/>
    <m/>
    <m/>
    <m/>
    <m/>
    <s v="Low"/>
    <s v="Low"/>
    <s v="London"/>
    <s v="United Kingdom"/>
  </r>
  <r>
    <n v="493"/>
    <s v="Baddrudin (Ahmad Siddik)"/>
    <m/>
    <m/>
    <n v="9.3999999999999994E-5"/>
    <n v="7.3999999999999996E-5"/>
    <n v="6.3E-5"/>
    <n v="5.3000000000000001E-5"/>
    <n v="3.6000000000000001E-5"/>
    <n v="2.6999999999999999E-5"/>
    <n v="2.1999999999999999E-5"/>
    <n v="2.1999999999999999E-5"/>
    <m/>
    <m/>
    <m/>
    <n v="8715900"/>
    <n v="6803200"/>
    <n v="5801600"/>
    <n v="4941400"/>
    <n v="3361400"/>
    <n v="2477600"/>
    <n v="1993200"/>
    <n v="1993200"/>
    <m/>
    <m/>
    <m/>
    <n v="1912700"/>
    <n v="1001600"/>
    <n v="860200"/>
    <n v="1580000"/>
    <n v="883800"/>
    <n v="484400"/>
    <n v="0"/>
    <n v="1993200"/>
    <m/>
    <m/>
    <m/>
    <n v="52731194931.75"/>
    <n v="33760880039.700001"/>
    <n v="20356691865"/>
    <n v="15627177493.200001"/>
    <n v="12862305352.799999"/>
    <n v="9023164356.25"/>
    <n v="7972799992.1999998"/>
    <n v="5767822480.1999998"/>
    <m/>
    <m/>
    <m/>
    <d v="2023-12-31T00:00:00"/>
    <d v="2022-12-31T00:00:00"/>
    <d v="2021-12-31T00:00:00"/>
    <d v="2020-12-31T00:00:00"/>
    <d v="2019-12-31T00:00:00"/>
    <d v="2018-12-31T00:00:00"/>
    <d v="2017-12-31T00:00:00"/>
    <d v="2016-12-31T00:00:00"/>
    <m/>
    <m/>
    <m/>
    <s v="Indonesia Insider"/>
    <s v="Indonesia Insider"/>
    <s v="Indonesia Insider"/>
    <s v="Indonesia Insider"/>
    <s v="Indonesia Insider"/>
    <s v="Indonesia Insider"/>
    <s v="Indonesia Insider"/>
    <s v="Indonesia Insider"/>
    <m/>
    <s v="Strategic Entities"/>
    <s v="Individual Investor"/>
    <n v="0"/>
    <m/>
    <m/>
    <m/>
    <s v="Low"/>
    <s v="Low"/>
    <s v="Low"/>
    <s v="Low"/>
    <s v="Low"/>
    <s v="Low"/>
    <s v="Low"/>
    <s v="Low"/>
    <m/>
    <m/>
    <s v="Indonesia"/>
  </r>
  <r>
    <n v="494"/>
    <s v="Banca del Sempione SA"/>
    <m/>
    <m/>
    <m/>
    <m/>
    <m/>
    <m/>
    <m/>
    <n v="0"/>
    <n v="0"/>
    <n v="9.9999999999999995E-7"/>
    <n v="9.9999999999999995E-7"/>
    <m/>
    <m/>
    <m/>
    <m/>
    <m/>
    <m/>
    <m/>
    <n v="0"/>
    <n v="0"/>
    <n v="120000"/>
    <n v="120000"/>
    <m/>
    <m/>
    <m/>
    <m/>
    <m/>
    <m/>
    <m/>
    <n v="0"/>
    <n v="-120000"/>
    <n v="0"/>
    <n v="0"/>
    <m/>
    <m/>
    <m/>
    <m/>
    <m/>
    <m/>
    <m/>
    <n v="0"/>
    <n v="0"/>
    <n v="237750005.44999999"/>
    <n v="237750005.44999999"/>
    <m/>
    <m/>
    <m/>
    <m/>
    <m/>
    <m/>
    <m/>
    <d v="2017-03-31T00:00:00"/>
    <d v="2017-03-31T00:00:00"/>
    <d v="2015-09-30T00:00:00"/>
    <d v="2015-09-30T00:00:00"/>
    <m/>
    <m/>
    <m/>
    <m/>
    <m/>
    <m/>
    <m/>
    <s v="Aggregate MFs"/>
    <s v="Aggregate MFs"/>
    <s v="Aggregate MFs"/>
    <s v="Aggregate MFs"/>
    <s v="Investment Managers"/>
    <s v="Bank and Trust"/>
    <n v="0"/>
    <s v="Core Growth"/>
    <m/>
    <m/>
    <m/>
    <m/>
    <m/>
    <m/>
    <m/>
    <s v="Low"/>
    <s v="Moderate"/>
    <m/>
    <s v="Low"/>
    <s v="Lugano"/>
    <s v="Switzerland"/>
  </r>
  <r>
    <n v="495"/>
    <s v="Bank Julius Bär &amp; Co. AG"/>
    <m/>
    <n v="6.2000000000000003E-5"/>
    <n v="6.2000000000000003E-5"/>
    <n v="6.2000000000000003E-5"/>
    <m/>
    <m/>
    <m/>
    <m/>
    <m/>
    <m/>
    <n v="0"/>
    <m/>
    <n v="5728400"/>
    <n v="5728400"/>
    <n v="5728400"/>
    <m/>
    <m/>
    <m/>
    <m/>
    <m/>
    <m/>
    <n v="0"/>
    <m/>
    <n v="0"/>
    <n v="0"/>
    <n v="5728400"/>
    <m/>
    <m/>
    <m/>
    <m/>
    <m/>
    <m/>
    <n v="0"/>
    <m/>
    <n v="29572865004.400002"/>
    <n v="29572865004.400002"/>
    <n v="28427185067.599998"/>
    <m/>
    <m/>
    <m/>
    <m/>
    <m/>
    <m/>
    <n v="0"/>
    <m/>
    <d v="2023-03-31T00:00:00"/>
    <d v="2023-03-31T00:00:00"/>
    <d v="2022-12-31T00:00:00"/>
    <m/>
    <m/>
    <m/>
    <m/>
    <m/>
    <m/>
    <d v="2015-02-28T00:00:00"/>
    <m/>
    <s v="Aggregate MFs"/>
    <s v="Aggregate MFs"/>
    <s v="Aggregate MFs"/>
    <m/>
    <m/>
    <m/>
    <m/>
    <m/>
    <m/>
    <s v="Aggregate MFs"/>
    <s v="Investment Managers"/>
    <s v="Bank and Trust"/>
    <n v="598375486600092"/>
    <s v="GARP"/>
    <m/>
    <s v="Moderate"/>
    <s v="Moderate"/>
    <s v="Low"/>
    <m/>
    <m/>
    <m/>
    <m/>
    <m/>
    <m/>
    <s v="High"/>
    <s v="Zurich"/>
    <s v="Switzerland"/>
  </r>
  <r>
    <n v="496"/>
    <s v="Bank Vontobel AG (Private Banking)"/>
    <m/>
    <m/>
    <m/>
    <n v="4.0140000000000002E-3"/>
    <n v="8.6470000000000002E-3"/>
    <m/>
    <m/>
    <m/>
    <m/>
    <m/>
    <m/>
    <m/>
    <m/>
    <m/>
    <n v="370904200"/>
    <n v="798993000"/>
    <m/>
    <m/>
    <m/>
    <m/>
    <m/>
    <m/>
    <m/>
    <m/>
    <m/>
    <n v="-428088800"/>
    <n v="798993000"/>
    <m/>
    <m/>
    <m/>
    <m/>
    <m/>
    <m/>
    <m/>
    <m/>
    <m/>
    <n v="1840612093850.75"/>
    <n v="2803511847945"/>
    <m/>
    <m/>
    <m/>
    <m/>
    <m/>
    <m/>
    <m/>
    <m/>
    <m/>
    <d v="2022-12-31T00:00:00"/>
    <d v="2021-12-31T00:00:00"/>
    <m/>
    <m/>
    <m/>
    <m/>
    <m/>
    <m/>
    <m/>
    <m/>
    <m/>
    <s v="Shareholder Report"/>
    <s v="Shareholder Report"/>
    <m/>
    <m/>
    <m/>
    <m/>
    <m/>
    <m/>
    <s v="Investment Managers"/>
    <s v="Bank and Trust"/>
    <n v="40290764948148"/>
    <s v="GARP"/>
    <m/>
    <m/>
    <m/>
    <s v="Low"/>
    <s v="Moderate"/>
    <m/>
    <m/>
    <m/>
    <m/>
    <m/>
    <m/>
    <s v="Zurich"/>
    <s v="Switzerland"/>
  </r>
  <r>
    <n v="497"/>
    <s v="Bankinter, S.A. (Madrid)"/>
    <m/>
    <m/>
    <m/>
    <n v="0"/>
    <n v="0"/>
    <n v="1.76E-4"/>
    <m/>
    <m/>
    <m/>
    <m/>
    <m/>
    <m/>
    <m/>
    <m/>
    <n v="0"/>
    <n v="0"/>
    <n v="16274710"/>
    <m/>
    <m/>
    <m/>
    <m/>
    <m/>
    <m/>
    <m/>
    <m/>
    <n v="0"/>
    <n v="-16274710"/>
    <n v="16274710"/>
    <m/>
    <m/>
    <m/>
    <m/>
    <m/>
    <m/>
    <m/>
    <m/>
    <n v="0"/>
    <n v="0"/>
    <n v="51468770293.199997"/>
    <m/>
    <m/>
    <m/>
    <m/>
    <m/>
    <m/>
    <m/>
    <m/>
    <d v="2021-12-31T00:00:00"/>
    <d v="2021-12-31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Bank and Trust"/>
    <n v="1188198109982.3999"/>
    <m/>
    <m/>
    <m/>
    <m/>
    <s v="Low"/>
    <s v="Moderate"/>
    <s v="Moderate"/>
    <m/>
    <m/>
    <m/>
    <m/>
    <m/>
    <s v="Madrid"/>
    <s v="Spain"/>
  </r>
  <r>
    <n v="498"/>
    <s v="Banque Degroof Petercam Luxembourg S.A."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1-09-30T00:00:00"/>
    <d v="2021-09-30T00:00:00"/>
    <m/>
    <m/>
    <m/>
    <m/>
    <m/>
    <m/>
    <m/>
    <m/>
    <m/>
    <s v="Aggregate MFs"/>
    <s v="Aggregate MFs"/>
    <m/>
    <m/>
    <m/>
    <m/>
    <m/>
    <m/>
    <s v="Investment Managers"/>
    <s v="Bank and Trust"/>
    <n v="3673282951672.7998"/>
    <s v="Core Growth"/>
    <m/>
    <m/>
    <m/>
    <s v="Moderate"/>
    <s v="Moderate"/>
    <m/>
    <m/>
    <m/>
    <m/>
    <m/>
    <m/>
    <s v="Luxembourg"/>
    <s v="Luxembourg"/>
  </r>
  <r>
    <n v="499"/>
    <s v="Banque Lombard Odier &amp; Cie SA"/>
    <m/>
    <m/>
    <n v="0"/>
    <n v="0"/>
    <m/>
    <m/>
    <m/>
    <n v="0"/>
    <n v="0"/>
    <n v="1.2E-5"/>
    <n v="2.1999999999999999E-5"/>
    <m/>
    <m/>
    <n v="0"/>
    <n v="0"/>
    <m/>
    <m/>
    <m/>
    <n v="0"/>
    <n v="0"/>
    <n v="1090000"/>
    <n v="2017200"/>
    <m/>
    <m/>
    <n v="0"/>
    <n v="0"/>
    <m/>
    <m/>
    <m/>
    <n v="0"/>
    <n v="-1090000"/>
    <n v="-927200"/>
    <n v="-431200"/>
    <m/>
    <m/>
    <n v="0"/>
    <n v="0"/>
    <m/>
    <m/>
    <m/>
    <n v="0"/>
    <n v="0"/>
    <n v="3154187463.5999999"/>
    <n v="4666467597.3000002"/>
    <m/>
    <m/>
    <d v="2022-11-30T00:00:00"/>
    <d v="2022-11-30T00:00:00"/>
    <m/>
    <m/>
    <m/>
    <d v="2017-04-30T00:00:00"/>
    <d v="2017-04-30T00:00:00"/>
    <d v="2016-12-31T00:00:00"/>
    <d v="2015-12-31T00:00:00"/>
    <m/>
    <m/>
    <s v="Aggregate MFs"/>
    <s v="Aggregate MFs"/>
    <m/>
    <m/>
    <m/>
    <s v="Aggregate MFs"/>
    <s v="Aggregate MFs"/>
    <s v="Aggregate MFs"/>
    <s v="Aggregate MFs"/>
    <s v="Investment Managers"/>
    <s v="Investment Advisor/Hedge Fund"/>
    <n v="53785901575800"/>
    <s v="Core Growth"/>
    <m/>
    <m/>
    <s v="Moderate"/>
    <s v="Moderate"/>
    <m/>
    <m/>
    <m/>
    <s v="Moderate"/>
    <s v="High"/>
    <s v="Moderate"/>
    <s v="Moderate"/>
    <s v="Geneva"/>
    <s v="Switzerland"/>
  </r>
  <r>
    <n v="500"/>
    <s v="Bantleon Invest AG"/>
    <m/>
    <m/>
    <m/>
    <m/>
    <m/>
    <m/>
    <m/>
    <m/>
    <m/>
    <m/>
    <n v="1.2999999999999999E-5"/>
    <m/>
    <m/>
    <m/>
    <m/>
    <m/>
    <m/>
    <m/>
    <m/>
    <m/>
    <m/>
    <n v="1206000"/>
    <m/>
    <m/>
    <m/>
    <m/>
    <m/>
    <m/>
    <m/>
    <m/>
    <m/>
    <m/>
    <n v="0"/>
    <m/>
    <m/>
    <m/>
    <m/>
    <m/>
    <m/>
    <m/>
    <m/>
    <m/>
    <m/>
    <n v="3618000003.1999998"/>
    <m/>
    <m/>
    <m/>
    <m/>
    <m/>
    <m/>
    <m/>
    <m/>
    <m/>
    <m/>
    <d v="2015-02-28T00:00:00"/>
    <m/>
    <m/>
    <m/>
    <m/>
    <m/>
    <m/>
    <m/>
    <m/>
    <m/>
    <m/>
    <s v="Aggregate MFs"/>
    <s v="Investment Managers"/>
    <s v="Investment Advisor"/>
    <n v="13761230521603.199"/>
    <s v="GARP"/>
    <m/>
    <m/>
    <m/>
    <m/>
    <m/>
    <m/>
    <m/>
    <m/>
    <m/>
    <m/>
    <s v="Low"/>
    <s v="Hanover"/>
    <s v="Germany"/>
  </r>
  <r>
    <n v="501"/>
    <s v="Baring Asset Management (Asia) Limited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9-30T00:00:00"/>
    <m/>
    <m/>
    <m/>
    <m/>
    <m/>
    <m/>
    <m/>
    <m/>
    <m/>
    <m/>
    <s v="Aggregate MFs"/>
    <s v="Investment Managers"/>
    <s v="Investment Advisor/Hedge Fund"/>
    <n v="920890574894.40002"/>
    <s v="GARP"/>
    <m/>
    <m/>
    <m/>
    <m/>
    <m/>
    <m/>
    <m/>
    <m/>
    <m/>
    <m/>
    <s v="Low"/>
    <s v="Central (Hong Kong)"/>
    <s v="Hong Kong"/>
  </r>
  <r>
    <n v="502"/>
    <s v="Baron Capital Management, Inc."/>
    <m/>
    <m/>
    <m/>
    <m/>
    <m/>
    <m/>
    <m/>
    <n v="0"/>
    <n v="0"/>
    <n v="9.5200000000000005E-4"/>
    <m/>
    <m/>
    <m/>
    <m/>
    <m/>
    <m/>
    <m/>
    <m/>
    <n v="0"/>
    <n v="0"/>
    <n v="88000000"/>
    <m/>
    <m/>
    <m/>
    <m/>
    <m/>
    <m/>
    <m/>
    <m/>
    <n v="0"/>
    <n v="-88000000"/>
    <n v="88000000"/>
    <m/>
    <m/>
    <m/>
    <m/>
    <m/>
    <m/>
    <m/>
    <m/>
    <n v="0"/>
    <n v="0"/>
    <n v="254650000184.10001"/>
    <m/>
    <m/>
    <m/>
    <m/>
    <m/>
    <m/>
    <m/>
    <m/>
    <d v="2017-12-31T00:00:00"/>
    <d v="2017-12-31T00:00:00"/>
    <d v="2016-12-31T00:00:00"/>
    <m/>
    <m/>
    <m/>
    <m/>
    <m/>
    <m/>
    <m/>
    <m/>
    <s v="Aggregate MFs"/>
    <s v="Aggregate MFs"/>
    <s v="Aggregate MFs"/>
    <m/>
    <s v="Investment Managers"/>
    <s v="Investment Advisor/Hedge Fund"/>
    <n v="678749594220044"/>
    <s v="Growth"/>
    <m/>
    <m/>
    <m/>
    <m/>
    <m/>
    <m/>
    <m/>
    <s v="Low"/>
    <s v="Low"/>
    <s v="Low"/>
    <m/>
    <s v="New York"/>
    <s v="United States"/>
  </r>
  <r>
    <n v="503"/>
    <s v="Berenberg Bank (Asset Management)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9-30T00:00:00"/>
    <d v="2015-09-30T00:00:00"/>
    <m/>
    <m/>
    <m/>
    <m/>
    <m/>
    <m/>
    <m/>
    <m/>
    <m/>
    <s v="Aggregate MFs"/>
    <s v="Aggregate MFs"/>
    <s v="Investment Managers"/>
    <s v="Bank and Trust"/>
    <n v="42998557468228.797"/>
    <s v="GARP"/>
    <m/>
    <m/>
    <m/>
    <m/>
    <m/>
    <m/>
    <m/>
    <m/>
    <m/>
    <s v="Moderate"/>
    <s v="Moderate"/>
    <s v="Hamburg"/>
    <s v="Germany"/>
  </r>
  <r>
    <n v="504"/>
    <s v="Berner Kantonalbank AG"/>
    <m/>
    <m/>
    <m/>
    <m/>
    <n v="0"/>
    <n v="0"/>
    <n v="1.9999999999999999E-6"/>
    <n v="1.9999999999999999E-6"/>
    <n v="1.9999999999999999E-6"/>
    <m/>
    <m/>
    <m/>
    <m/>
    <m/>
    <m/>
    <n v="0"/>
    <n v="0"/>
    <n v="198900"/>
    <n v="197170"/>
    <n v="189758"/>
    <m/>
    <m/>
    <m/>
    <m/>
    <m/>
    <m/>
    <n v="0"/>
    <n v="-198900"/>
    <n v="1730"/>
    <n v="7412"/>
    <n v="189758"/>
    <m/>
    <m/>
    <m/>
    <m/>
    <m/>
    <m/>
    <n v="0"/>
    <n v="0"/>
    <n v="761085371.20000005"/>
    <n v="718072793.75"/>
    <n v="759032016.70000005"/>
    <m/>
    <m/>
    <m/>
    <m/>
    <m/>
    <m/>
    <d v="2020-08-31T00:00:00"/>
    <d v="2020-08-31T00:00:00"/>
    <d v="2019-12-31T00:00:00"/>
    <d v="2018-12-31T00:00:00"/>
    <d v="2017-12-31T00:00:00"/>
    <m/>
    <m/>
    <m/>
    <m/>
    <m/>
    <m/>
    <s v="Aggregate MFs"/>
    <s v="Aggregate MFs"/>
    <s v="Aggregate MFs"/>
    <s v="Aggregate MFs"/>
    <s v="Aggregate MFs"/>
    <m/>
    <m/>
    <s v="Investment Managers"/>
    <s v="Bank and Trust"/>
    <n v="75826609033489.203"/>
    <s v="Core Value"/>
    <m/>
    <m/>
    <m/>
    <m/>
    <s v="Low"/>
    <s v="Moderate"/>
    <s v="Low"/>
    <s v="Low"/>
    <s v="High"/>
    <m/>
    <m/>
    <s v="Berne"/>
    <s v="Switzerland"/>
  </r>
  <r>
    <n v="505"/>
    <s v="BlackRock Asset Management Canada Limited"/>
    <m/>
    <m/>
    <m/>
    <m/>
    <m/>
    <m/>
    <m/>
    <m/>
    <n v="3.9999999999999998E-6"/>
    <n v="3.9999999999999998E-6"/>
    <n v="3.9999999999999998E-6"/>
    <m/>
    <m/>
    <m/>
    <m/>
    <m/>
    <m/>
    <m/>
    <m/>
    <n v="331200"/>
    <n v="331200"/>
    <n v="341600"/>
    <m/>
    <m/>
    <m/>
    <m/>
    <m/>
    <m/>
    <m/>
    <m/>
    <n v="0"/>
    <n v="-10400"/>
    <n v="-48800"/>
    <m/>
    <m/>
    <m/>
    <m/>
    <m/>
    <m/>
    <m/>
    <m/>
    <n v="836279990.63"/>
    <n v="836279990.63"/>
    <n v="790236566.54999995"/>
    <m/>
    <m/>
    <m/>
    <m/>
    <m/>
    <m/>
    <m/>
    <m/>
    <d v="2016-07-31T00:00:00"/>
    <d v="2016-07-31T00:00:00"/>
    <d v="2015-12-31T00:00:00"/>
    <m/>
    <m/>
    <m/>
    <m/>
    <m/>
    <m/>
    <m/>
    <m/>
    <s v="Aggregate MFs"/>
    <s v="Aggregate MFs"/>
    <s v="Aggregate MFs"/>
    <s v="Investment Managers"/>
    <s v="Investment Advisor/Hedge Fund"/>
    <n v="1964724687243960"/>
    <s v="Index"/>
    <m/>
    <m/>
    <m/>
    <m/>
    <m/>
    <m/>
    <m/>
    <m/>
    <s v="Low"/>
    <s v="Low"/>
    <s v="Low"/>
    <s v="Toronto"/>
    <s v="Canada"/>
  </r>
  <r>
    <n v="506"/>
    <s v="BlackRock Asset Management Ireland Limited"/>
    <m/>
    <m/>
    <m/>
    <m/>
    <m/>
    <m/>
    <m/>
    <m/>
    <m/>
    <n v="1.5200000000000001E-4"/>
    <n v="1.5200000000000001E-4"/>
    <m/>
    <m/>
    <m/>
    <m/>
    <m/>
    <m/>
    <m/>
    <m/>
    <m/>
    <n v="14039888"/>
    <n v="14039888"/>
    <m/>
    <m/>
    <m/>
    <m/>
    <m/>
    <m/>
    <m/>
    <m/>
    <m/>
    <n v="0"/>
    <n v="231600"/>
    <m/>
    <m/>
    <m/>
    <m/>
    <m/>
    <m/>
    <m/>
    <m/>
    <m/>
    <n v="32479021564.799999"/>
    <n v="32479021564.799999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"/>
    <n v="8575533956208570"/>
    <s v="Index"/>
    <m/>
    <m/>
    <m/>
    <m/>
    <m/>
    <m/>
    <m/>
    <m/>
    <m/>
    <s v="Low"/>
    <s v="Low"/>
    <s v="Dublin"/>
    <s v="Ireland"/>
  </r>
  <r>
    <n v="507"/>
    <s v="BlackRock Japan Co., Ltd."/>
    <m/>
    <m/>
    <m/>
    <m/>
    <m/>
    <m/>
    <m/>
    <n v="0"/>
    <n v="0"/>
    <n v="6.9999999999999999E-6"/>
    <n v="5.0000000000000004E-6"/>
    <m/>
    <m/>
    <m/>
    <m/>
    <m/>
    <m/>
    <m/>
    <n v="0"/>
    <n v="0"/>
    <n v="606000"/>
    <n v="468800"/>
    <m/>
    <m/>
    <m/>
    <m/>
    <m/>
    <m/>
    <m/>
    <n v="0"/>
    <n v="-606000"/>
    <n v="137200"/>
    <n v="0"/>
    <m/>
    <m/>
    <m/>
    <m/>
    <m/>
    <m/>
    <m/>
    <n v="0"/>
    <n v="0"/>
    <n v="1367287439.5"/>
    <n v="1262829954.1900001"/>
    <m/>
    <m/>
    <m/>
    <m/>
    <m/>
    <m/>
    <m/>
    <d v="2017-10-31T00:00:00"/>
    <d v="2017-10-31T00:00:00"/>
    <d v="2016-05-31T00:00:00"/>
    <d v="2015-05-31T00:00:00"/>
    <m/>
    <m/>
    <m/>
    <m/>
    <m/>
    <m/>
    <m/>
    <s v="Aggregate MFs"/>
    <s v="Aggregate MFs"/>
    <s v="Aggregate MFs"/>
    <s v="Aggregate MFs"/>
    <s v="Investment Managers"/>
    <s v="Investment Advisor"/>
    <n v="2501401460031780"/>
    <s v="Index"/>
    <m/>
    <m/>
    <m/>
    <m/>
    <m/>
    <m/>
    <m/>
    <s v="Moderate"/>
    <s v="Low"/>
    <s v="Low"/>
    <s v="Low"/>
    <s v="Chiyoda-ku (Tokyo)"/>
    <s v="Japan"/>
  </r>
  <r>
    <n v="508"/>
    <s v="BNP Paribas Asset Management Asia Limited"/>
    <m/>
    <m/>
    <m/>
    <m/>
    <m/>
    <n v="1.6699999999999999E-4"/>
    <n v="1.6699999999999999E-4"/>
    <n v="1.44E-4"/>
    <n v="2.0100000000000001E-4"/>
    <n v="1.95E-4"/>
    <n v="1.6100000000000001E-4"/>
    <m/>
    <m/>
    <m/>
    <m/>
    <m/>
    <n v="15454504"/>
    <n v="15454504"/>
    <n v="13334504"/>
    <n v="18536304"/>
    <n v="18063504"/>
    <n v="14832704"/>
    <m/>
    <m/>
    <m/>
    <m/>
    <m/>
    <n v="0"/>
    <n v="2120000"/>
    <n v="-5201800"/>
    <n v="472800"/>
    <n v="3230800"/>
    <n v="-2742800"/>
    <m/>
    <m/>
    <m/>
    <m/>
    <m/>
    <n v="54283945290.080002"/>
    <n v="54283945290.080002"/>
    <n v="48562891581.25"/>
    <n v="74145216058.949997"/>
    <n v="52271264699.400002"/>
    <n v="34313073770.549999"/>
    <m/>
    <m/>
    <m/>
    <m/>
    <m/>
    <d v="2019-10-31T00:00:00"/>
    <d v="2019-10-31T00:00:00"/>
    <d v="2018-12-31T00:00:00"/>
    <d v="2017-12-31T00:00:00"/>
    <d v="2016-12-31T00:00:00"/>
    <d v="2015-12-31T00:00:00"/>
    <m/>
    <m/>
    <m/>
    <m/>
    <m/>
    <s v="Aggregate MFs"/>
    <s v="Aggregate MFs"/>
    <s v="Aggregate MFs"/>
    <s v="Aggregate MFs"/>
    <s v="Aggregate MFs"/>
    <s v="Aggregate MFs"/>
    <s v="Investment Managers"/>
    <s v="Investment Advisor/Hedge Fund"/>
    <n v="11034174568094.4"/>
    <s v="GARP"/>
    <m/>
    <m/>
    <m/>
    <m/>
    <m/>
    <s v="Low"/>
    <s v="Moderate"/>
    <s v="Low"/>
    <s v="Moderate"/>
    <s v="Moderate"/>
    <s v="Moderate"/>
    <s v="Quarry Bay"/>
    <s v="Hong Kong"/>
  </r>
  <r>
    <n v="509"/>
    <s v="BNP Paribas Asset Management Nederland N.V."/>
    <m/>
    <m/>
    <m/>
    <m/>
    <m/>
    <m/>
    <m/>
    <m/>
    <m/>
    <n v="0"/>
    <n v="0"/>
    <m/>
    <m/>
    <m/>
    <m/>
    <m/>
    <m/>
    <m/>
    <m/>
    <m/>
    <n v="1124"/>
    <n v="1124"/>
    <m/>
    <m/>
    <m/>
    <m/>
    <m/>
    <m/>
    <m/>
    <m/>
    <m/>
    <n v="0"/>
    <n v="1124"/>
    <m/>
    <m/>
    <m/>
    <m/>
    <m/>
    <m/>
    <m/>
    <m/>
    <m/>
    <n v="2600126.7000000002"/>
    <n v="2600126.7000000002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/Hedge Fund"/>
    <n v="31282475365345.199"/>
    <s v="Core Growth"/>
    <m/>
    <m/>
    <m/>
    <m/>
    <m/>
    <m/>
    <m/>
    <m/>
    <m/>
    <s v="Moderate"/>
    <s v="Moderate"/>
    <s v="Amsterdam"/>
    <s v="Netherlands"/>
  </r>
  <r>
    <n v="510"/>
    <s v="BNP Paribas Asset Management USA, Inc."/>
    <m/>
    <m/>
    <m/>
    <m/>
    <m/>
    <m/>
    <m/>
    <m/>
    <n v="0"/>
    <n v="0"/>
    <n v="2.32E-4"/>
    <m/>
    <m/>
    <m/>
    <m/>
    <m/>
    <m/>
    <m/>
    <m/>
    <n v="0"/>
    <n v="0"/>
    <n v="21402800"/>
    <m/>
    <m/>
    <m/>
    <m/>
    <m/>
    <m/>
    <m/>
    <m/>
    <n v="0"/>
    <n v="-21402800"/>
    <n v="235600"/>
    <m/>
    <m/>
    <m/>
    <m/>
    <m/>
    <m/>
    <m/>
    <m/>
    <n v="0"/>
    <n v="0"/>
    <n v="49511933674.050003"/>
    <m/>
    <m/>
    <m/>
    <m/>
    <m/>
    <m/>
    <m/>
    <m/>
    <d v="2016-03-31T00:00:00"/>
    <d v="2016-03-31T00:00:00"/>
    <d v="2015-12-31T00:00:00"/>
    <m/>
    <m/>
    <m/>
    <m/>
    <m/>
    <m/>
    <m/>
    <m/>
    <s v="Aggregate MFs"/>
    <s v="Aggregate MFs"/>
    <s v="Aggregate MFs"/>
    <s v="Investment Managers"/>
    <s v="Investment Advisor"/>
    <n v="187032943636176"/>
    <s v="GARP"/>
    <m/>
    <m/>
    <m/>
    <m/>
    <m/>
    <m/>
    <m/>
    <m/>
    <s v="Moderate"/>
    <s v="Moderate"/>
    <s v="High"/>
    <s v="Boston"/>
    <s v="United States"/>
  </r>
  <r>
    <n v="511"/>
    <s v="BNY Mellon Asset Management"/>
    <m/>
    <m/>
    <m/>
    <m/>
    <m/>
    <m/>
    <m/>
    <n v="6.0000000000000002E-6"/>
    <n v="6.0000000000000002E-6"/>
    <m/>
    <m/>
    <m/>
    <m/>
    <m/>
    <m/>
    <m/>
    <m/>
    <m/>
    <n v="555620"/>
    <n v="555620"/>
    <m/>
    <m/>
    <m/>
    <m/>
    <m/>
    <m/>
    <m/>
    <m/>
    <m/>
    <n v="0"/>
    <n v="555620"/>
    <m/>
    <m/>
    <m/>
    <m/>
    <m/>
    <m/>
    <m/>
    <m/>
    <m/>
    <n v="1819655474.4200001"/>
    <n v="1819655474.4200001"/>
    <m/>
    <m/>
    <m/>
    <m/>
    <m/>
    <m/>
    <m/>
    <m/>
    <m/>
    <d v="2017-08-31T00:00:00"/>
    <d v="2017-08-31T00:00:00"/>
    <m/>
    <m/>
    <m/>
    <m/>
    <m/>
    <m/>
    <m/>
    <m/>
    <m/>
    <s v="Aggregate MFs"/>
    <s v="Aggregate MFs"/>
    <m/>
    <m/>
    <s v="Investment Managers"/>
    <s v="Investment Advisor"/>
    <n v="1981864510422120"/>
    <s v="Income Value"/>
    <m/>
    <m/>
    <m/>
    <m/>
    <m/>
    <m/>
    <m/>
    <s v="Low"/>
    <s v="Low"/>
    <m/>
    <m/>
    <s v="New York"/>
    <s v="United States"/>
  </r>
  <r>
    <n v="512"/>
    <s v="BNY Mellon Serviços Financeiros DTVM S.A."/>
    <m/>
    <m/>
    <m/>
    <m/>
    <m/>
    <m/>
    <m/>
    <n v="9.0000000000000002E-6"/>
    <n v="9.0000000000000002E-6"/>
    <m/>
    <m/>
    <m/>
    <m/>
    <m/>
    <m/>
    <m/>
    <m/>
    <m/>
    <n v="788000"/>
    <n v="788000"/>
    <m/>
    <m/>
    <m/>
    <m/>
    <m/>
    <m/>
    <m/>
    <m/>
    <m/>
    <n v="0"/>
    <n v="788000"/>
    <m/>
    <m/>
    <m/>
    <m/>
    <m/>
    <m/>
    <m/>
    <m/>
    <m/>
    <n v="2915599940.4000001"/>
    <n v="2915599940.4000001"/>
    <m/>
    <m/>
    <m/>
    <m/>
    <m/>
    <m/>
    <m/>
    <m/>
    <m/>
    <d v="2017-11-30T00:00:00"/>
    <d v="2017-11-30T00:00:00"/>
    <m/>
    <m/>
    <m/>
    <m/>
    <m/>
    <m/>
    <m/>
    <m/>
    <m/>
    <s v="Aggregate MFs"/>
    <s v="Aggregate MFs"/>
    <m/>
    <m/>
    <s v="Investment Managers"/>
    <s v="Investment Advisor"/>
    <n v="24819565540608"/>
    <m/>
    <m/>
    <m/>
    <m/>
    <m/>
    <m/>
    <m/>
    <m/>
    <s v="High"/>
    <s v="Low"/>
    <m/>
    <m/>
    <s v="Rio de Janeiro"/>
    <s v="Brazil"/>
  </r>
  <r>
    <n v="513"/>
    <s v="BOS Wealth Management Malaysia Berhad"/>
    <m/>
    <m/>
    <m/>
    <m/>
    <m/>
    <m/>
    <m/>
    <m/>
    <n v="0"/>
    <n v="0"/>
    <n v="3.0000000000000001E-6"/>
    <m/>
    <m/>
    <m/>
    <m/>
    <m/>
    <m/>
    <m/>
    <m/>
    <n v="0"/>
    <n v="0"/>
    <n v="259600"/>
    <m/>
    <m/>
    <m/>
    <m/>
    <m/>
    <m/>
    <m/>
    <m/>
    <n v="0"/>
    <n v="-259600"/>
    <n v="0"/>
    <m/>
    <m/>
    <m/>
    <m/>
    <m/>
    <m/>
    <m/>
    <m/>
    <n v="0"/>
    <n v="0"/>
    <n v="600542835.75"/>
    <m/>
    <m/>
    <m/>
    <m/>
    <m/>
    <m/>
    <m/>
    <m/>
    <d v="2016-06-30T00:00:00"/>
    <d v="2016-06-30T00:00:00"/>
    <d v="2015-12-31T00:00:00"/>
    <m/>
    <m/>
    <m/>
    <m/>
    <m/>
    <m/>
    <m/>
    <m/>
    <s v="Aggregate MFs"/>
    <s v="Aggregate MFs"/>
    <s v="Aggregate MFs"/>
    <s v="Investment Managers"/>
    <s v="Investment Advisor"/>
    <n v="102027117448.8"/>
    <s v="Core Value"/>
    <m/>
    <m/>
    <m/>
    <m/>
    <m/>
    <m/>
    <m/>
    <m/>
    <s v="Moderate"/>
    <s v="Moderate"/>
    <s v="Low"/>
    <s v="Petaling Jaya"/>
    <s v="Malaysia"/>
  </r>
  <r>
    <n v="514"/>
    <s v="Bosera Asset Management Co.,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6-30T00:00:00"/>
    <m/>
    <m/>
    <m/>
    <m/>
    <m/>
    <m/>
    <m/>
    <m/>
    <m/>
    <m/>
    <s v="Aggregate MFs"/>
    <s v="Investment Managers"/>
    <s v="Investment Advisor"/>
    <n v="405433679752830"/>
    <s v="GARP"/>
    <m/>
    <m/>
    <m/>
    <m/>
    <m/>
    <m/>
    <m/>
    <m/>
    <m/>
    <m/>
    <s v="Moderate"/>
    <s v="Shenzhen"/>
    <s v="China (Mainland)"/>
  </r>
  <r>
    <n v="515"/>
    <s v="Botswana Insurance Fund Management"/>
    <m/>
    <m/>
    <m/>
    <m/>
    <m/>
    <m/>
    <m/>
    <m/>
    <m/>
    <m/>
    <n v="9.3999999999999994E-5"/>
    <m/>
    <m/>
    <m/>
    <m/>
    <m/>
    <m/>
    <m/>
    <m/>
    <m/>
    <m/>
    <n v="8680000"/>
    <m/>
    <m/>
    <m/>
    <m/>
    <m/>
    <m/>
    <m/>
    <m/>
    <m/>
    <m/>
    <n v="0"/>
    <m/>
    <m/>
    <m/>
    <m/>
    <m/>
    <m/>
    <m/>
    <m/>
    <m/>
    <m/>
    <n v="20506500024.599998"/>
    <m/>
    <m/>
    <m/>
    <m/>
    <m/>
    <m/>
    <m/>
    <m/>
    <m/>
    <m/>
    <d v="2014-03-31T00:00:00"/>
    <m/>
    <m/>
    <m/>
    <m/>
    <m/>
    <m/>
    <m/>
    <m/>
    <m/>
    <m/>
    <s v="Aggregate MFs"/>
    <s v="Investment Managers"/>
    <s v="Investment Advisor/Hedge Fund"/>
    <n v="5923934522497.2002"/>
    <s v="Hedge Fund"/>
    <m/>
    <m/>
    <m/>
    <m/>
    <m/>
    <m/>
    <m/>
    <m/>
    <m/>
    <m/>
    <m/>
    <s v="Gaborone"/>
    <s v="Botswana"/>
  </r>
  <r>
    <n v="516"/>
    <s v="BPI Gestão de Activos - S.G.F.I.M., S.A."/>
    <m/>
    <m/>
    <m/>
    <m/>
    <m/>
    <n v="0"/>
    <n v="0"/>
    <n v="9.9999999999999995E-7"/>
    <n v="9.9999999999999995E-7"/>
    <n v="9.9999999999999995E-7"/>
    <m/>
    <m/>
    <m/>
    <m/>
    <m/>
    <m/>
    <n v="0"/>
    <n v="0"/>
    <n v="47184"/>
    <n v="72400"/>
    <n v="46400"/>
    <m/>
    <m/>
    <m/>
    <m/>
    <m/>
    <m/>
    <n v="0"/>
    <n v="-47184"/>
    <n v="-25216"/>
    <n v="26000"/>
    <n v="46400"/>
    <m/>
    <m/>
    <m/>
    <m/>
    <m/>
    <m/>
    <n v="0"/>
    <n v="0"/>
    <n v="171839325"/>
    <n v="289599998.89999998"/>
    <n v="121800001.5"/>
    <m/>
    <m/>
    <m/>
    <m/>
    <m/>
    <m/>
    <d v="2019-04-30T00:00:00"/>
    <d v="2019-04-30T00:00:00"/>
    <d v="2018-12-31T00:00:00"/>
    <d v="2017-12-31T00:00:00"/>
    <d v="2016-11-30T00:00:00"/>
    <m/>
    <m/>
    <m/>
    <m/>
    <m/>
    <m/>
    <s v="Aggregate MFs"/>
    <s v="Aggregate MFs"/>
    <s v="Aggregate MFs"/>
    <s v="Aggregate MFs"/>
    <s v="Aggregate MFs"/>
    <m/>
    <s v="Investment Managers"/>
    <s v="Investment Advisor"/>
    <n v="34859837070361.199"/>
    <s v="Core Growth"/>
    <m/>
    <m/>
    <m/>
    <m/>
    <m/>
    <s v="High"/>
    <s v="High"/>
    <s v="High"/>
    <s v="Moderate"/>
    <s v="Moderate"/>
    <m/>
    <s v="Lisbon"/>
    <s v="Portugal"/>
  </r>
  <r>
    <n v="517"/>
    <s v="Brand New Day Bank N.V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8-31T00:00:00"/>
    <m/>
    <m/>
    <m/>
    <m/>
    <m/>
    <m/>
    <m/>
    <m/>
    <m/>
    <m/>
    <s v="Aggregate MFs"/>
    <s v="Investment Managers"/>
    <s v="Investment Advisor"/>
    <n v="97757968951239.594"/>
    <s v="Momentum"/>
    <m/>
    <m/>
    <m/>
    <m/>
    <m/>
    <m/>
    <m/>
    <m/>
    <m/>
    <m/>
    <s v="High"/>
    <s v="Amsterdam"/>
    <s v="Netherlands"/>
  </r>
  <r>
    <n v="518"/>
    <s v="CA Indosuez Wealth (Group)"/>
    <m/>
    <m/>
    <m/>
    <m/>
    <m/>
    <m/>
    <m/>
    <m/>
    <m/>
    <m/>
    <n v="1.9999999999999999E-6"/>
    <m/>
    <m/>
    <m/>
    <m/>
    <m/>
    <m/>
    <m/>
    <m/>
    <m/>
    <m/>
    <n v="215476"/>
    <m/>
    <m/>
    <m/>
    <m/>
    <m/>
    <m/>
    <m/>
    <m/>
    <m/>
    <m/>
    <n v="0"/>
    <m/>
    <m/>
    <m/>
    <m/>
    <m/>
    <m/>
    <m/>
    <m/>
    <m/>
    <m/>
    <n v="509062023.14999998"/>
    <m/>
    <m/>
    <m/>
    <m/>
    <m/>
    <m/>
    <m/>
    <m/>
    <m/>
    <m/>
    <d v="2014-03-31T00:00:00"/>
    <m/>
    <m/>
    <m/>
    <m/>
    <m/>
    <m/>
    <m/>
    <m/>
    <m/>
    <m/>
    <s v="Aggregate MFs"/>
    <s v="Investment Managers"/>
    <s v="Investment Advisor"/>
    <n v="10329099256232.4"/>
    <s v="Growth"/>
    <m/>
    <m/>
    <m/>
    <m/>
    <m/>
    <m/>
    <m/>
    <m/>
    <m/>
    <m/>
    <s v="Moderate"/>
    <s v="Paris"/>
    <s v="France"/>
  </r>
  <r>
    <n v="519"/>
    <s v="Callan LLC"/>
    <m/>
    <m/>
    <m/>
    <m/>
    <n v="3.6999999999999998E-5"/>
    <n v="3.6999999999999998E-5"/>
    <m/>
    <m/>
    <n v="0"/>
    <n v="0"/>
    <n v="1.27E-4"/>
    <m/>
    <m/>
    <m/>
    <m/>
    <n v="3424800"/>
    <n v="3424800"/>
    <m/>
    <m/>
    <n v="0"/>
    <n v="0"/>
    <n v="11754800"/>
    <m/>
    <m/>
    <m/>
    <m/>
    <n v="0"/>
    <n v="3424800"/>
    <m/>
    <m/>
    <n v="0"/>
    <n v="-11754800"/>
    <n v="0"/>
    <m/>
    <m/>
    <m/>
    <m/>
    <n v="8493503933.6000004"/>
    <n v="8493503933.6000004"/>
    <m/>
    <m/>
    <n v="0"/>
    <n v="0"/>
    <n v="23289197483.700001"/>
    <m/>
    <m/>
    <m/>
    <m/>
    <d v="2020-09-30T00:00:00"/>
    <d v="2020-09-30T00:00:00"/>
    <m/>
    <m/>
    <d v="2016-03-31T00:00:00"/>
    <d v="2016-03-31T00:00:00"/>
    <d v="2015-09-30T00:00:00"/>
    <m/>
    <m/>
    <m/>
    <m/>
    <s v="Aggregate MFs"/>
    <s v="Aggregate MFs"/>
    <m/>
    <m/>
    <s v="Aggregate MFs"/>
    <s v="Aggregate MFs"/>
    <s v="Aggregate MFs"/>
    <s v="Investment Managers"/>
    <s v="Investment Advisor/Hedge Fund"/>
    <n v="232960062367301"/>
    <s v="GARP"/>
    <m/>
    <m/>
    <m/>
    <m/>
    <m/>
    <s v="Low"/>
    <m/>
    <m/>
    <s v="Low"/>
    <s v="Low"/>
    <s v="Low"/>
    <s v="San Francisco"/>
    <s v="United States"/>
  </r>
  <r>
    <n v="520"/>
    <s v="Calvert Research and Management"/>
    <m/>
    <n v="0"/>
    <n v="0"/>
    <n v="2.8E-5"/>
    <n v="1.9000000000000001E-5"/>
    <n v="3.9999999999999998E-6"/>
    <m/>
    <m/>
    <m/>
    <m/>
    <m/>
    <m/>
    <n v="0"/>
    <n v="0"/>
    <n v="2547000"/>
    <n v="1750600"/>
    <n v="402600"/>
    <m/>
    <m/>
    <m/>
    <m/>
    <m/>
    <m/>
    <n v="0"/>
    <n v="-2547000"/>
    <n v="796400"/>
    <n v="1348000"/>
    <n v="402600"/>
    <m/>
    <m/>
    <m/>
    <m/>
    <m/>
    <m/>
    <n v="0"/>
    <n v="0"/>
    <n v="12639487584.9"/>
    <n v="6142516650"/>
    <n v="1273222454.4000001"/>
    <m/>
    <m/>
    <m/>
    <m/>
    <m/>
    <m/>
    <d v="2023-11-30T00:00:00"/>
    <d v="2023-11-30T00:00:00"/>
    <d v="2022-12-31T00:00:00"/>
    <d v="2021-12-31T00:00:00"/>
    <d v="2020-12-31T00:00:00"/>
    <m/>
    <m/>
    <m/>
    <m/>
    <m/>
    <m/>
    <s v="Aggregate MFs"/>
    <s v="Aggregate MFs"/>
    <s v="Aggregate MFs"/>
    <s v="Aggregate MFs"/>
    <s v="Aggregate MFs"/>
    <m/>
    <m/>
    <m/>
    <m/>
    <m/>
    <s v="Investment Managers"/>
    <s v="Investment Advisor"/>
    <n v="285384317114562"/>
    <s v="Core Value"/>
    <m/>
    <s v="Low"/>
    <s v="Low"/>
    <s v="Low"/>
    <s v="Low"/>
    <s v="Low"/>
    <m/>
    <m/>
    <m/>
    <m/>
    <m/>
    <s v="Bethesda"/>
    <s v="United States"/>
  </r>
  <r>
    <n v="521"/>
    <s v="Capital Asset Management Co., Ltd."/>
    <m/>
    <m/>
    <m/>
    <m/>
    <m/>
    <m/>
    <n v="1.9999999999999999E-6"/>
    <n v="1.9999999999999999E-6"/>
    <m/>
    <m/>
    <m/>
    <m/>
    <m/>
    <m/>
    <m/>
    <m/>
    <m/>
    <n v="146000"/>
    <n v="146000"/>
    <m/>
    <m/>
    <m/>
    <m/>
    <m/>
    <m/>
    <m/>
    <m/>
    <m/>
    <n v="0"/>
    <n v="146000"/>
    <m/>
    <m/>
    <m/>
    <m/>
    <m/>
    <m/>
    <m/>
    <m/>
    <m/>
    <n v="514650057.60000002"/>
    <n v="514650057.60000002"/>
    <m/>
    <m/>
    <m/>
    <m/>
    <m/>
    <m/>
    <m/>
    <m/>
    <m/>
    <d v="2018-05-31T00:00:00"/>
    <d v="2018-05-31T00:00:00"/>
    <m/>
    <m/>
    <m/>
    <m/>
    <m/>
    <m/>
    <m/>
    <m/>
    <m/>
    <s v="Aggregate MFs"/>
    <s v="Aggregate MFs"/>
    <m/>
    <m/>
    <m/>
    <s v="Investment Managers"/>
    <s v="Investment Advisor/Hedge Fund"/>
    <n v="2941803514062"/>
    <s v="Hedge Fund"/>
    <m/>
    <m/>
    <m/>
    <m/>
    <m/>
    <m/>
    <s v="Moderate"/>
    <s v="High"/>
    <m/>
    <m/>
    <m/>
    <s v="Chiyoda-ku (Tokyo)"/>
    <s v="Japan"/>
  </r>
  <r>
    <n v="522"/>
    <s v="Capital Guardian Trust Company_NLE"/>
    <m/>
    <m/>
    <m/>
    <m/>
    <m/>
    <n v="2.5999999999999998E-5"/>
    <n v="2.5999999999999998E-5"/>
    <n v="1.9000000000000001E-5"/>
    <n v="1.9000000000000001E-5"/>
    <n v="7.9999999999999996E-6"/>
    <n v="3.9999999999999998E-6"/>
    <m/>
    <m/>
    <m/>
    <m/>
    <m/>
    <n v="2439824"/>
    <n v="2439824"/>
    <n v="1799824"/>
    <n v="1799824"/>
    <n v="782824"/>
    <n v="362824"/>
    <m/>
    <m/>
    <m/>
    <m/>
    <m/>
    <n v="0"/>
    <n v="640000"/>
    <n v="0"/>
    <n v="1017000"/>
    <n v="420000"/>
    <n v="0"/>
    <m/>
    <m/>
    <m/>
    <m/>
    <m/>
    <n v="9789793843.75"/>
    <n v="9789793843.75"/>
    <n v="6554773881.25"/>
    <n v="7199296019.6000004"/>
    <n v="2265296910.3000002"/>
    <n v="839334876.75"/>
    <m/>
    <m/>
    <m/>
    <m/>
    <m/>
    <d v="2019-06-30T00:00:00"/>
    <d v="2019-06-30T00:00:00"/>
    <d v="2018-12-31T00:00:00"/>
    <d v="2017-12-31T00:00:00"/>
    <d v="2016-12-31T00:00:00"/>
    <d v="2015-12-31T00:00:00"/>
    <m/>
    <m/>
    <m/>
    <m/>
    <m/>
    <s v="Aggregate MFs"/>
    <s v="Aggregate MFs"/>
    <s v="Aggregate MFs"/>
    <s v="Aggregate MFs"/>
    <s v="Aggregate MFs"/>
    <s v="Aggregate MFs"/>
    <s v="Investment Managers"/>
    <s v="Bank and Trust"/>
    <n v="28602122540139.602"/>
    <m/>
    <m/>
    <m/>
    <m/>
    <m/>
    <m/>
    <s v="Low"/>
    <s v="Low"/>
    <s v="Low"/>
    <s v="Moderate"/>
    <s v="Low"/>
    <s v="Low"/>
    <s v="Los Angeles"/>
    <s v="United States"/>
  </r>
  <r>
    <n v="523"/>
    <s v="Capital International Ltd."/>
    <m/>
    <m/>
    <m/>
    <m/>
    <n v="6.9999999999999999E-6"/>
    <n v="6.9999999999999999E-6"/>
    <m/>
    <m/>
    <m/>
    <m/>
    <m/>
    <m/>
    <m/>
    <m/>
    <m/>
    <n v="627612"/>
    <n v="627612"/>
    <m/>
    <m/>
    <m/>
    <m/>
    <m/>
    <m/>
    <m/>
    <m/>
    <m/>
    <n v="0"/>
    <n v="627612"/>
    <m/>
    <m/>
    <m/>
    <m/>
    <m/>
    <m/>
    <m/>
    <m/>
    <m/>
    <n v="1984823006.4000001"/>
    <n v="1984823006.4000001"/>
    <m/>
    <m/>
    <m/>
    <m/>
    <m/>
    <m/>
    <m/>
    <m/>
    <m/>
    <d v="2020-12-31T00:00:00"/>
    <d v="2020-12-31T00:00:00"/>
    <m/>
    <m/>
    <m/>
    <m/>
    <m/>
    <m/>
    <m/>
    <m/>
    <m/>
    <s v="Aggregate MFs"/>
    <s v="Aggregate MFs"/>
    <m/>
    <m/>
    <m/>
    <m/>
    <m/>
    <s v="Investment Managers"/>
    <s v="Investment Advisor"/>
    <n v="53526096400135.203"/>
    <s v="GARP"/>
    <m/>
    <m/>
    <m/>
    <m/>
    <s v="Low"/>
    <s v="Moderate"/>
    <m/>
    <m/>
    <m/>
    <m/>
    <m/>
    <s v="London"/>
    <s v="United Kingdom"/>
  </r>
  <r>
    <n v="524"/>
    <s v="CBR Investment AG_NLE"/>
    <m/>
    <m/>
    <m/>
    <m/>
    <m/>
    <m/>
    <m/>
    <m/>
    <m/>
    <n v="7.9999999999999996E-6"/>
    <m/>
    <m/>
    <m/>
    <m/>
    <m/>
    <m/>
    <m/>
    <m/>
    <m/>
    <m/>
    <n v="700000"/>
    <m/>
    <m/>
    <m/>
    <m/>
    <m/>
    <m/>
    <m/>
    <m/>
    <m/>
    <m/>
    <n v="700000"/>
    <m/>
    <m/>
    <m/>
    <m/>
    <m/>
    <m/>
    <m/>
    <m/>
    <m/>
    <m/>
    <n v="1671249944.3499999"/>
    <m/>
    <m/>
    <m/>
    <m/>
    <m/>
    <m/>
    <m/>
    <m/>
    <m/>
    <m/>
    <d v="2016-02-29T00:00:00"/>
    <m/>
    <m/>
    <m/>
    <m/>
    <m/>
    <m/>
    <m/>
    <m/>
    <m/>
    <m/>
    <s v="Aggregate MFs"/>
    <m/>
    <s v="Investment Managers"/>
    <s v="Investment Advisor"/>
    <n v="230910597313.20001"/>
    <m/>
    <m/>
    <m/>
    <m/>
    <m/>
    <m/>
    <m/>
    <m/>
    <m/>
    <m/>
    <s v="Low"/>
    <m/>
    <s v="Balzers"/>
    <s v="Liechtenstein"/>
  </r>
  <r>
    <n v="525"/>
    <s v="CCB Principal Asset Management Co.,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6-30T00:00:00"/>
    <m/>
    <m/>
    <m/>
    <m/>
    <m/>
    <m/>
    <m/>
    <m/>
    <m/>
    <m/>
    <s v="Aggregate MFs"/>
    <s v="Investment Managers"/>
    <s v="Investment Advisor"/>
    <n v="80692870591317.594"/>
    <s v="Core Value"/>
    <m/>
    <m/>
    <m/>
    <m/>
    <m/>
    <m/>
    <m/>
    <m/>
    <m/>
    <m/>
    <s v="High"/>
    <s v="Beijing"/>
    <s v="China (Mainland)"/>
  </r>
  <r>
    <n v="526"/>
    <s v="Ceresio Investors"/>
    <m/>
    <m/>
    <m/>
    <m/>
    <m/>
    <m/>
    <n v="0"/>
    <n v="0"/>
    <n v="6.9999999999999999E-6"/>
    <n v="5.5999999999999999E-5"/>
    <n v="5.7000000000000003E-5"/>
    <m/>
    <m/>
    <m/>
    <m/>
    <m/>
    <m/>
    <n v="0"/>
    <n v="0"/>
    <n v="630600"/>
    <n v="5160000"/>
    <n v="5252000"/>
    <m/>
    <m/>
    <m/>
    <m/>
    <m/>
    <m/>
    <n v="0"/>
    <n v="-630600"/>
    <n v="-4529400"/>
    <n v="-92000"/>
    <n v="-1188000"/>
    <m/>
    <m/>
    <m/>
    <m/>
    <m/>
    <m/>
    <n v="0"/>
    <n v="0"/>
    <n v="2522399948.4499998"/>
    <n v="13286999955.9"/>
    <n v="12149656915.049999"/>
    <m/>
    <m/>
    <m/>
    <m/>
    <m/>
    <m/>
    <d v="2018-12-31T00:00:00"/>
    <d v="2018-12-31T00:00:00"/>
    <d v="2017-12-31T00:00:00"/>
    <d v="2016-03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/Hedge Fund"/>
    <n v="8580453400620"/>
    <s v="Specialty"/>
    <m/>
    <m/>
    <m/>
    <m/>
    <m/>
    <m/>
    <s v="Moderate"/>
    <s v="Moderate"/>
    <s v="Low"/>
    <s v="Moderate"/>
    <s v="Moderate"/>
    <s v="London"/>
    <s v="United Kingdom"/>
  </r>
  <r>
    <n v="527"/>
    <s v="Champlain Investment Partners, LLC"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6-06-30T00:00:00"/>
    <d v="2016-06-30T00:00:00"/>
    <m/>
    <m/>
    <m/>
    <m/>
    <m/>
    <m/>
    <m/>
    <m/>
    <m/>
    <s v="13F"/>
    <s v="13F"/>
    <m/>
    <s v="Investment Managers"/>
    <s v="Investment Advisor"/>
    <n v="259383050061595"/>
    <s v="Aggressive Growth"/>
    <m/>
    <m/>
    <m/>
    <m/>
    <m/>
    <m/>
    <m/>
    <m/>
    <s v="Low"/>
    <s v="Low"/>
    <m/>
    <s v="Burlington"/>
    <s v="United States"/>
  </r>
  <r>
    <n v="528"/>
    <s v="Chiron Investment Management LLC"/>
    <m/>
    <m/>
    <m/>
    <m/>
    <n v="0"/>
    <n v="0"/>
    <n v="3.0899999999999998E-4"/>
    <m/>
    <m/>
    <m/>
    <m/>
    <m/>
    <m/>
    <m/>
    <m/>
    <n v="0"/>
    <n v="0"/>
    <n v="28586000"/>
    <m/>
    <m/>
    <m/>
    <m/>
    <m/>
    <m/>
    <m/>
    <m/>
    <n v="0"/>
    <n v="-28586000"/>
    <n v="28586000"/>
    <m/>
    <m/>
    <m/>
    <m/>
    <m/>
    <m/>
    <m/>
    <m/>
    <n v="0"/>
    <n v="0"/>
    <n v="109383548724.39999"/>
    <m/>
    <m/>
    <m/>
    <m/>
    <m/>
    <m/>
    <m/>
    <m/>
    <d v="2020-03-31T00:00:00"/>
    <d v="2020-03-31T00:00:00"/>
    <d v="2019-12-31T00:00:00"/>
    <m/>
    <m/>
    <m/>
    <m/>
    <m/>
    <m/>
    <m/>
    <m/>
    <s v="Aggregate MFs"/>
    <s v="Aggregate MFs"/>
    <s v="Aggregate MFs"/>
    <m/>
    <m/>
    <m/>
    <m/>
    <s v="Investment Managers"/>
    <s v="Investment Advisor/Hedge Fund"/>
    <n v="5461419903908.4004"/>
    <s v="Hedge Fund"/>
    <m/>
    <m/>
    <m/>
    <m/>
    <s v="High"/>
    <s v="High"/>
    <s v="High"/>
    <m/>
    <m/>
    <m/>
    <m/>
    <s v="New York"/>
    <s v="United States"/>
  </r>
  <r>
    <n v="529"/>
    <s v="City National Rochdale, LLC"/>
    <m/>
    <m/>
    <m/>
    <m/>
    <m/>
    <m/>
    <m/>
    <n v="5.0000000000000001E-4"/>
    <n v="5.0000000000000001E-4"/>
    <n v="5.0000000000000001E-4"/>
    <n v="5.0000000000000001E-4"/>
    <m/>
    <m/>
    <m/>
    <m/>
    <m/>
    <m/>
    <m/>
    <n v="46217200"/>
    <n v="46217200"/>
    <n v="46217200"/>
    <n v="46217200"/>
    <m/>
    <m/>
    <m/>
    <m/>
    <m/>
    <m/>
    <m/>
    <n v="0"/>
    <n v="0"/>
    <n v="0"/>
    <n v="0"/>
    <m/>
    <m/>
    <m/>
    <m/>
    <m/>
    <m/>
    <m/>
    <n v="147317324956.75"/>
    <n v="147317324956.75"/>
    <n v="133741022612.10001"/>
    <n v="91567827498.449997"/>
    <m/>
    <m/>
    <m/>
    <m/>
    <m/>
    <m/>
    <m/>
    <d v="2017-06-30T00:00:00"/>
    <d v="2017-06-30T00:00:00"/>
    <d v="2016-12-31T00:00:00"/>
    <d v="2015-09-30T00:00:00"/>
    <m/>
    <m/>
    <m/>
    <m/>
    <m/>
    <m/>
    <m/>
    <s v="Aggregate MFs"/>
    <s v="Aggregate MFs"/>
    <s v="Aggregate MFs"/>
    <s v="Aggregate MFs"/>
    <s v="Investment Managers"/>
    <s v="Investment Advisor/Hedge Fund"/>
    <n v="604070170205792"/>
    <s v="Yield"/>
    <m/>
    <m/>
    <m/>
    <m/>
    <m/>
    <m/>
    <m/>
    <s v="Low"/>
    <s v="Low"/>
    <s v="Low"/>
    <s v="Low"/>
    <s v="New York"/>
    <s v="United States"/>
  </r>
  <r>
    <n v="530"/>
    <s v="Columbia Threadneedle (EM) Investments Limited"/>
    <m/>
    <m/>
    <m/>
    <n v="0"/>
    <n v="0"/>
    <n v="1.493E-3"/>
    <n v="1.7750000000000001E-3"/>
    <n v="2.7060000000000001E-3"/>
    <n v="1.8439999999999999E-3"/>
    <n v="2.8210000000000002E-3"/>
    <n v="1.4090000000000001E-3"/>
    <m/>
    <m/>
    <m/>
    <n v="0"/>
    <n v="0"/>
    <n v="137950416"/>
    <n v="163980016"/>
    <n v="250002416"/>
    <n v="170342616"/>
    <n v="260698016"/>
    <n v="130236016"/>
    <m/>
    <m/>
    <m/>
    <n v="0"/>
    <n v="-137950416"/>
    <n v="-26029600"/>
    <n v="-86022400"/>
    <n v="79659800"/>
    <n v="-90355400"/>
    <n v="130462000"/>
    <n v="1193600"/>
    <m/>
    <m/>
    <m/>
    <n v="0"/>
    <n v="0"/>
    <n v="436268190056.40002"/>
    <n v="627465055329.19995"/>
    <n v="910483077537.5"/>
    <n v="681370464113.5"/>
    <n v="754394884175.09998"/>
    <n v="301280065360.04999"/>
    <m/>
    <m/>
    <m/>
    <d v="2021-05-31T00:00:00"/>
    <d v="2021-05-31T00:00:00"/>
    <d v="2020-12-31T00:00:00"/>
    <d v="2019-12-31T00:00:00"/>
    <d v="2018-12-31T00:00:00"/>
    <d v="2017-12-31T00:00:00"/>
    <d v="2016-12-31T00:00:00"/>
    <d v="2015-12-31T00:00:00"/>
    <m/>
    <m/>
    <m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18779121175076.398"/>
    <s v="GARP"/>
    <m/>
    <m/>
    <m/>
    <s v="Low"/>
    <s v="Moderate"/>
    <s v="Moderate"/>
    <s v="Moderate"/>
    <s v="High"/>
    <s v="High"/>
    <s v="Moderate"/>
    <s v="Low"/>
    <s v="London"/>
    <s v="United Kingdom"/>
  </r>
  <r>
    <n v="531"/>
    <s v="Compass Efficient Model Portfolios, LLC_NLE"/>
    <m/>
    <m/>
    <m/>
    <m/>
    <m/>
    <m/>
    <m/>
    <n v="3.0000000000000001E-6"/>
    <n v="3.0000000000000001E-6"/>
    <n v="1.9999999999999999E-6"/>
    <n v="9.9999999999999995E-7"/>
    <m/>
    <m/>
    <m/>
    <m/>
    <m/>
    <m/>
    <m/>
    <n v="233200"/>
    <n v="233200"/>
    <n v="223200"/>
    <n v="129956"/>
    <m/>
    <m/>
    <m/>
    <m/>
    <m/>
    <m/>
    <m/>
    <n v="0"/>
    <n v="10000"/>
    <n v="93244"/>
    <n v="0"/>
    <m/>
    <m/>
    <m/>
    <m/>
    <m/>
    <m/>
    <m/>
    <n v="822029980.79999995"/>
    <n v="822029980.79999995"/>
    <n v="645885018.29999995"/>
    <n v="276156471.89999998"/>
    <m/>
    <m/>
    <m/>
    <m/>
    <m/>
    <m/>
    <m/>
    <d v="2017-10-31T00:00:00"/>
    <d v="2017-10-31T00:00:00"/>
    <d v="2016-12-31T00:00:00"/>
    <d v="2015-11-30T00:00:00"/>
    <m/>
    <m/>
    <m/>
    <m/>
    <m/>
    <m/>
    <m/>
    <s v="Aggregate MFs"/>
    <s v="Aggregate MFs"/>
    <s v="Aggregate MFs"/>
    <s v="Aggregate MFs"/>
    <s v="Investment Managers"/>
    <s v="Investment Advisor"/>
    <n v="982314741114"/>
    <m/>
    <m/>
    <m/>
    <m/>
    <m/>
    <m/>
    <m/>
    <m/>
    <m/>
    <s v="Moderate"/>
    <s v="Moderate"/>
    <s v="Moderate"/>
    <s v="Brentwood"/>
    <s v="United States"/>
  </r>
  <r>
    <n v="532"/>
    <s v="Conning Asia Pacific Limited"/>
    <m/>
    <m/>
    <m/>
    <n v="0"/>
    <n v="0"/>
    <n v="4.3999999999999999E-5"/>
    <m/>
    <m/>
    <m/>
    <m/>
    <m/>
    <m/>
    <m/>
    <m/>
    <n v="0"/>
    <n v="0"/>
    <n v="4057306"/>
    <m/>
    <m/>
    <m/>
    <m/>
    <m/>
    <m/>
    <m/>
    <m/>
    <n v="0"/>
    <n v="-4057306"/>
    <n v="4057306"/>
    <m/>
    <m/>
    <m/>
    <m/>
    <m/>
    <m/>
    <m/>
    <m/>
    <n v="0"/>
    <n v="0"/>
    <n v="12831230271.6"/>
    <m/>
    <m/>
    <m/>
    <m/>
    <m/>
    <m/>
    <m/>
    <m/>
    <d v="2021-06-30T00:00:00"/>
    <d v="2021-06-30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3860470317361.2002"/>
    <m/>
    <m/>
    <m/>
    <m/>
    <s v="Moderate"/>
    <s v="Moderate"/>
    <s v="High"/>
    <m/>
    <m/>
    <m/>
    <m/>
    <m/>
    <s v="Central (Hong Kong)"/>
    <s v="Hong Kong"/>
  </r>
  <r>
    <n v="533"/>
    <s v="Connor, Clark &amp; Lunn Investment Management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1-30T00:00:00"/>
    <m/>
    <m/>
    <m/>
    <m/>
    <m/>
    <m/>
    <m/>
    <m/>
    <m/>
    <m/>
    <s v="Aggregate MFs"/>
    <s v="Investment Managers"/>
    <s v="Investment Advisor/Hedge Fund"/>
    <n v="508165451029408"/>
    <s v="Core Value"/>
    <m/>
    <m/>
    <m/>
    <m/>
    <m/>
    <m/>
    <m/>
    <m/>
    <m/>
    <m/>
    <s v="Moderate"/>
    <s v="Vancouver"/>
    <s v="Canada"/>
  </r>
  <r>
    <n v="534"/>
    <s v="Continuous Capital, LLC"/>
    <m/>
    <m/>
    <n v="1.2E-5"/>
    <n v="1.2E-5"/>
    <m/>
    <m/>
    <m/>
    <m/>
    <m/>
    <m/>
    <m/>
    <m/>
    <m/>
    <n v="1118000"/>
    <n v="1118000"/>
    <m/>
    <m/>
    <m/>
    <m/>
    <m/>
    <m/>
    <m/>
    <m/>
    <m/>
    <n v="0"/>
    <n v="1118000"/>
    <m/>
    <m/>
    <m/>
    <m/>
    <m/>
    <m/>
    <m/>
    <m/>
    <m/>
    <n v="4416100059.8400002"/>
    <n v="4416100059.8400002"/>
    <m/>
    <m/>
    <m/>
    <m/>
    <m/>
    <m/>
    <m/>
    <m/>
    <m/>
    <d v="2022-03-31T00:00:00"/>
    <d v="2022-03-31T00:00:00"/>
    <m/>
    <m/>
    <m/>
    <m/>
    <m/>
    <m/>
    <m/>
    <m/>
    <m/>
    <s v="Aggregate MFs"/>
    <s v="Aggregate MFs"/>
    <m/>
    <m/>
    <m/>
    <m/>
    <m/>
    <m/>
    <m/>
    <s v="Investment Managers"/>
    <s v="Investment Advisor"/>
    <n v="803618439346.80005"/>
    <m/>
    <m/>
    <m/>
    <m/>
    <s v="High"/>
    <m/>
    <m/>
    <m/>
    <m/>
    <m/>
    <m/>
    <m/>
    <s v="Irving"/>
    <s v="United States"/>
  </r>
  <r>
    <n v="535"/>
    <s v="Covéa Finance S.A.S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5-31T00:00:00"/>
    <m/>
    <m/>
    <m/>
    <m/>
    <m/>
    <m/>
    <m/>
    <m/>
    <m/>
    <m/>
    <s v="Aggregate MFs"/>
    <s v="Investment Managers"/>
    <s v="Investment Advisor"/>
    <n v="47513679712989.602"/>
    <s v="GARP"/>
    <m/>
    <m/>
    <m/>
    <m/>
    <m/>
    <m/>
    <m/>
    <m/>
    <m/>
    <m/>
    <s v="Low"/>
    <s v="Paris"/>
    <s v="France"/>
  </r>
  <r>
    <n v="536"/>
    <s v="Credit Suisse (Luxembourg) S.A."/>
    <m/>
    <m/>
    <m/>
    <m/>
    <n v="2.24E-4"/>
    <n v="2.24E-4"/>
    <n v="1.7799999999999999E-4"/>
    <n v="6.3E-5"/>
    <m/>
    <m/>
    <m/>
    <m/>
    <m/>
    <m/>
    <m/>
    <n v="20678400"/>
    <n v="20678400"/>
    <n v="16412200"/>
    <n v="5849000"/>
    <m/>
    <m/>
    <m/>
    <m/>
    <m/>
    <m/>
    <m/>
    <n v="0"/>
    <n v="4266200"/>
    <n v="10563200"/>
    <n v="5849000"/>
    <m/>
    <m/>
    <m/>
    <m/>
    <m/>
    <m/>
    <m/>
    <n v="59967360037.699997"/>
    <n v="59967360037.699997"/>
    <n v="62800835336.800003"/>
    <n v="21301456181.25"/>
    <m/>
    <m/>
    <m/>
    <m/>
    <m/>
    <m/>
    <m/>
    <d v="2020-07-31T00:00:00"/>
    <d v="2020-07-31T00:00:00"/>
    <d v="2019-12-31T00:00:00"/>
    <d v="2018-12-31T00:00:00"/>
    <m/>
    <m/>
    <m/>
    <m/>
    <m/>
    <m/>
    <m/>
    <s v="Aggregate MFs"/>
    <s v="Aggregate MFs"/>
    <s v="Aggregate MFs"/>
    <s v="Aggregate MFs"/>
    <m/>
    <m/>
    <m/>
    <s v="Investment Managers"/>
    <s v="Bank and Trust"/>
    <n v="1008383713287.6"/>
    <s v="GARP"/>
    <m/>
    <m/>
    <m/>
    <m/>
    <s v="Low"/>
    <s v="Low"/>
    <s v="Moderate"/>
    <s v="Moderate"/>
    <m/>
    <m/>
    <m/>
    <s v="Luxembourg"/>
    <s v="Luxembourg"/>
  </r>
  <r>
    <n v="537"/>
    <s v="Credit Suisse (Schweiz) AG_NLE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8-31T00:00:00"/>
    <d v="2015-08-31T00:00:00"/>
    <m/>
    <m/>
    <m/>
    <m/>
    <m/>
    <m/>
    <m/>
    <m/>
    <m/>
    <s v="Aggregate MFs"/>
    <s v="Aggregate MFs"/>
    <s v="Investment Managers"/>
    <s v="Bank and Trust"/>
    <n v="0"/>
    <m/>
    <m/>
    <m/>
    <m/>
    <m/>
    <m/>
    <m/>
    <m/>
    <m/>
    <m/>
    <s v="High"/>
    <s v="Moderate"/>
    <s v="Zurich"/>
    <s v="Switzerland"/>
  </r>
  <r>
    <n v="538"/>
    <s v="Credit Suisse Asset Management (Schweiz) AG_NLE"/>
    <m/>
    <m/>
    <m/>
    <m/>
    <m/>
    <n v="3.0000000000000001E-6"/>
    <m/>
    <m/>
    <m/>
    <m/>
    <m/>
    <m/>
    <m/>
    <m/>
    <m/>
    <m/>
    <n v="249000"/>
    <m/>
    <m/>
    <m/>
    <m/>
    <m/>
    <m/>
    <m/>
    <m/>
    <m/>
    <m/>
    <n v="249000"/>
    <m/>
    <m/>
    <m/>
    <m/>
    <m/>
    <m/>
    <m/>
    <m/>
    <m/>
    <m/>
    <n v="905737487.39999998"/>
    <m/>
    <m/>
    <m/>
    <m/>
    <m/>
    <m/>
    <m/>
    <m/>
    <m/>
    <m/>
    <d v="2020-02-29T00:00:00"/>
    <m/>
    <m/>
    <m/>
    <m/>
    <m/>
    <m/>
    <m/>
    <m/>
    <m/>
    <m/>
    <s v="Aggregate MFs"/>
    <m/>
    <m/>
    <m/>
    <m/>
    <m/>
    <s v="Investment Managers"/>
    <s v="Investment Advisor"/>
    <n v="7067292083048.4004"/>
    <m/>
    <m/>
    <m/>
    <m/>
    <m/>
    <m/>
    <s v="Low"/>
    <m/>
    <m/>
    <m/>
    <m/>
    <m/>
    <s v="Zurich"/>
    <s v="Switzerland"/>
  </r>
  <r>
    <n v="539"/>
    <s v="Credit Suisse Asset Management, LLC (US)_NLE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-247420"/>
    <m/>
    <m/>
    <m/>
    <m/>
    <m/>
    <m/>
    <m/>
    <m/>
    <m/>
    <n v="0"/>
    <n v="0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/Hedge Fund"/>
    <n v="0"/>
    <m/>
    <m/>
    <m/>
    <m/>
    <m/>
    <m/>
    <m/>
    <m/>
    <m/>
    <m/>
    <s v="High"/>
    <s v="Moderate"/>
    <s v="New York"/>
    <s v="United States"/>
  </r>
  <r>
    <n v="540"/>
    <s v="Credit Suisse Private Banking (Singapore)"/>
    <m/>
    <n v="6.0000000000000002E-6"/>
    <n v="6.0000000000000002E-6"/>
    <m/>
    <m/>
    <m/>
    <m/>
    <m/>
    <m/>
    <n v="0"/>
    <n v="0"/>
    <m/>
    <n v="529200"/>
    <n v="529200"/>
    <m/>
    <m/>
    <m/>
    <m/>
    <m/>
    <m/>
    <n v="0"/>
    <n v="0"/>
    <m/>
    <n v="0"/>
    <n v="529200"/>
    <m/>
    <m/>
    <m/>
    <m/>
    <m/>
    <m/>
    <n v="0"/>
    <n v="-3940000"/>
    <m/>
    <n v="2751840066.0999999"/>
    <n v="2751840066.0999999"/>
    <m/>
    <m/>
    <m/>
    <m/>
    <m/>
    <m/>
    <n v="0"/>
    <n v="0"/>
    <m/>
    <d v="2023-06-30T00:00:00"/>
    <d v="2023-06-30T00:00:00"/>
    <m/>
    <m/>
    <m/>
    <m/>
    <m/>
    <m/>
    <d v="2015-12-31T00:00:00"/>
    <d v="2015-12-31T00:00:00"/>
    <m/>
    <s v="Aggregate MFs"/>
    <s v="Aggregate MFs"/>
    <m/>
    <m/>
    <m/>
    <m/>
    <m/>
    <m/>
    <s v="Aggregate MFs"/>
    <s v="Aggregate MFs"/>
    <s v="Investment Managers"/>
    <s v="Bank and Trust"/>
    <n v="629452923144"/>
    <s v="Deep Value"/>
    <m/>
    <m/>
    <s v="High"/>
    <m/>
    <m/>
    <m/>
    <m/>
    <m/>
    <m/>
    <s v="Moderate"/>
    <s v="Low"/>
    <s v="Singapore"/>
    <s v="Singapore"/>
  </r>
  <r>
    <n v="541"/>
    <s v="Daiwa Asset Management (Singapore) Ltd."/>
    <m/>
    <m/>
    <n v="2.4000000000000001E-5"/>
    <n v="2.4000000000000001E-5"/>
    <n v="3.1999999999999999E-5"/>
    <n v="1.5999999999999999E-5"/>
    <n v="1.9999999999999999E-6"/>
    <n v="2.9E-5"/>
    <n v="0"/>
    <m/>
    <m/>
    <m/>
    <m/>
    <n v="2250000"/>
    <n v="2250000"/>
    <n v="2970000"/>
    <n v="1490106"/>
    <n v="189560"/>
    <n v="2686422"/>
    <n v="23130"/>
    <m/>
    <m/>
    <m/>
    <m/>
    <n v="0"/>
    <n v="-720000"/>
    <n v="1479894"/>
    <n v="1300546"/>
    <n v="-2496862"/>
    <n v="2663292"/>
    <n v="23130"/>
    <m/>
    <m/>
    <m/>
    <m/>
    <n v="11868750037.799999"/>
    <n v="11868750037.799999"/>
    <n v="10654875037.799999"/>
    <n v="4302681058.6000004"/>
    <n v="661090531.20000005"/>
    <n v="9033094008"/>
    <n v="77774567.700000003"/>
    <m/>
    <m/>
    <m/>
    <m/>
    <d v="2022-10-31T00:00:00"/>
    <d v="2022-10-31T00:00:00"/>
    <d v="2021-10-31T00:00:00"/>
    <d v="2020-10-31T00:00:00"/>
    <d v="2019-09-30T00:00:00"/>
    <d v="2018-09-30T00:00:00"/>
    <d v="2017-09-30T00:00:00"/>
    <m/>
    <m/>
    <m/>
    <m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72392677027010.406"/>
    <m/>
    <m/>
    <m/>
    <s v="Low"/>
    <s v="Low"/>
    <s v="Low"/>
    <s v="Low"/>
    <s v="Moderate"/>
    <s v="Low"/>
    <s v="High"/>
    <m/>
    <m/>
    <s v="Singapore"/>
    <s v="Singapore"/>
  </r>
  <r>
    <n v="542"/>
    <s v="Danske Bank Group Treasury"/>
    <m/>
    <m/>
    <m/>
    <n v="1.94E-4"/>
    <n v="1.94E-4"/>
    <n v="1.64E-4"/>
    <m/>
    <m/>
    <m/>
    <m/>
    <m/>
    <m/>
    <m/>
    <m/>
    <n v="17934400"/>
    <n v="17934400"/>
    <n v="15171000"/>
    <m/>
    <m/>
    <m/>
    <m/>
    <m/>
    <m/>
    <m/>
    <m/>
    <n v="0"/>
    <n v="2763400"/>
    <n v="15171000"/>
    <m/>
    <m/>
    <m/>
    <m/>
    <m/>
    <m/>
    <m/>
    <m/>
    <n v="53803199884.5"/>
    <n v="53803199884.5"/>
    <n v="47978287437.599998"/>
    <m/>
    <m/>
    <m/>
    <m/>
    <m/>
    <m/>
    <m/>
    <m/>
    <d v="2021-05-31T00:00:00"/>
    <d v="2021-05-31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30339029377878"/>
    <m/>
    <m/>
    <m/>
    <m/>
    <s v="Low"/>
    <s v="Moderate"/>
    <s v="High"/>
    <m/>
    <m/>
    <m/>
    <m/>
    <m/>
    <s v="Copenhagen"/>
    <s v="Denmark"/>
  </r>
  <r>
    <n v="543"/>
    <s v="Danske Capital Finland Oy"/>
    <m/>
    <m/>
    <n v="2.1999999999999999E-5"/>
    <n v="2.1999999999999999E-5"/>
    <n v="1.5999999999999999E-5"/>
    <n v="4.3999999999999999E-5"/>
    <n v="6.3E-5"/>
    <n v="2.0000000000000002E-5"/>
    <m/>
    <m/>
    <m/>
    <m/>
    <m/>
    <n v="2059858"/>
    <n v="2059858"/>
    <n v="1439858"/>
    <n v="4059710"/>
    <n v="5823910"/>
    <n v="1807680"/>
    <m/>
    <m/>
    <m/>
    <m/>
    <m/>
    <n v="0"/>
    <n v="620000"/>
    <n v="-2619852"/>
    <n v="-1764200"/>
    <n v="4016230"/>
    <n v="1807680"/>
    <m/>
    <m/>
    <m/>
    <m/>
    <m/>
    <n v="9217864489.6000004"/>
    <n v="9217864489.6000004"/>
    <n v="5052183172.5"/>
    <n v="12838832791.200001"/>
    <n v="22285032612"/>
    <n v="6583384587.5"/>
    <m/>
    <m/>
    <m/>
    <m/>
    <m/>
    <d v="2022-04-30T00:00:00"/>
    <d v="2022-04-30T00:00:00"/>
    <d v="2021-12-31T00:00:00"/>
    <d v="2020-12-31T00:00:00"/>
    <d v="2019-12-31T00:00:00"/>
    <d v="2018-12-31T00:00:00"/>
    <m/>
    <m/>
    <m/>
    <m/>
    <m/>
    <s v="Aggregate MFs"/>
    <s v="Aggregate MFs"/>
    <s v="Aggregate MFs"/>
    <s v="Aggregate MFs"/>
    <s v="Aggregate MFs"/>
    <s v="Aggregate MFs"/>
    <m/>
    <m/>
    <m/>
    <s v="Investment Managers"/>
    <s v="Investment Advisor"/>
    <n v="2958822114225.6001"/>
    <s v="GARP"/>
    <m/>
    <m/>
    <s v="Low"/>
    <s v="Low"/>
    <s v="Moderate"/>
    <s v="Moderate"/>
    <s v="High"/>
    <s v="Moderate"/>
    <m/>
    <m/>
    <m/>
    <s v="Helsinki"/>
    <s v="Finland"/>
  </r>
  <r>
    <n v="544"/>
    <s v="Danske Invest Management Company S.A."/>
    <m/>
    <n v="6.9999999999999999E-6"/>
    <n v="6.9999999999999999E-6"/>
    <n v="1.2999999999999999E-5"/>
    <n v="1.0000000000000001E-5"/>
    <n v="1.2999999999999999E-5"/>
    <n v="7.9999999999999996E-6"/>
    <m/>
    <m/>
    <m/>
    <m/>
    <m/>
    <n v="644100"/>
    <n v="644100"/>
    <n v="1167400"/>
    <n v="937600"/>
    <n v="1174400"/>
    <n v="777600"/>
    <m/>
    <m/>
    <m/>
    <m/>
    <m/>
    <n v="0"/>
    <n v="-523300"/>
    <n v="229800"/>
    <n v="-236800"/>
    <n v="396800"/>
    <n v="777600"/>
    <m/>
    <m/>
    <m/>
    <m/>
    <m/>
    <n v="3864444382.5"/>
    <n v="3864444382.5"/>
    <n v="5793222490.5500002"/>
    <n v="3289857030"/>
    <n v="3714039950.4000001"/>
    <n v="2975465177.1999998"/>
    <m/>
    <m/>
    <m/>
    <m/>
    <m/>
    <d v="2023-09-30T00:00:00"/>
    <d v="2023-09-30T00:00:00"/>
    <d v="2022-12-31T00:00:00"/>
    <d v="2021-12-31T00:00:00"/>
    <d v="2020-12-31T00:00:00"/>
    <d v="2019-12-31T00:00:00"/>
    <m/>
    <m/>
    <m/>
    <m/>
    <m/>
    <s v="Aggregate MFs"/>
    <s v="Aggregate MFs"/>
    <s v="Aggregate MFs"/>
    <s v="Aggregate MFs"/>
    <s v="Aggregate MFs"/>
    <s v="Aggregate MFs"/>
    <m/>
    <m/>
    <m/>
    <m/>
    <s v="Investment Managers"/>
    <s v="Investment Advisor"/>
    <n v="0"/>
    <m/>
    <m/>
    <s v="Low"/>
    <s v="Low"/>
    <s v="Low"/>
    <s v="Low"/>
    <s v="Low"/>
    <s v="Moderate"/>
    <m/>
    <m/>
    <m/>
    <m/>
    <s v="Luxembourg"/>
    <s v="Luxembourg"/>
  </r>
  <r>
    <n v="545"/>
    <s v="DB Platinum Advisors_NLE"/>
    <m/>
    <m/>
    <m/>
    <m/>
    <m/>
    <m/>
    <m/>
    <m/>
    <m/>
    <m/>
    <n v="8.8199999999999997E-4"/>
    <m/>
    <m/>
    <m/>
    <m/>
    <m/>
    <m/>
    <m/>
    <m/>
    <m/>
    <m/>
    <n v="81501144"/>
    <m/>
    <m/>
    <m/>
    <m/>
    <m/>
    <m/>
    <m/>
    <m/>
    <m/>
    <m/>
    <n v="0"/>
    <m/>
    <m/>
    <m/>
    <m/>
    <m/>
    <m/>
    <m/>
    <m/>
    <m/>
    <m/>
    <n v="244503432110"/>
    <m/>
    <m/>
    <m/>
    <m/>
    <m/>
    <m/>
    <m/>
    <m/>
    <m/>
    <m/>
    <d v="2015-02-28T00:00:00"/>
    <m/>
    <m/>
    <m/>
    <m/>
    <m/>
    <m/>
    <m/>
    <m/>
    <m/>
    <m/>
    <s v="Aggregate MFs"/>
    <s v="Investment Managers"/>
    <s v="Investment Advisor"/>
    <n v="15733629444081.6"/>
    <m/>
    <m/>
    <m/>
    <m/>
    <m/>
    <m/>
    <m/>
    <m/>
    <m/>
    <m/>
    <m/>
    <s v="Moderate"/>
    <s v="Luxembourg"/>
    <s v="Luxembourg"/>
  </r>
  <r>
    <n v="546"/>
    <s v="Degroof Petercam Asset Services SA"/>
    <m/>
    <m/>
    <n v="1.13E-4"/>
    <n v="1.13E-4"/>
    <n v="1.13E-4"/>
    <n v="8.5000000000000006E-5"/>
    <m/>
    <m/>
    <m/>
    <m/>
    <m/>
    <m/>
    <m/>
    <n v="10412800"/>
    <n v="10412800"/>
    <n v="10412800"/>
    <n v="7817600"/>
    <m/>
    <m/>
    <m/>
    <m/>
    <m/>
    <m/>
    <m/>
    <n v="0"/>
    <n v="0"/>
    <n v="2595200"/>
    <n v="7817600"/>
    <m/>
    <m/>
    <m/>
    <m/>
    <m/>
    <m/>
    <m/>
    <n v="49070319942"/>
    <n v="49070319942"/>
    <n v="32019359961.599998"/>
    <n v="19387647955.200001"/>
    <m/>
    <m/>
    <m/>
    <m/>
    <m/>
    <m/>
    <m/>
    <d v="2022-09-30T00:00:00"/>
    <d v="2022-09-30T00:00:00"/>
    <d v="2021-09-30T00:00:00"/>
    <d v="2020-09-30T00:00:00"/>
    <m/>
    <m/>
    <m/>
    <m/>
    <m/>
    <m/>
    <m/>
    <s v="Aggregate MFs"/>
    <s v="Aggregate MFs"/>
    <s v="Aggregate MFs"/>
    <s v="Aggregate MFs"/>
    <m/>
    <m/>
    <m/>
    <m/>
    <m/>
    <s v="Investment Managers"/>
    <s v="Investment Advisor"/>
    <n v="29116341956168.398"/>
    <m/>
    <m/>
    <m/>
    <s v="High"/>
    <s v="Moderate"/>
    <s v="Moderate"/>
    <s v="Low"/>
    <m/>
    <m/>
    <m/>
    <m/>
    <m/>
    <s v="Luxembourg"/>
    <s v="Luxembourg"/>
  </r>
  <r>
    <n v="547"/>
    <s v="Deka International S.A."/>
    <m/>
    <m/>
    <m/>
    <m/>
    <n v="0"/>
    <n v="0"/>
    <n v="0"/>
    <n v="0"/>
    <n v="1.9999999999999999E-6"/>
    <n v="3.0000000000000001E-6"/>
    <n v="6.0000000000000002E-6"/>
    <m/>
    <m/>
    <m/>
    <m/>
    <n v="0"/>
    <n v="0"/>
    <n v="0"/>
    <n v="0"/>
    <n v="180000"/>
    <n v="300000"/>
    <n v="580000"/>
    <m/>
    <m/>
    <m/>
    <m/>
    <n v="0"/>
    <n v="0"/>
    <n v="0"/>
    <n v="-180000"/>
    <n v="-120000"/>
    <n v="-280000"/>
    <n v="260000"/>
    <m/>
    <m/>
    <m/>
    <m/>
    <n v="0"/>
    <n v="0"/>
    <n v="0"/>
    <n v="0"/>
    <n v="719999950.04999995"/>
    <n v="868125066.60000002"/>
    <n v="1341736645.6500001"/>
    <m/>
    <m/>
    <m/>
    <m/>
    <d v="2020-12-31T00:00:00"/>
    <d v="2020-12-31T00:00:00"/>
    <d v="2018-06-30T00:00:00"/>
    <d v="2018-06-30T00:00:00"/>
    <d v="2017-12-31T00:00:00"/>
    <d v="2016-12-31T00:00:00"/>
    <d v="2015-12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28129436494914"/>
    <m/>
    <m/>
    <m/>
    <m/>
    <m/>
    <s v="Moderate"/>
    <s v="Moderate"/>
    <s v="High"/>
    <s v="Low"/>
    <s v="Moderate"/>
    <s v="Low"/>
    <s v="Low"/>
    <s v="Findel"/>
    <s v="Luxembourg"/>
  </r>
  <r>
    <n v="548"/>
    <s v="Denker Capital (Pty) Ltd"/>
    <m/>
    <n v="0"/>
    <n v="0"/>
    <n v="3.4E-5"/>
    <n v="0"/>
    <m/>
    <m/>
    <m/>
    <m/>
    <m/>
    <m/>
    <m/>
    <n v="0"/>
    <n v="0"/>
    <n v="3152562"/>
    <n v="0"/>
    <m/>
    <m/>
    <m/>
    <m/>
    <m/>
    <m/>
    <m/>
    <n v="0"/>
    <n v="-3152562"/>
    <n v="3152562"/>
    <n v="0"/>
    <m/>
    <m/>
    <m/>
    <m/>
    <m/>
    <m/>
    <m/>
    <n v="0"/>
    <n v="0"/>
    <n v="15644588981.450001"/>
    <n v="0"/>
    <m/>
    <m/>
    <m/>
    <m/>
    <m/>
    <m/>
    <m/>
    <d v="2023-04-30T00:00:00"/>
    <d v="2023-04-30T00:00:00"/>
    <d v="2022-12-31T00:00:00"/>
    <d v="2021-12-31T00:00:00"/>
    <m/>
    <m/>
    <m/>
    <m/>
    <m/>
    <m/>
    <m/>
    <s v="Aggregate MFs"/>
    <s v="Aggregate MFs"/>
    <s v="Aggregate MFs"/>
    <s v="Aggregate MFs"/>
    <m/>
    <m/>
    <m/>
    <m/>
    <m/>
    <m/>
    <s v="Investment Managers"/>
    <s v="Investment Advisor"/>
    <n v="4263599683891.2002"/>
    <m/>
    <m/>
    <s v="Low"/>
    <s v="Low"/>
    <s v="Low"/>
    <s v="Low"/>
    <m/>
    <m/>
    <m/>
    <m/>
    <m/>
    <m/>
    <s v="Bellville"/>
    <s v="South Africa"/>
  </r>
  <r>
    <n v="549"/>
    <s v="Deutsche Bank Luxembourg S.A."/>
    <m/>
    <m/>
    <m/>
    <m/>
    <m/>
    <m/>
    <n v="1.02E-4"/>
    <n v="1.02E-4"/>
    <n v="5.8E-5"/>
    <m/>
    <m/>
    <m/>
    <m/>
    <m/>
    <m/>
    <m/>
    <m/>
    <n v="9381526"/>
    <n v="9381526"/>
    <n v="5399484"/>
    <m/>
    <m/>
    <m/>
    <m/>
    <m/>
    <m/>
    <m/>
    <m/>
    <n v="0"/>
    <n v="3982042"/>
    <n v="5399484"/>
    <m/>
    <m/>
    <m/>
    <m/>
    <m/>
    <m/>
    <m/>
    <m/>
    <n v="34166552468.75"/>
    <n v="34166552468.75"/>
    <n v="21597935943.25"/>
    <m/>
    <m/>
    <m/>
    <m/>
    <m/>
    <m/>
    <m/>
    <m/>
    <d v="2018-12-31T00:00:00"/>
    <d v="2018-12-31T00:00:00"/>
    <d v="2017-12-31T00:00:00"/>
    <m/>
    <m/>
    <m/>
    <m/>
    <m/>
    <m/>
    <m/>
    <m/>
    <s v="Aggregate MFs"/>
    <s v="Aggregate MFs"/>
    <s v="Aggregate MFs"/>
    <m/>
    <m/>
    <s v="Investment Managers"/>
    <s v="Bank and Trust"/>
    <n v="2957174669323.2002"/>
    <s v="Aggressive Growth"/>
    <m/>
    <m/>
    <m/>
    <m/>
    <m/>
    <m/>
    <s v="Low"/>
    <s v="Low"/>
    <s v="High"/>
    <m/>
    <m/>
    <s v="Luxembourg"/>
    <s v="Luxembourg"/>
  </r>
  <r>
    <n v="550"/>
    <s v="Dimensional Fund Advisors Canada ULC"/>
    <m/>
    <n v="0"/>
    <n v="0"/>
    <n v="1.9999999999999999E-6"/>
    <n v="9.9999999999999995E-7"/>
    <n v="9.9999999999999995E-7"/>
    <n v="5.8E-5"/>
    <n v="4.5000000000000003E-5"/>
    <n v="5.7000000000000003E-5"/>
    <n v="9.1000000000000003E-5"/>
    <n v="8.6000000000000003E-5"/>
    <m/>
    <n v="0"/>
    <n v="0"/>
    <n v="179800"/>
    <n v="112200"/>
    <n v="112200"/>
    <n v="5327600"/>
    <n v="4195600"/>
    <n v="5229800"/>
    <n v="8400400"/>
    <n v="7983200"/>
    <m/>
    <n v="0"/>
    <n v="-179800"/>
    <n v="67600"/>
    <n v="0"/>
    <n v="-5215400"/>
    <n v="1132000"/>
    <n v="-1034200"/>
    <n v="-3170600"/>
    <n v="417200"/>
    <n v="0"/>
    <m/>
    <n v="0"/>
    <n v="0"/>
    <n v="892257554.64999998"/>
    <n v="393688027.5"/>
    <n v="354832498.80000001"/>
    <n v="20385916047.200001"/>
    <n v="15279943481.25"/>
    <n v="20919200044.950001"/>
    <n v="24308657456.099998"/>
    <n v="18467848588.5"/>
    <m/>
    <d v="2023-04-30T00:00:00"/>
    <d v="2023-04-30T00:00:00"/>
    <d v="2022-12-31T00:00:00"/>
    <d v="2021-12-31T00:00:00"/>
    <d v="2020-12-31T00:00:00"/>
    <d v="2019-12-31T00:00:00"/>
    <d v="2018-12-31T00:00:00"/>
    <d v="2017-12-31T00:00:00"/>
    <d v="2016-12-31T00:00:00"/>
    <d v="2015-12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5581707620826"/>
    <s v="Index"/>
    <m/>
    <s v="Low"/>
    <s v="Low"/>
    <s v="Low"/>
    <s v="Low"/>
    <s v="High"/>
    <s v="Low"/>
    <s v="Low"/>
    <s v="Low"/>
    <s v="Low"/>
    <s v="Low"/>
    <s v="Vancouver"/>
    <s v="Canada"/>
  </r>
  <r>
    <n v="551"/>
    <s v="DNB Asset Management (Asia) Limited_NLE"/>
    <m/>
    <m/>
    <m/>
    <m/>
    <m/>
    <m/>
    <m/>
    <m/>
    <m/>
    <n v="1.0000000000000001E-5"/>
    <n v="1.0000000000000001E-5"/>
    <m/>
    <m/>
    <m/>
    <m/>
    <m/>
    <m/>
    <m/>
    <m/>
    <m/>
    <n v="919188"/>
    <n v="913588"/>
    <m/>
    <m/>
    <m/>
    <m/>
    <m/>
    <m/>
    <m/>
    <m/>
    <m/>
    <n v="5600"/>
    <n v="-286268"/>
    <m/>
    <m/>
    <m/>
    <m/>
    <m/>
    <m/>
    <m/>
    <m/>
    <m/>
    <n v="2206051216.1999998"/>
    <n v="2113438866.1500001"/>
    <m/>
    <m/>
    <m/>
    <m/>
    <m/>
    <m/>
    <m/>
    <m/>
    <m/>
    <d v="2016-01-31T00:00:00"/>
    <d v="2015-12-31T00:00:00"/>
    <m/>
    <m/>
    <m/>
    <m/>
    <m/>
    <m/>
    <m/>
    <m/>
    <m/>
    <s v="Aggregate MFs"/>
    <s v="Aggregate MFs"/>
    <s v="Investment Managers"/>
    <s v="Investment Advisor"/>
    <n v="2530908526834.7998"/>
    <m/>
    <m/>
    <m/>
    <m/>
    <m/>
    <m/>
    <m/>
    <m/>
    <m/>
    <m/>
    <s v="Moderate"/>
    <s v="High"/>
    <s v="Central (Hong Kong)"/>
    <s v="Hong Kong"/>
  </r>
  <r>
    <n v="552"/>
    <s v="Dorval Asset Management"/>
    <m/>
    <m/>
    <m/>
    <m/>
    <m/>
    <m/>
    <n v="0"/>
    <n v="0"/>
    <n v="5.0000000000000004E-6"/>
    <m/>
    <m/>
    <m/>
    <m/>
    <m/>
    <m/>
    <m/>
    <m/>
    <n v="0"/>
    <n v="0"/>
    <n v="480000"/>
    <m/>
    <m/>
    <m/>
    <m/>
    <m/>
    <m/>
    <m/>
    <m/>
    <n v="0"/>
    <n v="-480000"/>
    <n v="480000"/>
    <m/>
    <m/>
    <m/>
    <m/>
    <m/>
    <m/>
    <m/>
    <m/>
    <n v="0"/>
    <n v="0"/>
    <n v="1920000002.45"/>
    <m/>
    <m/>
    <m/>
    <m/>
    <m/>
    <m/>
    <m/>
    <m/>
    <d v="2018-09-30T00:00:00"/>
    <d v="2018-09-30T00:00:00"/>
    <d v="2017-12-31T00:00:00"/>
    <m/>
    <m/>
    <m/>
    <m/>
    <m/>
    <m/>
    <m/>
    <m/>
    <s v="Aggregate MFs"/>
    <s v="Aggregate MFs"/>
    <s v="Aggregate MFs"/>
    <m/>
    <m/>
    <s v="Investment Managers"/>
    <s v="Investment Advisor"/>
    <n v="4880974599352.7998"/>
    <s v="GARP"/>
    <m/>
    <m/>
    <m/>
    <m/>
    <m/>
    <m/>
    <s v="Low"/>
    <s v="Moderate"/>
    <s v="Moderate"/>
    <m/>
    <m/>
    <s v="Paris"/>
    <s v="France"/>
  </r>
  <r>
    <n v="553"/>
    <s v="DuPont Capital Management Corporation"/>
    <m/>
    <m/>
    <m/>
    <m/>
    <m/>
    <m/>
    <m/>
    <n v="0"/>
    <n v="0"/>
    <n v="1.7E-5"/>
    <n v="3.0000000000000001E-5"/>
    <m/>
    <m/>
    <m/>
    <m/>
    <m/>
    <m/>
    <m/>
    <n v="0"/>
    <n v="0"/>
    <n v="1570400"/>
    <n v="2736400"/>
    <m/>
    <m/>
    <m/>
    <m/>
    <m/>
    <m/>
    <m/>
    <n v="0"/>
    <n v="-1570400"/>
    <n v="-1166000"/>
    <n v="-1505600"/>
    <m/>
    <m/>
    <m/>
    <m/>
    <m/>
    <m/>
    <m/>
    <n v="0"/>
    <n v="0"/>
    <n v="4544344939.5"/>
    <n v="6330221015.8500004"/>
    <m/>
    <m/>
    <m/>
    <m/>
    <m/>
    <m/>
    <m/>
    <d v="2017-06-30T00:00:00"/>
    <d v="2017-06-30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Pension Fund"/>
    <n v="16129938708224.4"/>
    <s v="Core Value"/>
    <m/>
    <m/>
    <m/>
    <m/>
    <m/>
    <m/>
    <m/>
    <s v="Low"/>
    <s v="Moderate"/>
    <s v="Moderate"/>
    <s v="Moderate"/>
    <s v="Wilmington"/>
    <s v="United States"/>
  </r>
  <r>
    <n v="554"/>
    <s v="E Fund Management Co.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6-30T00:00:00"/>
    <m/>
    <m/>
    <m/>
    <m/>
    <m/>
    <m/>
    <m/>
    <m/>
    <m/>
    <m/>
    <s v="Aggregate MFs"/>
    <s v="Investment Managers"/>
    <s v="Investment Advisor"/>
    <n v="1769327817366090"/>
    <s v="Core Value"/>
    <m/>
    <m/>
    <m/>
    <m/>
    <m/>
    <m/>
    <m/>
    <m/>
    <m/>
    <m/>
    <s v="High"/>
    <s v="Guangzhou"/>
    <s v="China (Mainland)"/>
  </r>
  <r>
    <n v="555"/>
    <s v="East Capital Asset Management AB"/>
    <m/>
    <m/>
    <m/>
    <m/>
    <m/>
    <m/>
    <m/>
    <m/>
    <m/>
    <m/>
    <n v="6.2000000000000003E-5"/>
    <m/>
    <m/>
    <m/>
    <m/>
    <m/>
    <m/>
    <m/>
    <m/>
    <m/>
    <m/>
    <n v="5744000"/>
    <m/>
    <m/>
    <m/>
    <m/>
    <m/>
    <m/>
    <m/>
    <m/>
    <m/>
    <m/>
    <n v="0"/>
    <m/>
    <m/>
    <m/>
    <m/>
    <m/>
    <m/>
    <m/>
    <m/>
    <m/>
    <m/>
    <n v="15392085321.4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/Hedge Fund"/>
    <n v="19706444188141.199"/>
    <s v="Growth"/>
    <m/>
    <m/>
    <m/>
    <m/>
    <m/>
    <m/>
    <m/>
    <m/>
    <m/>
    <m/>
    <s v="Low"/>
    <s v="Stockholm"/>
    <s v="Sweden"/>
  </r>
  <r>
    <n v="556"/>
    <s v="Eaton Vance Management"/>
    <m/>
    <n v="0"/>
    <n v="9.8999999999999994E-5"/>
    <n v="7.4999999999999993E-5"/>
    <n v="0"/>
    <n v="5.0000000000000004E-6"/>
    <n v="1.1E-5"/>
    <n v="1.7E-5"/>
    <n v="1.7E-5"/>
    <n v="2.5999999999999998E-5"/>
    <m/>
    <m/>
    <n v="0"/>
    <n v="9170000"/>
    <n v="6933800"/>
    <n v="0"/>
    <n v="440800"/>
    <n v="979400"/>
    <n v="1592000"/>
    <n v="1592000"/>
    <n v="2368400"/>
    <m/>
    <m/>
    <n v="-9170000"/>
    <n v="2236200"/>
    <n v="6933800"/>
    <n v="-440800"/>
    <n v="-538600"/>
    <n v="-612600"/>
    <n v="0"/>
    <n v="-776400"/>
    <n v="2368400"/>
    <m/>
    <m/>
    <n v="0"/>
    <n v="55478499957.900002"/>
    <n v="34408982513.949997"/>
    <n v="0"/>
    <n v="1394030055.5999999"/>
    <n v="3747647330.8000002"/>
    <n v="5797900231.25"/>
    <n v="6367999992.3000002"/>
    <n v="6853557552"/>
    <m/>
    <m/>
    <d v="2024-01-31T00:00:00"/>
    <d v="2023-12-31T00:00:00"/>
    <d v="2022-12-31T00:00:00"/>
    <d v="2021-11-30T00:00:00"/>
    <d v="2020-12-31T00:00:00"/>
    <d v="2019-12-31T00:00:00"/>
    <d v="2018-12-31T00:00:00"/>
    <d v="2017-12-31T00:00:00"/>
    <d v="2016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m/>
    <s v="Investment Managers"/>
    <s v="Investment Advisor/Hedge Fund"/>
    <n v="631544883386577"/>
    <s v="Mixed Style"/>
    <m/>
    <s v="Low"/>
    <s v="Low"/>
    <s v="Moderate"/>
    <s v="Low"/>
    <s v="Low"/>
    <s v="Low"/>
    <s v="Low"/>
    <s v="Low"/>
    <s v="Low"/>
    <m/>
    <s v="Boston"/>
    <s v="United States"/>
  </r>
  <r>
    <n v="557"/>
    <s v="Edmond de Rothschild (Europe)"/>
    <m/>
    <m/>
    <m/>
    <m/>
    <m/>
    <m/>
    <n v="3.0000000000000001E-6"/>
    <n v="3.0000000000000001E-6"/>
    <m/>
    <m/>
    <m/>
    <m/>
    <m/>
    <m/>
    <m/>
    <m/>
    <m/>
    <n v="315012"/>
    <n v="315012"/>
    <m/>
    <m/>
    <m/>
    <m/>
    <m/>
    <m/>
    <m/>
    <m/>
    <m/>
    <n v="0"/>
    <n v="315012"/>
    <m/>
    <m/>
    <m/>
    <m/>
    <m/>
    <m/>
    <m/>
    <m/>
    <m/>
    <n v="1059227888"/>
    <n v="1059227888"/>
    <m/>
    <m/>
    <m/>
    <m/>
    <m/>
    <m/>
    <m/>
    <m/>
    <m/>
    <d v="2018-09-30T00:00:00"/>
    <d v="2018-09-30T00:00:00"/>
    <m/>
    <m/>
    <m/>
    <m/>
    <m/>
    <m/>
    <m/>
    <m/>
    <m/>
    <s v="Aggregate MFs"/>
    <s v="Aggregate MFs"/>
    <m/>
    <m/>
    <m/>
    <s v="Investment Managers"/>
    <s v="Bank and Trust"/>
    <n v="3785028136027.2002"/>
    <s v="Core Growth"/>
    <m/>
    <m/>
    <m/>
    <m/>
    <m/>
    <m/>
    <m/>
    <s v="High"/>
    <m/>
    <m/>
    <m/>
    <s v="Luxembourg"/>
    <s v="Luxembourg"/>
  </r>
  <r>
    <n v="558"/>
    <s v="Eightstone Oclaner Pte Ltd"/>
    <m/>
    <m/>
    <m/>
    <m/>
    <n v="5.0000000000000004E-6"/>
    <n v="5.0000000000000004E-6"/>
    <n v="5.0000000000000004E-6"/>
    <n v="5.0000000000000004E-6"/>
    <n v="9.0000000000000002E-6"/>
    <n v="9.0000000000000002E-6"/>
    <n v="1.1E-5"/>
    <m/>
    <m/>
    <m/>
    <m/>
    <n v="444800"/>
    <n v="444800"/>
    <n v="444800"/>
    <n v="444800"/>
    <n v="844800"/>
    <n v="844800"/>
    <n v="1044800"/>
    <m/>
    <m/>
    <m/>
    <m/>
    <n v="0"/>
    <n v="0"/>
    <n v="0"/>
    <n v="-400000"/>
    <n v="0"/>
    <n v="-200000"/>
    <n v="0"/>
    <m/>
    <m/>
    <m/>
    <m/>
    <n v="1406679955.2"/>
    <n v="1406679955.2"/>
    <n v="1702015012.8"/>
    <n v="1619915875"/>
    <n v="2444639992.5"/>
    <n v="2444639992.5"/>
    <n v="2625059970.9000001"/>
    <m/>
    <m/>
    <m/>
    <m/>
    <d v="2020-12-31T00:00:00"/>
    <d v="2020-12-31T00:00:00"/>
    <d v="2019-12-31T00:00:00"/>
    <d v="2018-12-31T00:00:00"/>
    <d v="2016-12-31T00:00:00"/>
    <d v="2016-12-31T00:00:00"/>
    <d v="2015-06-30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17749776303.599998"/>
    <m/>
    <m/>
    <m/>
    <m/>
    <m/>
    <s v="Low"/>
    <s v="Moderate"/>
    <s v="Low"/>
    <m/>
    <m/>
    <m/>
    <m/>
    <s v="Singapore"/>
    <s v="Singapore"/>
  </r>
  <r>
    <n v="559"/>
    <s v="Emerging Global Advisors, LLC_NLE"/>
    <m/>
    <m/>
    <m/>
    <m/>
    <m/>
    <m/>
    <m/>
    <m/>
    <n v="6.2000000000000003E-5"/>
    <n v="6.2000000000000003E-5"/>
    <n v="9.7E-5"/>
    <m/>
    <m/>
    <m/>
    <m/>
    <m/>
    <m/>
    <m/>
    <m/>
    <n v="5700980"/>
    <n v="5700980"/>
    <n v="8920152"/>
    <m/>
    <m/>
    <m/>
    <m/>
    <m/>
    <m/>
    <m/>
    <m/>
    <n v="0"/>
    <n v="-3219172"/>
    <n v="-2566012"/>
    <m/>
    <m/>
    <m/>
    <m/>
    <m/>
    <m/>
    <m/>
    <m/>
    <n v="15998375155.35"/>
    <n v="15998375155.35"/>
    <n v="20635336234.049999"/>
    <m/>
    <m/>
    <m/>
    <m/>
    <m/>
    <m/>
    <m/>
    <m/>
    <d v="2016-08-31T00:00:00"/>
    <d v="2016-08-31T00:00:00"/>
    <d v="2015-12-31T00:00:00"/>
    <m/>
    <m/>
    <m/>
    <m/>
    <m/>
    <m/>
    <m/>
    <m/>
    <s v="Aggregate MFs"/>
    <s v="Aggregate MFs"/>
    <s v="Aggregate MFs"/>
    <s v="Investment Managers"/>
    <s v="Investment Advisor"/>
    <n v="818167521975.59998"/>
    <m/>
    <m/>
    <m/>
    <m/>
    <m/>
    <m/>
    <m/>
    <m/>
    <m/>
    <m/>
    <s v="Low"/>
    <s v="Moderate"/>
    <s v="New York"/>
    <s v="United States"/>
  </r>
  <r>
    <n v="560"/>
    <s v="Enhanced Investment Products Limited"/>
    <m/>
    <m/>
    <m/>
    <m/>
    <m/>
    <m/>
    <n v="1.9999999999999999E-6"/>
    <n v="1.9999999999999999E-6"/>
    <n v="1.9000000000000001E-5"/>
    <n v="1.9000000000000001E-5"/>
    <n v="2.4000000000000001E-5"/>
    <m/>
    <m/>
    <m/>
    <m/>
    <m/>
    <m/>
    <n v="216800"/>
    <n v="216800"/>
    <n v="1788212"/>
    <n v="1788212"/>
    <n v="2231440"/>
    <m/>
    <m/>
    <m/>
    <m/>
    <m/>
    <m/>
    <n v="0"/>
    <n v="-1571412"/>
    <n v="0"/>
    <n v="-443228"/>
    <n v="0"/>
    <m/>
    <m/>
    <m/>
    <m/>
    <m/>
    <m/>
    <n v="728989950"/>
    <n v="728989950"/>
    <n v="5006993566.8299999"/>
    <n v="5006993566.8299999"/>
    <n v="4741809949.8000002"/>
    <m/>
    <m/>
    <m/>
    <m/>
    <m/>
    <m/>
    <d v="2018-09-30T00:00:00"/>
    <d v="2018-09-30T00:00:00"/>
    <d v="2016-09-30T00:00:00"/>
    <d v="2016-09-30T00:00:00"/>
    <d v="2015-11-30T00:00:00"/>
    <m/>
    <m/>
    <m/>
    <m/>
    <m/>
    <m/>
    <s v="Aggregate MFs"/>
    <s v="Aggregate MFs"/>
    <s v="Aggregate MFs"/>
    <s v="Aggregate MFs"/>
    <s v="Aggregate MFs"/>
    <s v="Investment Managers"/>
    <s v="Investment Advisor/Hedge Fund"/>
    <n v="102131296058.39999"/>
    <s v="Hedge Fund"/>
    <m/>
    <m/>
    <m/>
    <m/>
    <m/>
    <m/>
    <s v="Low"/>
    <s v="High"/>
    <s v="Low"/>
    <s v="Low"/>
    <s v="Moderate"/>
    <s v="Central (Hong Kong)"/>
    <s v="Hong Kong"/>
  </r>
  <r>
    <n v="561"/>
    <s v="Erste Asset Management GmbH"/>
    <m/>
    <m/>
    <m/>
    <m/>
    <m/>
    <m/>
    <m/>
    <n v="0"/>
    <n v="0"/>
    <n v="1.0000000000000001E-5"/>
    <n v="0"/>
    <m/>
    <m/>
    <m/>
    <m/>
    <m/>
    <m/>
    <m/>
    <n v="0"/>
    <n v="0"/>
    <n v="960000"/>
    <n v="0"/>
    <m/>
    <m/>
    <m/>
    <m/>
    <m/>
    <m/>
    <m/>
    <n v="0"/>
    <n v="-960000"/>
    <n v="960000"/>
    <n v="0"/>
    <m/>
    <m/>
    <m/>
    <m/>
    <m/>
    <m/>
    <m/>
    <n v="0"/>
    <n v="0"/>
    <n v="2754000031.4699998"/>
    <n v="0"/>
    <m/>
    <m/>
    <m/>
    <m/>
    <m/>
    <m/>
    <m/>
    <d v="2017-11-30T00:00:00"/>
    <d v="2017-11-30T00:00:00"/>
    <d v="2016-10-31T00:00:00"/>
    <d v="2015-11-30T00:00:00"/>
    <m/>
    <m/>
    <m/>
    <m/>
    <m/>
    <m/>
    <m/>
    <s v="Aggregate MFs"/>
    <s v="Aggregate MFs"/>
    <s v="Aggregate MFs"/>
    <s v="Aggregate MFs"/>
    <s v="Investment Managers"/>
    <s v="Investment Advisor"/>
    <n v="354881279521486"/>
    <m/>
    <m/>
    <m/>
    <m/>
    <m/>
    <m/>
    <m/>
    <m/>
    <s v="High"/>
    <s v="High"/>
    <s v="High"/>
    <s v="High"/>
    <s v="Vienna"/>
    <s v="Austria"/>
  </r>
  <r>
    <n v="562"/>
    <s v="ERSTE-SPARINVEST Kapitalanlagegesellschaft mbH_NLE"/>
    <m/>
    <m/>
    <m/>
    <m/>
    <m/>
    <m/>
    <m/>
    <n v="1.0000000000000001E-5"/>
    <n v="1.0000000000000001E-5"/>
    <n v="2.0999999999999999E-5"/>
    <n v="1.0000000000000001E-5"/>
    <m/>
    <m/>
    <m/>
    <m/>
    <m/>
    <m/>
    <m/>
    <n v="960000"/>
    <n v="960000"/>
    <n v="1920000"/>
    <n v="960000"/>
    <m/>
    <m/>
    <m/>
    <m/>
    <m/>
    <m/>
    <m/>
    <n v="0"/>
    <n v="-960000"/>
    <n v="960000"/>
    <n v="0"/>
    <m/>
    <m/>
    <m/>
    <m/>
    <m/>
    <m/>
    <m/>
    <n v="3840000004.9000001"/>
    <n v="3840000004.9000001"/>
    <n v="5508000062.9399996"/>
    <n v="2220805544.25"/>
    <m/>
    <m/>
    <m/>
    <m/>
    <m/>
    <m/>
    <m/>
    <d v="2017-12-31T00:00:00"/>
    <d v="2017-12-31T00:00:00"/>
    <d v="2016-10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0"/>
    <m/>
    <m/>
    <m/>
    <m/>
    <m/>
    <m/>
    <m/>
    <m/>
    <s v="Low"/>
    <s v="High"/>
    <s v="High"/>
    <s v="High"/>
    <s v="Vienna"/>
    <s v="Austria"/>
  </r>
  <r>
    <n v="563"/>
    <s v="Exchange Traded Concepts, LLC"/>
    <m/>
    <m/>
    <m/>
    <m/>
    <m/>
    <n v="9.9999999999999995E-7"/>
    <n v="9.9999999999999995E-7"/>
    <m/>
    <m/>
    <m/>
    <m/>
    <m/>
    <m/>
    <m/>
    <m/>
    <m/>
    <n v="114000"/>
    <n v="114000"/>
    <m/>
    <m/>
    <m/>
    <m/>
    <m/>
    <m/>
    <m/>
    <m/>
    <m/>
    <n v="0"/>
    <n v="114000"/>
    <m/>
    <m/>
    <m/>
    <m/>
    <m/>
    <m/>
    <m/>
    <m/>
    <m/>
    <n v="457424988.75"/>
    <n v="457424988.75"/>
    <m/>
    <m/>
    <m/>
    <m/>
    <m/>
    <m/>
    <m/>
    <m/>
    <m/>
    <d v="2019-06-30T00:00:00"/>
    <d v="2019-06-30T00:00:00"/>
    <m/>
    <m/>
    <m/>
    <m/>
    <m/>
    <m/>
    <m/>
    <m/>
    <m/>
    <s v="Aggregate MFs"/>
    <s v="Aggregate MFs"/>
    <m/>
    <m/>
    <m/>
    <m/>
    <s v="Investment Managers"/>
    <s v="Investment Advisor"/>
    <n v="113336535000767"/>
    <s v="Core Growth"/>
    <m/>
    <m/>
    <m/>
    <m/>
    <m/>
    <s v="High"/>
    <s v="High"/>
    <m/>
    <m/>
    <m/>
    <m/>
    <s v="Oklahoma City"/>
    <s v="United States"/>
  </r>
  <r>
    <n v="564"/>
    <s v="Federated Hermes Global Investment Management Corp.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6-30T00:00:00"/>
    <d v="2015-06-30T00:00:00"/>
    <m/>
    <m/>
    <m/>
    <m/>
    <m/>
    <m/>
    <m/>
    <m/>
    <m/>
    <s v="Aggregate MFs"/>
    <s v="Aggregate MFs"/>
    <s v="Investment Managers"/>
    <s v="Investment Advisor/Hedge Fund"/>
    <n v="199913709824192"/>
    <s v="Core Value"/>
    <m/>
    <m/>
    <m/>
    <m/>
    <m/>
    <m/>
    <m/>
    <m/>
    <m/>
    <s v="Moderate"/>
    <s v="Moderate"/>
    <s v="New York"/>
    <s v="United States"/>
  </r>
  <r>
    <n v="565"/>
    <s v="Feynman Asset Management Co., Ltd.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3-31T00:00:00"/>
    <d v="2015-03-31T00:00:00"/>
    <m/>
    <m/>
    <m/>
    <m/>
    <m/>
    <m/>
    <m/>
    <m/>
    <m/>
    <s v="Aggregate MFs"/>
    <s v="Aggregate MFs"/>
    <s v="Investment Managers"/>
    <s v="Investment Advisor"/>
    <n v="335623820929.20001"/>
    <s v="Core Value"/>
    <m/>
    <m/>
    <m/>
    <m/>
    <m/>
    <m/>
    <m/>
    <m/>
    <m/>
    <s v="High"/>
    <s v="High"/>
    <s v="Seoul"/>
    <s v="South Korea"/>
  </r>
  <r>
    <n v="566"/>
    <s v="Fiera Capital Corporation"/>
    <m/>
    <m/>
    <m/>
    <m/>
    <m/>
    <n v="0"/>
    <n v="0"/>
    <n v="1.1559999999999999E-3"/>
    <n v="9.2599999999999996E-4"/>
    <n v="5.0000000000000001E-4"/>
    <n v="1.4300000000000001E-4"/>
    <m/>
    <m/>
    <m/>
    <m/>
    <m/>
    <n v="0"/>
    <n v="0"/>
    <n v="106817200"/>
    <n v="85594800"/>
    <n v="46217200"/>
    <n v="13236400"/>
    <m/>
    <m/>
    <m/>
    <m/>
    <m/>
    <n v="0"/>
    <n v="-106817200"/>
    <n v="21222400"/>
    <n v="39377600"/>
    <n v="32980800"/>
    <n v="0"/>
    <m/>
    <m/>
    <m/>
    <m/>
    <m/>
    <n v="0"/>
    <n v="0"/>
    <n v="389017252512.5"/>
    <n v="342379200092"/>
    <n v="133741022612.10001"/>
    <n v="35469324199.599998"/>
    <m/>
    <m/>
    <m/>
    <m/>
    <m/>
    <d v="2019-03-31T00:00:00"/>
    <d v="2019-03-31T00:00:00"/>
    <d v="2018-12-31T00:00:00"/>
    <d v="2017-12-31T00:00:00"/>
    <d v="2016-12-31T00:00:00"/>
    <d v="2014-12-31T00:00:00"/>
    <m/>
    <m/>
    <m/>
    <m/>
    <m/>
    <s v="Aggregate MFs"/>
    <s v="Aggregate MFs"/>
    <s v="Aggregate MFs"/>
    <s v="Aggregate MFs"/>
    <s v="Aggregate MFs"/>
    <s v="Aggregate MFs"/>
    <s v="Investment Managers"/>
    <s v="Investment Advisor/Hedge Fund"/>
    <n v="484138354898719"/>
    <s v="GARP"/>
    <m/>
    <m/>
    <m/>
    <m/>
    <m/>
    <s v="Low"/>
    <s v="Low"/>
    <s v="Low"/>
    <s v="Low"/>
    <s v="Moderate"/>
    <s v="Low"/>
    <s v="Montreal"/>
    <s v="Canada"/>
  </r>
  <r>
    <n v="567"/>
    <s v="FinEx Capital Management LLP"/>
    <m/>
    <n v="9.9999999999999995E-7"/>
    <n v="9.9999999999999995E-7"/>
    <n v="9.9999999999999995E-7"/>
    <n v="9.9999999999999995E-7"/>
    <m/>
    <m/>
    <m/>
    <m/>
    <m/>
    <m/>
    <m/>
    <n v="100400"/>
    <n v="100400"/>
    <n v="109400"/>
    <n v="58000"/>
    <m/>
    <m/>
    <m/>
    <m/>
    <m/>
    <m/>
    <m/>
    <n v="0"/>
    <n v="-9000"/>
    <n v="51400"/>
    <n v="58000"/>
    <m/>
    <m/>
    <m/>
    <m/>
    <m/>
    <m/>
    <m/>
    <n v="519569951.25"/>
    <n v="519569951.25"/>
    <n v="542897549.70000005"/>
    <n v="203510805"/>
    <m/>
    <m/>
    <m/>
    <m/>
    <m/>
    <m/>
    <m/>
    <d v="2023-04-30T00:00:00"/>
    <d v="2023-04-30T00:00:00"/>
    <d v="2022-12-31T00:00:00"/>
    <d v="2021-12-31T00:00:00"/>
    <m/>
    <m/>
    <m/>
    <m/>
    <m/>
    <m/>
    <m/>
    <s v="Aggregate MFs"/>
    <s v="Aggregate MFs"/>
    <s v="Aggregate MFs"/>
    <s v="Aggregate MFs"/>
    <m/>
    <m/>
    <m/>
    <m/>
    <m/>
    <m/>
    <s v="Investment Managers"/>
    <s v="Investment Advisor/Hedge Fund"/>
    <n v="12821934960489.6"/>
    <s v="Hedge Fund"/>
    <m/>
    <m/>
    <s v="Low"/>
    <s v="Low"/>
    <m/>
    <m/>
    <m/>
    <m/>
    <m/>
    <m/>
    <m/>
    <s v="London"/>
    <s v="United Kingdom"/>
  </r>
  <r>
    <n v="568"/>
    <s v="First Sentier Investments (U.K.) Ltd"/>
    <m/>
    <m/>
    <m/>
    <m/>
    <n v="0"/>
    <n v="0"/>
    <n v="4.1999999999999998E-5"/>
    <n v="3.0000000000000001E-6"/>
    <m/>
    <m/>
    <m/>
    <m/>
    <m/>
    <m/>
    <m/>
    <n v="0"/>
    <n v="0"/>
    <n v="3842200"/>
    <n v="273800"/>
    <m/>
    <m/>
    <m/>
    <m/>
    <m/>
    <m/>
    <m/>
    <n v="0"/>
    <n v="-3842200"/>
    <n v="3568400"/>
    <n v="273800"/>
    <m/>
    <m/>
    <m/>
    <m/>
    <m/>
    <m/>
    <m/>
    <n v="0"/>
    <n v="0"/>
    <n v="14702073397.200001"/>
    <n v="997151487.5"/>
    <m/>
    <m/>
    <m/>
    <m/>
    <m/>
    <m/>
    <m/>
    <d v="2020-03-31T00:00:00"/>
    <d v="2020-03-31T00:00:00"/>
    <d v="2019-12-31T00:00:00"/>
    <d v="2018-12-31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53673701399242.797"/>
    <m/>
    <m/>
    <m/>
    <m/>
    <m/>
    <s v="Low"/>
    <s v="High"/>
    <s v="Moderate"/>
    <s v="Moderate"/>
    <m/>
    <m/>
    <m/>
    <s v="London"/>
    <s v="United Kingdom"/>
  </r>
  <r>
    <n v="569"/>
    <s v="First Sentier Investors (Hong Kong) Limited"/>
    <m/>
    <m/>
    <m/>
    <m/>
    <n v="0"/>
    <n v="1.5E-5"/>
    <n v="1.5E-5"/>
    <n v="3.9999999999999998E-6"/>
    <m/>
    <m/>
    <m/>
    <m/>
    <m/>
    <m/>
    <m/>
    <n v="0"/>
    <n v="1350800"/>
    <n v="1350800"/>
    <n v="396200"/>
    <m/>
    <m/>
    <m/>
    <m/>
    <m/>
    <m/>
    <m/>
    <n v="-1350800"/>
    <n v="0"/>
    <n v="954600"/>
    <n v="396200"/>
    <m/>
    <m/>
    <m/>
    <m/>
    <m/>
    <m/>
    <m/>
    <n v="0"/>
    <n v="4710914970.3000002"/>
    <n v="4710914970.3000002"/>
    <n v="1465940047"/>
    <m/>
    <m/>
    <m/>
    <m/>
    <m/>
    <m/>
    <m/>
    <d v="2021-01-31T00:00:00"/>
    <d v="2019-09-30T00:00:00"/>
    <d v="2019-09-30T00:00:00"/>
    <d v="2018-11-30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199974720536580"/>
    <s v="GARP"/>
    <m/>
    <m/>
    <m/>
    <m/>
    <s v="Low"/>
    <s v="Low"/>
    <s v="Low"/>
    <s v="Low"/>
    <m/>
    <m/>
    <m/>
    <s v="Central (Hong Kong)"/>
    <s v="Hong Kong"/>
  </r>
  <r>
    <n v="570"/>
    <s v="First Sentier Investors (Singapore)"/>
    <m/>
    <m/>
    <m/>
    <m/>
    <m/>
    <m/>
    <m/>
    <m/>
    <n v="9.3999999999999994E-5"/>
    <n v="9.3999999999999994E-5"/>
    <n v="7.4999999999999993E-5"/>
    <m/>
    <m/>
    <m/>
    <m/>
    <m/>
    <m/>
    <m/>
    <m/>
    <n v="8642400"/>
    <n v="8642400"/>
    <n v="6936400"/>
    <m/>
    <m/>
    <m/>
    <m/>
    <m/>
    <m/>
    <m/>
    <m/>
    <n v="0"/>
    <n v="1706000"/>
    <n v="0"/>
    <m/>
    <m/>
    <m/>
    <m/>
    <m/>
    <m/>
    <m/>
    <m/>
    <n v="22254180036"/>
    <n v="22254180036"/>
    <n v="14739849976.200001"/>
    <m/>
    <m/>
    <m/>
    <m/>
    <m/>
    <m/>
    <m/>
    <m/>
    <d v="2016-03-31T00:00:00"/>
    <d v="2016-03-31T00:00:00"/>
    <d v="2015-11-30T00:00:00"/>
    <m/>
    <m/>
    <m/>
    <m/>
    <m/>
    <m/>
    <m/>
    <m/>
    <s v="Aggregate MFs"/>
    <s v="Aggregate MFs"/>
    <s v="Aggregate MFs"/>
    <s v="Investment Managers"/>
    <s v="Investment Advisor"/>
    <n v="162421706899721"/>
    <s v="GARP"/>
    <m/>
    <m/>
    <m/>
    <m/>
    <m/>
    <m/>
    <m/>
    <m/>
    <s v="Moderate"/>
    <s v="Moderate"/>
    <s v="Moderate"/>
    <s v="Singapore"/>
    <s v="Singapore"/>
  </r>
  <r>
    <n v="571"/>
    <s v="Foord Asset Management (Pty) Limited"/>
    <m/>
    <m/>
    <m/>
    <m/>
    <m/>
    <m/>
    <m/>
    <n v="0"/>
    <n v="0"/>
    <n v="1.06E-4"/>
    <m/>
    <m/>
    <m/>
    <m/>
    <m/>
    <m/>
    <m/>
    <m/>
    <n v="0"/>
    <n v="0"/>
    <n v="9764800"/>
    <m/>
    <m/>
    <m/>
    <m/>
    <m/>
    <m/>
    <m/>
    <m/>
    <n v="0"/>
    <n v="-9764800"/>
    <n v="9764800"/>
    <m/>
    <m/>
    <m/>
    <m/>
    <m/>
    <m/>
    <m/>
    <m/>
    <n v="0"/>
    <n v="0"/>
    <n v="28256889970.200001"/>
    <m/>
    <m/>
    <m/>
    <m/>
    <m/>
    <m/>
    <m/>
    <m/>
    <d v="2017-06-30T00:00:00"/>
    <d v="2017-06-30T00:00:00"/>
    <d v="2016-12-31T00:00:00"/>
    <m/>
    <m/>
    <m/>
    <m/>
    <m/>
    <m/>
    <m/>
    <m/>
    <s v="Aggregate MFs"/>
    <s v="Aggregate MFs"/>
    <s v="Aggregate MFs"/>
    <m/>
    <s v="Investment Managers"/>
    <s v="Investment Advisor/Hedge Fund"/>
    <n v="32539527518530.801"/>
    <s v="Core Value"/>
    <m/>
    <m/>
    <m/>
    <m/>
    <m/>
    <m/>
    <m/>
    <s v="Low"/>
    <s v="Moderate"/>
    <s v="Low"/>
    <m/>
    <s v="Cape Town"/>
    <s v="South Africa"/>
  </r>
  <r>
    <n v="572"/>
    <s v="Forward Management, LLC_NLE"/>
    <m/>
    <m/>
    <m/>
    <m/>
    <m/>
    <m/>
    <m/>
    <m/>
    <m/>
    <n v="1.75E-4"/>
    <n v="1.75E-4"/>
    <m/>
    <m/>
    <m/>
    <m/>
    <m/>
    <m/>
    <m/>
    <m/>
    <m/>
    <n v="16130200"/>
    <n v="16130200"/>
    <m/>
    <m/>
    <m/>
    <m/>
    <m/>
    <m/>
    <m/>
    <m/>
    <m/>
    <n v="0"/>
    <n v="0"/>
    <m/>
    <m/>
    <m/>
    <m/>
    <m/>
    <m/>
    <m/>
    <m/>
    <m/>
    <n v="40527127551.199997"/>
    <n v="40527127551.199997"/>
    <m/>
    <m/>
    <m/>
    <m/>
    <m/>
    <m/>
    <m/>
    <m/>
    <m/>
    <d v="2015-06-30T00:00:00"/>
    <d v="2015-06-30T00:00:00"/>
    <m/>
    <m/>
    <m/>
    <m/>
    <m/>
    <m/>
    <m/>
    <m/>
    <m/>
    <s v="Aggregate MFs"/>
    <s v="Aggregate MFs"/>
    <s v="Investment Managers"/>
    <s v="Investment Advisor/Hedge Fund"/>
    <n v="206854639263.60001"/>
    <m/>
    <m/>
    <m/>
    <m/>
    <m/>
    <m/>
    <m/>
    <m/>
    <m/>
    <m/>
    <s v="Low"/>
    <s v="Low"/>
    <s v="San Francisco"/>
    <s v="United States"/>
  </r>
  <r>
    <n v="573"/>
    <s v="Franklin Templeton Asset Management (India) Pvt. Ltd.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10-31T00:00:00"/>
    <d v="2015-10-31T00:00:00"/>
    <m/>
    <m/>
    <m/>
    <m/>
    <m/>
    <m/>
    <m/>
    <m/>
    <m/>
    <s v="Aggregate MFs"/>
    <s v="Aggregate MFs"/>
    <s v="Investment Managers"/>
    <s v="Investment Advisor"/>
    <n v="190159427350964"/>
    <s v="GARP"/>
    <m/>
    <m/>
    <m/>
    <m/>
    <m/>
    <m/>
    <m/>
    <m/>
    <m/>
    <s v="Low"/>
    <s v="Low"/>
    <s v="Chennai"/>
    <s v="India"/>
  </r>
  <r>
    <n v="574"/>
    <s v="Franklin Templeton Investments (Asia) Ltd."/>
    <m/>
    <m/>
    <m/>
    <m/>
    <n v="1.12E-4"/>
    <n v="1.12E-4"/>
    <n v="7.6000000000000004E-5"/>
    <n v="6.0999999999999999E-5"/>
    <m/>
    <m/>
    <m/>
    <m/>
    <m/>
    <m/>
    <m/>
    <n v="10327600"/>
    <n v="10327600"/>
    <n v="6991800"/>
    <n v="5645800"/>
    <m/>
    <m/>
    <m/>
    <m/>
    <m/>
    <m/>
    <m/>
    <n v="0"/>
    <n v="3335800"/>
    <n v="1346000"/>
    <n v="5645800"/>
    <m/>
    <m/>
    <m/>
    <m/>
    <m/>
    <m/>
    <m/>
    <n v="23030547957"/>
    <n v="23030547957"/>
    <n v="24383902539"/>
    <n v="20561422700"/>
    <m/>
    <m/>
    <m/>
    <m/>
    <m/>
    <m/>
    <m/>
    <d v="2020-04-30T00:00:00"/>
    <d v="2020-04-30T00:00:00"/>
    <d v="2019-11-30T00:00:00"/>
    <d v="2018-12-31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1045006867057.2"/>
    <m/>
    <m/>
    <m/>
    <m/>
    <m/>
    <s v="Low"/>
    <s v="High"/>
    <s v="Moderate"/>
    <s v="Moderate"/>
    <m/>
    <m/>
    <m/>
    <s v="Central (Hong Kong)"/>
    <s v="Hong Kong"/>
  </r>
  <r>
    <n v="575"/>
    <s v="Frans (Rico Usthavia)"/>
    <m/>
    <m/>
    <m/>
    <m/>
    <m/>
    <n v="3.3000000000000003E-5"/>
    <n v="1.5E-5"/>
    <n v="5.0000000000000004E-6"/>
    <m/>
    <m/>
    <m/>
    <m/>
    <m/>
    <m/>
    <m/>
    <m/>
    <n v="3058200"/>
    <n v="1368200"/>
    <n v="484400"/>
    <m/>
    <m/>
    <m/>
    <m/>
    <m/>
    <m/>
    <m/>
    <m/>
    <n v="1690000"/>
    <n v="883800"/>
    <n v="484400"/>
    <m/>
    <m/>
    <m/>
    <m/>
    <m/>
    <m/>
    <m/>
    <m/>
    <n v="9671557474.7999992"/>
    <n v="5235379988.8000002"/>
    <n v="1764134931.25"/>
    <m/>
    <m/>
    <m/>
    <m/>
    <m/>
    <m/>
    <m/>
    <m/>
    <d v="2020-12-31T00:00:00"/>
    <d v="2019-12-31T00:00:00"/>
    <d v="2018-12-31T00:00:00"/>
    <m/>
    <m/>
    <m/>
    <m/>
    <m/>
    <m/>
    <m/>
    <m/>
    <s v="Indonesia Insider"/>
    <s v="Indonesia Insider"/>
    <s v="Indonesia Insider"/>
    <m/>
    <m/>
    <m/>
    <s v="Strategic Entities"/>
    <s v="Individual Investor"/>
    <n v="11490140931.6"/>
    <m/>
    <m/>
    <m/>
    <m/>
    <m/>
    <m/>
    <s v="Low"/>
    <s v="Low"/>
    <s v="Low"/>
    <m/>
    <m/>
    <m/>
    <m/>
    <s v="Indonesia"/>
  </r>
  <r>
    <n v="576"/>
    <s v="Fukoku Capital Management Inc."/>
    <m/>
    <n v="0"/>
    <n v="0"/>
    <n v="1.5E-5"/>
    <n v="0"/>
    <n v="0"/>
    <m/>
    <m/>
    <m/>
    <m/>
    <m/>
    <m/>
    <n v="0"/>
    <n v="0"/>
    <n v="1388800"/>
    <n v="0"/>
    <n v="0"/>
    <m/>
    <m/>
    <m/>
    <m/>
    <m/>
    <m/>
    <n v="0"/>
    <n v="-1388800"/>
    <n v="1388800"/>
    <n v="0"/>
    <n v="0"/>
    <m/>
    <m/>
    <m/>
    <m/>
    <m/>
    <m/>
    <n v="0"/>
    <n v="0"/>
    <n v="6891920041.0500002"/>
    <n v="0"/>
    <n v="0"/>
    <m/>
    <m/>
    <m/>
    <m/>
    <m/>
    <m/>
    <d v="2023-06-30T00:00:00"/>
    <d v="2023-06-30T00:00:00"/>
    <d v="2022-12-31T00:00:00"/>
    <d v="2020-12-31T00:00:00"/>
    <d v="2020-12-31T00:00:00"/>
    <m/>
    <m/>
    <m/>
    <m/>
    <m/>
    <m/>
    <s v="Aggregate MFs"/>
    <s v="Aggregate MFs"/>
    <s v="Aggregate MFs"/>
    <s v="Aggregate MFs"/>
    <s v="Aggregate MFs"/>
    <m/>
    <m/>
    <m/>
    <m/>
    <m/>
    <s v="Investment Managers"/>
    <s v="Investment Advisor"/>
    <n v="2488302870889.2002"/>
    <m/>
    <m/>
    <s v="Moderate"/>
    <s v="Moderate"/>
    <s v="Low"/>
    <s v="Low"/>
    <s v="High"/>
    <m/>
    <m/>
    <m/>
    <m/>
    <m/>
    <s v="Chiyoda-ku (Tokyo)"/>
    <s v="Japan"/>
  </r>
  <r>
    <n v="577"/>
    <s v="Första AP-Fonden"/>
    <m/>
    <n v="0"/>
    <n v="0"/>
    <n v="6.9999999999999999E-6"/>
    <n v="3.1999999999999999E-5"/>
    <m/>
    <m/>
    <m/>
    <n v="3.6200000000000002E-4"/>
    <n v="3.6200000000000002E-4"/>
    <n v="3.9199999999999999E-4"/>
    <m/>
    <n v="0"/>
    <n v="0"/>
    <n v="673800"/>
    <n v="2966400"/>
    <m/>
    <m/>
    <m/>
    <n v="33475612"/>
    <n v="33475612"/>
    <n v="36182852"/>
    <m/>
    <n v="0"/>
    <n v="-673800"/>
    <n v="-2292600"/>
    <n v="2966400"/>
    <m/>
    <m/>
    <m/>
    <n v="0"/>
    <n v="-2707240"/>
    <n v="-23509200"/>
    <m/>
    <n v="0"/>
    <n v="0"/>
    <n v="2669932473.75"/>
    <n v="10408523617.5"/>
    <m/>
    <m/>
    <m/>
    <n v="96870052286.100006"/>
    <n v="96870052286.100006"/>
    <n v="83703205528.050003"/>
    <m/>
    <d v="2023-12-31T00:00:00"/>
    <d v="2023-12-31T00:00:00"/>
    <d v="2022-06-30T00:00:00"/>
    <d v="2021-12-31T00:00:00"/>
    <m/>
    <m/>
    <m/>
    <d v="2016-12-31T00:00:00"/>
    <d v="2016-12-31T00:00:00"/>
    <d v="2015-12-31T00:00:00"/>
    <m/>
    <s v="Aggregate MFs"/>
    <s v="Aggregate MFs"/>
    <s v="Aggregate MFs"/>
    <s v="Aggregate MFs"/>
    <m/>
    <m/>
    <m/>
    <s v="Aggregate MFs"/>
    <s v="Aggregate MFs"/>
    <s v="Aggregate MFs"/>
    <s v="Investment Managers"/>
    <s v="Pension Fund"/>
    <n v="479173063339385"/>
    <s v="GARP"/>
    <m/>
    <s v="Low"/>
    <s v="Low"/>
    <s v="Low"/>
    <s v="Moderate"/>
    <m/>
    <m/>
    <m/>
    <s v="Low"/>
    <s v="Moderate"/>
    <s v="Low"/>
    <s v="Stockholm"/>
    <s v="Sweden"/>
  </r>
  <r>
    <n v="578"/>
    <s v="GAM (Hong Kong) Ltd."/>
    <m/>
    <m/>
    <m/>
    <m/>
    <m/>
    <m/>
    <m/>
    <m/>
    <n v="0"/>
    <n v="1.5E-5"/>
    <m/>
    <m/>
    <m/>
    <m/>
    <m/>
    <m/>
    <m/>
    <m/>
    <m/>
    <n v="0"/>
    <n v="1386800"/>
    <m/>
    <m/>
    <m/>
    <m/>
    <m/>
    <m/>
    <m/>
    <m/>
    <m/>
    <n v="-1386800"/>
    <n v="1386800"/>
    <m/>
    <m/>
    <m/>
    <m/>
    <m/>
    <m/>
    <m/>
    <m/>
    <m/>
    <n v="0"/>
    <n v="4013052444"/>
    <m/>
    <m/>
    <m/>
    <m/>
    <m/>
    <m/>
    <m/>
    <m/>
    <m/>
    <d v="2017-01-31T00:00:00"/>
    <d v="2016-12-31T00:00:00"/>
    <m/>
    <m/>
    <m/>
    <m/>
    <m/>
    <m/>
    <m/>
    <m/>
    <m/>
    <s v="Aggregate MFs"/>
    <s v="Aggregate MFs"/>
    <m/>
    <s v="Investment Managers"/>
    <s v="Investment Advisor/Hedge Fund"/>
    <n v="1900922500215.6001"/>
    <s v="Core Growth"/>
    <m/>
    <m/>
    <m/>
    <m/>
    <m/>
    <m/>
    <m/>
    <m/>
    <s v="Moderate"/>
    <s v="Moderate"/>
    <m/>
    <s v="Causeway Bay (Hong Kong)"/>
    <s v="Hong Kong"/>
  </r>
  <r>
    <n v="579"/>
    <s v="GAM Capital Management (Switzerland) AG"/>
    <m/>
    <m/>
    <m/>
    <m/>
    <m/>
    <n v="2.3E-5"/>
    <n v="2.3E-5"/>
    <m/>
    <m/>
    <m/>
    <m/>
    <m/>
    <m/>
    <m/>
    <m/>
    <m/>
    <n v="2133800"/>
    <n v="2133800"/>
    <m/>
    <m/>
    <m/>
    <m/>
    <m/>
    <m/>
    <m/>
    <m/>
    <m/>
    <n v="0"/>
    <n v="2133800"/>
    <m/>
    <m/>
    <m/>
    <m/>
    <m/>
    <m/>
    <m/>
    <m/>
    <m/>
    <n v="7441627502.1000004"/>
    <n v="7441627502.1000004"/>
    <m/>
    <m/>
    <m/>
    <m/>
    <m/>
    <m/>
    <m/>
    <m/>
    <m/>
    <d v="2019-09-30T00:00:00"/>
    <d v="2019-09-30T00:00:00"/>
    <m/>
    <m/>
    <m/>
    <m/>
    <m/>
    <m/>
    <m/>
    <m/>
    <m/>
    <s v="Aggregate MFs"/>
    <s v="Aggregate MFs"/>
    <m/>
    <m/>
    <m/>
    <m/>
    <s v="Investment Managers"/>
    <s v="Investment Advisor/Hedge Fund"/>
    <n v="14522904169940.4"/>
    <m/>
    <m/>
    <m/>
    <m/>
    <m/>
    <m/>
    <s v="High"/>
    <s v="High"/>
    <m/>
    <m/>
    <m/>
    <m/>
    <s v="Zurich"/>
    <s v="Switzerland"/>
  </r>
  <r>
    <n v="580"/>
    <s v="GAM International Management Ltd."/>
    <m/>
    <m/>
    <m/>
    <m/>
    <n v="0"/>
    <n v="0"/>
    <n v="1.1E-5"/>
    <n v="6.9999999999999999E-6"/>
    <n v="1.0000000000000001E-5"/>
    <m/>
    <m/>
    <m/>
    <m/>
    <m/>
    <m/>
    <n v="0"/>
    <n v="0"/>
    <n v="1058400"/>
    <n v="676200"/>
    <n v="926000"/>
    <m/>
    <m/>
    <m/>
    <m/>
    <m/>
    <m/>
    <n v="0"/>
    <n v="-1058400"/>
    <n v="382200"/>
    <n v="-249800"/>
    <n v="926000"/>
    <m/>
    <m/>
    <m/>
    <m/>
    <m/>
    <m/>
    <n v="0"/>
    <n v="0"/>
    <n v="4049938740.4000001"/>
    <n v="2462650825"/>
    <n v="3704000027.9000001"/>
    <m/>
    <m/>
    <m/>
    <m/>
    <m/>
    <m/>
    <d v="2020-12-31T00:00:00"/>
    <d v="2020-12-31T00:00:00"/>
    <d v="2019-12-31T00:00:00"/>
    <d v="2018-12-31T00:00:00"/>
    <d v="2017-12-31T00:00:00"/>
    <m/>
    <m/>
    <m/>
    <m/>
    <m/>
    <m/>
    <s v="Aggregate MFs"/>
    <s v="Aggregate MFs"/>
    <s v="Aggregate MFs"/>
    <s v="Aggregate MFs"/>
    <s v="Aggregate MFs"/>
    <m/>
    <m/>
    <s v="Investment Managers"/>
    <s v="Investment Advisor/Hedge Fund"/>
    <n v="37432639099207.203"/>
    <s v="Hedge Fund"/>
    <m/>
    <m/>
    <m/>
    <m/>
    <s v="Moderate"/>
    <s v="High"/>
    <s v="Moderate"/>
    <s v="High"/>
    <s v="Moderate"/>
    <m/>
    <m/>
    <s v="London"/>
    <s v="United Kingdom"/>
  </r>
  <r>
    <n v="581"/>
    <s v="GAM Investment Management Lugano S.A._NLE"/>
    <m/>
    <m/>
    <m/>
    <m/>
    <m/>
    <m/>
    <m/>
    <m/>
    <m/>
    <m/>
    <n v="1.6200000000000001E-4"/>
    <m/>
    <m/>
    <m/>
    <m/>
    <m/>
    <m/>
    <m/>
    <m/>
    <m/>
    <m/>
    <n v="14971988"/>
    <m/>
    <m/>
    <m/>
    <m/>
    <m/>
    <m/>
    <m/>
    <m/>
    <m/>
    <m/>
    <n v="0"/>
    <m/>
    <m/>
    <m/>
    <m/>
    <m/>
    <m/>
    <m/>
    <m/>
    <m/>
    <m/>
    <n v="35371321667.699997"/>
    <m/>
    <m/>
    <m/>
    <m/>
    <m/>
    <m/>
    <m/>
    <m/>
    <m/>
    <m/>
    <d v="2014-03-31T00:00:00"/>
    <m/>
    <m/>
    <m/>
    <m/>
    <m/>
    <m/>
    <m/>
    <m/>
    <m/>
    <m/>
    <s v="Aggregate MFs"/>
    <s v="Investment Managers"/>
    <s v="Investment Advisor/Hedge Fund"/>
    <n v="462688109937.59998"/>
    <m/>
    <m/>
    <m/>
    <m/>
    <m/>
    <m/>
    <m/>
    <m/>
    <m/>
    <m/>
    <m/>
    <s v="High"/>
    <s v="Lugano"/>
    <s v="Switzerland"/>
  </r>
  <r>
    <n v="582"/>
    <s v="GaveKal Capital Limited"/>
    <m/>
    <m/>
    <m/>
    <m/>
    <m/>
    <m/>
    <m/>
    <n v="0"/>
    <n v="0"/>
    <n v="1.9999999999999999E-6"/>
    <m/>
    <m/>
    <m/>
    <m/>
    <m/>
    <m/>
    <m/>
    <m/>
    <n v="0"/>
    <n v="0"/>
    <n v="227600"/>
    <m/>
    <m/>
    <m/>
    <m/>
    <m/>
    <m/>
    <m/>
    <m/>
    <n v="0"/>
    <n v="-227600"/>
    <n v="227600"/>
    <m/>
    <m/>
    <m/>
    <m/>
    <m/>
    <m/>
    <m/>
    <m/>
    <n v="0"/>
    <n v="0"/>
    <n v="637280062.64999998"/>
    <m/>
    <m/>
    <m/>
    <m/>
    <m/>
    <m/>
    <m/>
    <m/>
    <d v="2017-03-31T00:00:00"/>
    <d v="2017-03-31T00:00:00"/>
    <d v="2016-09-30T00:00:00"/>
    <m/>
    <m/>
    <m/>
    <m/>
    <m/>
    <m/>
    <m/>
    <m/>
    <s v="Aggregate MFs"/>
    <s v="Aggregate MFs"/>
    <s v="Aggregate MFs"/>
    <m/>
    <s v="Investment Managers"/>
    <s v="Investment Advisor/Hedge Fund"/>
    <n v="68149809600"/>
    <s v="Hedge Fund"/>
    <m/>
    <m/>
    <m/>
    <m/>
    <m/>
    <m/>
    <m/>
    <s v="High"/>
    <s v="High"/>
    <s v="High"/>
    <m/>
    <s v="Wanchai (Hong Kong)"/>
    <s v="Hong Kong"/>
  </r>
  <r>
    <n v="583"/>
    <s v="GE Asset Management Inc._NLE"/>
    <m/>
    <m/>
    <m/>
    <m/>
    <m/>
    <m/>
    <m/>
    <m/>
    <m/>
    <n v="1.8E-5"/>
    <n v="1.8E-5"/>
    <m/>
    <m/>
    <m/>
    <m/>
    <m/>
    <m/>
    <m/>
    <m/>
    <m/>
    <n v="1646000"/>
    <n v="1646000"/>
    <m/>
    <m/>
    <m/>
    <m/>
    <m/>
    <m/>
    <m/>
    <m/>
    <m/>
    <n v="0"/>
    <n v="0"/>
    <m/>
    <m/>
    <m/>
    <m/>
    <m/>
    <m/>
    <m/>
    <m/>
    <m/>
    <n v="3807756111"/>
    <n v="3807756111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/Hedge Fund"/>
    <n v="1684906101069.6001"/>
    <m/>
    <m/>
    <m/>
    <m/>
    <m/>
    <m/>
    <m/>
    <m/>
    <m/>
    <m/>
    <s v="Low"/>
    <s v="Low"/>
    <s v="Stamford"/>
    <s v="United States"/>
  </r>
  <r>
    <n v="584"/>
    <s v="Geneva Advisors, LLC_NLE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2-31T00:00:00"/>
    <m/>
    <m/>
    <m/>
    <m/>
    <m/>
    <m/>
    <m/>
    <m/>
    <m/>
    <m/>
    <s v="13F"/>
    <s v="Investment Managers"/>
    <s v="Investment Advisor"/>
    <n v="267034672472.39999"/>
    <m/>
    <m/>
    <m/>
    <m/>
    <m/>
    <m/>
    <m/>
    <m/>
    <m/>
    <m/>
    <m/>
    <s v="Low"/>
    <s v="Chicago"/>
    <s v="United States"/>
  </r>
  <r>
    <n v="585"/>
    <s v="GHP Arbitrium AG"/>
    <m/>
    <m/>
    <m/>
    <m/>
    <m/>
    <m/>
    <m/>
    <n v="1.2999999999999999E-5"/>
    <n v="1.2999999999999999E-5"/>
    <m/>
    <m/>
    <m/>
    <m/>
    <m/>
    <m/>
    <m/>
    <m/>
    <m/>
    <n v="1240000"/>
    <n v="1240000"/>
    <m/>
    <m/>
    <m/>
    <m/>
    <m/>
    <m/>
    <m/>
    <m/>
    <m/>
    <n v="0"/>
    <n v="1240000"/>
    <m/>
    <m/>
    <m/>
    <m/>
    <m/>
    <m/>
    <m/>
    <m/>
    <m/>
    <n v="3626999961.54"/>
    <n v="3626999961.54"/>
    <m/>
    <m/>
    <m/>
    <m/>
    <m/>
    <m/>
    <m/>
    <m/>
    <m/>
    <d v="2017-03-31T00:00:00"/>
    <d v="2017-03-31T00:00:00"/>
    <m/>
    <m/>
    <m/>
    <m/>
    <m/>
    <m/>
    <m/>
    <m/>
    <m/>
    <s v="Aggregate MFs"/>
    <s v="Aggregate MFs"/>
    <m/>
    <m/>
    <s v="Investment Managers"/>
    <s v="Investment Advisor"/>
    <n v="1477176044865.6001"/>
    <m/>
    <m/>
    <m/>
    <m/>
    <m/>
    <m/>
    <m/>
    <m/>
    <s v="Low"/>
    <s v="Low"/>
    <m/>
    <m/>
    <s v="Zurich"/>
    <s v="Switzerland"/>
  </r>
  <r>
    <n v="586"/>
    <s v="Global Index Advisors, Inc._NLE"/>
    <m/>
    <m/>
    <m/>
    <m/>
    <m/>
    <m/>
    <m/>
    <n v="9.0000000000000002E-6"/>
    <n v="9.0000000000000002E-6"/>
    <n v="1.1E-5"/>
    <n v="2.3E-5"/>
    <m/>
    <m/>
    <m/>
    <m/>
    <m/>
    <m/>
    <m/>
    <n v="830872"/>
    <n v="830872"/>
    <n v="1011468"/>
    <n v="2170748"/>
    <m/>
    <m/>
    <m/>
    <m/>
    <m/>
    <m/>
    <m/>
    <n v="0"/>
    <n v="-180596"/>
    <n v="-1159280"/>
    <n v="12840"/>
    <m/>
    <m/>
    <m/>
    <m/>
    <m/>
    <m/>
    <m/>
    <n v="2648404512"/>
    <n v="2648404512"/>
    <n v="2926935497.6999998"/>
    <n v="5021676168.8999996"/>
    <m/>
    <m/>
    <m/>
    <m/>
    <m/>
    <m/>
    <m/>
    <d v="2017-06-30T00:00:00"/>
    <d v="2017-06-30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198913246394.39999"/>
    <m/>
    <m/>
    <m/>
    <m/>
    <m/>
    <m/>
    <m/>
    <m/>
    <m/>
    <s v="Low"/>
    <s v="Moderate"/>
    <s v="Low"/>
    <s v="Marietta"/>
    <s v="United States"/>
  </r>
  <r>
    <n v="587"/>
    <s v="Global X Management Company LLC_NLE"/>
    <m/>
    <m/>
    <m/>
    <m/>
    <m/>
    <m/>
    <n v="4.3000000000000002E-5"/>
    <n v="4.3000000000000002E-5"/>
    <n v="3.6999999999999998E-5"/>
    <n v="3.4999999999999997E-5"/>
    <n v="9.6000000000000002E-5"/>
    <m/>
    <m/>
    <m/>
    <m/>
    <m/>
    <m/>
    <n v="3972084"/>
    <n v="3972084"/>
    <n v="3459884"/>
    <n v="3214064"/>
    <n v="8916312"/>
    <m/>
    <m/>
    <m/>
    <m/>
    <m/>
    <m/>
    <n v="0"/>
    <n v="512200"/>
    <n v="245820"/>
    <n v="-5702248"/>
    <n v="-468160"/>
    <m/>
    <m/>
    <m/>
    <m/>
    <m/>
    <m/>
    <n v="13207179258.6"/>
    <n v="13207179258.6"/>
    <n v="13839536066.4"/>
    <n v="9300697711.2000008"/>
    <n v="20626453042.200001"/>
    <m/>
    <m/>
    <m/>
    <m/>
    <m/>
    <m/>
    <d v="2018-07-31T00:00:00"/>
    <d v="2018-07-31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0"/>
    <m/>
    <m/>
    <m/>
    <m/>
    <m/>
    <m/>
    <m/>
    <s v="Low"/>
    <s v="Low"/>
    <s v="Moderate"/>
    <s v="Moderate"/>
    <s v="Moderate"/>
    <s v="New York"/>
    <s v="United States"/>
  </r>
  <r>
    <n v="588"/>
    <s v="Glovista Investments LLC"/>
    <m/>
    <m/>
    <m/>
    <m/>
    <m/>
    <n v="9.9999999999999995E-7"/>
    <n v="9.9999999999999995E-7"/>
    <n v="3.0000000000000001E-6"/>
    <n v="3.0000000000000001E-6"/>
    <m/>
    <m/>
    <m/>
    <m/>
    <m/>
    <m/>
    <m/>
    <n v="96764"/>
    <n v="96764"/>
    <n v="269620"/>
    <n v="299822"/>
    <m/>
    <m/>
    <m/>
    <m/>
    <m/>
    <m/>
    <m/>
    <n v="0"/>
    <n v="-172856"/>
    <n v="-30202"/>
    <n v="299822"/>
    <m/>
    <m/>
    <m/>
    <m/>
    <m/>
    <m/>
    <m/>
    <n v="370264823.19999999"/>
    <n v="370264823.19999999"/>
    <n v="981928362.5"/>
    <n v="1109341397.6400001"/>
    <m/>
    <m/>
    <m/>
    <m/>
    <m/>
    <m/>
    <m/>
    <d v="2019-12-31T00:00:00"/>
    <d v="2019-12-31T00:00:00"/>
    <d v="2018-12-31T00:00:00"/>
    <d v="2017-11-30T00:00:00"/>
    <m/>
    <m/>
    <m/>
    <m/>
    <m/>
    <m/>
    <m/>
    <s v="Aggregate MFs"/>
    <s v="Aggregate MFs"/>
    <s v="Aggregate MFs"/>
    <s v="Aggregate MFs"/>
    <m/>
    <m/>
    <s v="Investment Managers"/>
    <s v="Investment Advisor"/>
    <n v="3587097585828"/>
    <s v="Yield"/>
    <m/>
    <m/>
    <m/>
    <m/>
    <m/>
    <s v="High"/>
    <s v="High"/>
    <s v="High"/>
    <s v="High"/>
    <m/>
    <m/>
    <s v="Jersey City"/>
    <s v="United States"/>
  </r>
  <r>
    <n v="589"/>
    <s v="GNB Gestão de Ativos"/>
    <m/>
    <m/>
    <m/>
    <m/>
    <m/>
    <m/>
    <m/>
    <n v="5.0000000000000004E-6"/>
    <n v="5.0000000000000004E-6"/>
    <n v="5.0000000000000004E-6"/>
    <n v="1.2E-5"/>
    <m/>
    <m/>
    <m/>
    <m/>
    <m/>
    <m/>
    <m/>
    <n v="456000"/>
    <n v="456000"/>
    <n v="456000"/>
    <n v="1068000"/>
    <m/>
    <m/>
    <m/>
    <m/>
    <m/>
    <m/>
    <m/>
    <n v="0"/>
    <n v="0"/>
    <n v="-612000"/>
    <n v="0"/>
    <m/>
    <m/>
    <m/>
    <m/>
    <m/>
    <m/>
    <m/>
    <n v="1453500061"/>
    <n v="1453500061"/>
    <n v="1319550025.8"/>
    <n v="2470646124.9000001"/>
    <m/>
    <m/>
    <m/>
    <m/>
    <m/>
    <m/>
    <m/>
    <d v="2017-06-30T00:00:00"/>
    <d v="2017-06-30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5672836874286"/>
    <s v="Core Growth"/>
    <m/>
    <m/>
    <m/>
    <m/>
    <m/>
    <m/>
    <m/>
    <s v="Moderate"/>
    <s v="High"/>
    <s v="Moderate"/>
    <s v="Moderate"/>
    <s v="Lisbon"/>
    <s v="Portugal"/>
  </r>
  <r>
    <n v="590"/>
    <s v="Goldman Sachs Asset Management (Singapore) Pte.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6-30T00:00:00"/>
    <m/>
    <m/>
    <m/>
    <m/>
    <m/>
    <m/>
    <m/>
    <m/>
    <m/>
    <m/>
    <s v="Aggregate MFs"/>
    <s v="Investment Managers"/>
    <s v="Investment Advisor"/>
    <n v="5341648922048.4004"/>
    <s v="GARP"/>
    <m/>
    <m/>
    <m/>
    <m/>
    <m/>
    <m/>
    <m/>
    <m/>
    <m/>
    <m/>
    <s v="Low"/>
    <s v="Singapore"/>
    <s v="Singapore"/>
  </r>
  <r>
    <n v="591"/>
    <s v="Goldman Sachs Investment Management (Singapore) Ltd"/>
    <m/>
    <m/>
    <m/>
    <m/>
    <n v="1.9999999999999999E-6"/>
    <n v="1.9999999999999999E-6"/>
    <n v="7.9999999999999996E-6"/>
    <n v="0"/>
    <n v="0"/>
    <n v="7.4999999999999993E-5"/>
    <n v="0"/>
    <m/>
    <m/>
    <m/>
    <m/>
    <n v="193438"/>
    <n v="193438"/>
    <n v="771240"/>
    <n v="0"/>
    <n v="0"/>
    <n v="6917600"/>
    <n v="23224"/>
    <m/>
    <m/>
    <m/>
    <m/>
    <n v="0"/>
    <n v="-577802"/>
    <n v="771240"/>
    <n v="0"/>
    <n v="-6917600"/>
    <n v="6894376"/>
    <n v="0"/>
    <m/>
    <m/>
    <m/>
    <m/>
    <n v="478759056.39999998"/>
    <n v="478759056.39999998"/>
    <n v="2689699503"/>
    <n v="0"/>
    <n v="0"/>
    <n v="19369280033.099998"/>
    <n v="72429888.299999997"/>
    <m/>
    <m/>
    <m/>
    <m/>
    <d v="2020-06-30T00:00:00"/>
    <d v="2020-06-30T00:00:00"/>
    <d v="2019-11-30T00:00:00"/>
    <d v="2017-03-31T00:00:00"/>
    <d v="2017-03-31T00:00:00"/>
    <d v="2016-09-30T00:00:00"/>
    <d v="2015-03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3414480161442"/>
    <s v="GARP"/>
    <m/>
    <m/>
    <m/>
    <m/>
    <s v="Low"/>
    <s v="Low"/>
    <s v="High"/>
    <s v="Low"/>
    <s v="Low"/>
    <s v="Low"/>
    <s v="Low"/>
    <s v="Singapore"/>
    <s v="Singapore"/>
  </r>
  <r>
    <n v="592"/>
    <s v="Graubündner Kantonalbank"/>
    <m/>
    <m/>
    <m/>
    <m/>
    <n v="0"/>
    <n v="0"/>
    <n v="0"/>
    <n v="0"/>
    <m/>
    <m/>
    <m/>
    <m/>
    <m/>
    <m/>
    <m/>
    <n v="0"/>
    <n v="0"/>
    <n v="31038"/>
    <n v="20540"/>
    <m/>
    <m/>
    <m/>
    <m/>
    <m/>
    <m/>
    <m/>
    <n v="0"/>
    <n v="-31038"/>
    <n v="10498"/>
    <n v="20540"/>
    <m/>
    <m/>
    <m/>
    <m/>
    <m/>
    <m/>
    <m/>
    <n v="0"/>
    <n v="0"/>
    <n v="118766024.40000001"/>
    <n v="74804625"/>
    <m/>
    <m/>
    <m/>
    <m/>
    <m/>
    <m/>
    <m/>
    <d v="2020-08-31T00:00:00"/>
    <d v="2020-08-31T00:00:00"/>
    <d v="2019-12-31T00:00:00"/>
    <d v="2018-12-31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44518890052894.797"/>
    <m/>
    <m/>
    <m/>
    <m/>
    <m/>
    <s v="Moderate"/>
    <s v="High"/>
    <s v="High"/>
    <s v="High"/>
    <m/>
    <m/>
    <m/>
    <s v="Chur"/>
    <s v="Switzerland"/>
  </r>
  <r>
    <n v="593"/>
    <s v="Groupama Asset Management"/>
    <m/>
    <m/>
    <n v="3.9999999999999998E-6"/>
    <n v="3.9999999999999998E-6"/>
    <n v="3.0000000000000001E-6"/>
    <n v="5.0000000000000004E-6"/>
    <n v="5.0000000000000004E-6"/>
    <n v="6.9999999999999999E-6"/>
    <n v="6.9999999999999999E-6"/>
    <n v="5.0000000000000004E-6"/>
    <n v="7.9999999999999996E-6"/>
    <m/>
    <m/>
    <n v="339928"/>
    <n v="339928"/>
    <n v="316528"/>
    <n v="475128"/>
    <n v="475128"/>
    <n v="612128"/>
    <n v="612128"/>
    <n v="485728"/>
    <n v="777728"/>
    <m/>
    <m/>
    <n v="0"/>
    <n v="23400"/>
    <n v="-158600"/>
    <n v="0"/>
    <n v="-137000"/>
    <n v="0"/>
    <n v="126400"/>
    <n v="-292000"/>
    <n v="0"/>
    <m/>
    <m/>
    <n v="1342715606.0799999"/>
    <n v="1342715606.0799999"/>
    <n v="1110635452.5"/>
    <n v="1502592249.5999999"/>
    <n v="1818064304.8"/>
    <n v="2448511936.0500002"/>
    <n v="2448511936.0500002"/>
    <n v="1405575372.5999999"/>
    <n v="1799148585.75"/>
    <m/>
    <m/>
    <d v="2022-03-31T00:00:00"/>
    <d v="2022-03-31T00:00:00"/>
    <d v="2021-12-31T00:00:00"/>
    <d v="2020-12-31T00:00:00"/>
    <d v="2019-12-31T00:00:00"/>
    <d v="2017-12-31T00:00:00"/>
    <d v="2017-12-31T00:00:00"/>
    <d v="2016-12-31T00:00:00"/>
    <d v="2015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28097407314704"/>
    <s v="Core Growth"/>
    <m/>
    <m/>
    <s v="Low"/>
    <s v="Low"/>
    <s v="Low"/>
    <s v="Low"/>
    <s v="Low"/>
    <s v="Low"/>
    <s v="Low"/>
    <s v="Low"/>
    <s v="Moderate"/>
    <s v="Paris"/>
    <s v="France"/>
  </r>
  <r>
    <n v="594"/>
    <s v="Gunardi (Hery)"/>
    <m/>
    <m/>
    <m/>
    <m/>
    <m/>
    <n v="4.1E-5"/>
    <n v="2.4000000000000001E-5"/>
    <n v="1.4E-5"/>
    <n v="9.0000000000000002E-6"/>
    <n v="6.9999999999999999E-6"/>
    <m/>
    <m/>
    <m/>
    <m/>
    <m/>
    <m/>
    <n v="3784200"/>
    <n v="2204200"/>
    <n v="1320400"/>
    <n v="836000"/>
    <n v="686000"/>
    <m/>
    <m/>
    <m/>
    <m/>
    <m/>
    <m/>
    <n v="1580000"/>
    <n v="883800"/>
    <n v="484400"/>
    <n v="150000"/>
    <n v="686000"/>
    <m/>
    <m/>
    <m/>
    <m/>
    <m/>
    <m/>
    <n v="9384816000"/>
    <n v="8434311084"/>
    <n v="4808760937.5"/>
    <n v="3343999985.0500002"/>
    <n v="1985112558.9000001"/>
    <m/>
    <m/>
    <m/>
    <m/>
    <m/>
    <m/>
    <d v="2020-09-30T00:00:00"/>
    <d v="2019-12-31T00:00:00"/>
    <d v="2018-12-31T00:00:00"/>
    <d v="2017-12-31T00:00:00"/>
    <d v="2016-12-31T00:00:00"/>
    <m/>
    <m/>
    <m/>
    <m/>
    <m/>
    <m/>
    <s v="Indonesia Insider"/>
    <s v="Indonesia Insider"/>
    <s v="Indonesia Insider"/>
    <s v="Indonesia Insider"/>
    <s v="Indonesia Insider"/>
    <m/>
    <s v="Strategic Entities"/>
    <s v="Individual Investor"/>
    <n v="11144972350.799999"/>
    <m/>
    <m/>
    <m/>
    <m/>
    <m/>
    <m/>
    <s v="Low"/>
    <s v="Low"/>
    <s v="Low"/>
    <s v="Low"/>
    <s v="Low"/>
    <m/>
    <m/>
    <s v="Indonesia"/>
  </r>
  <r>
    <n v="595"/>
    <s v="GW&amp;K Investment Management, LLC"/>
    <m/>
    <n v="6.3E-5"/>
    <n v="6.3E-5"/>
    <n v="2.23E-4"/>
    <n v="2.8E-5"/>
    <n v="1.8E-5"/>
    <n v="1.01E-4"/>
    <m/>
    <m/>
    <m/>
    <m/>
    <m/>
    <n v="5797900"/>
    <n v="5797900"/>
    <n v="20609632"/>
    <n v="2594832"/>
    <n v="1698632"/>
    <n v="9341540"/>
    <m/>
    <m/>
    <m/>
    <m/>
    <m/>
    <n v="0"/>
    <n v="-14811732"/>
    <n v="18014800"/>
    <n v="896200"/>
    <n v="-7642908"/>
    <n v="9341540"/>
    <m/>
    <m/>
    <m/>
    <m/>
    <m/>
    <n v="35077295049"/>
    <n v="35077295049"/>
    <n v="102275298928"/>
    <n v="9104763472.5"/>
    <n v="5371923726"/>
    <n v="35745147760.400002"/>
    <m/>
    <m/>
    <m/>
    <m/>
    <m/>
    <d v="2023-12-31T00:00:00"/>
    <d v="2023-12-31T00:00:00"/>
    <d v="2022-12-31T00:00:00"/>
    <d v="2021-12-31T00:00:00"/>
    <d v="2020-12-31T00:00:00"/>
    <d v="2019-12-31T00:00:00"/>
    <m/>
    <m/>
    <m/>
    <m/>
    <m/>
    <s v="Aggregate MFs"/>
    <s v="Aggregate MFs"/>
    <s v="Aggregate MFs"/>
    <s v="Aggregate MFs"/>
    <s v="Aggregate MFs"/>
    <s v="Aggregate MFs"/>
    <m/>
    <m/>
    <m/>
    <m/>
    <s v="Investment Managers"/>
    <s v="Investment Advisor"/>
    <n v="193966004346799"/>
    <s v="Core Growth"/>
    <m/>
    <s v="Low"/>
    <s v="Low"/>
    <s v="Low"/>
    <s v="Low"/>
    <s v="Low"/>
    <s v="Low"/>
    <m/>
    <m/>
    <m/>
    <m/>
    <s v="Boston"/>
    <s v="United States"/>
  </r>
  <r>
    <n v="596"/>
    <s v="Hamon Investment Group Pte. Ltd."/>
    <m/>
    <m/>
    <m/>
    <m/>
    <m/>
    <n v="6.9999999999999999E-6"/>
    <n v="6.9999999999999999E-6"/>
    <m/>
    <m/>
    <n v="0"/>
    <n v="0"/>
    <m/>
    <m/>
    <m/>
    <m/>
    <m/>
    <n v="680000"/>
    <n v="680000"/>
    <m/>
    <m/>
    <n v="0"/>
    <n v="0"/>
    <m/>
    <m/>
    <m/>
    <m/>
    <m/>
    <n v="0"/>
    <n v="680000"/>
    <m/>
    <m/>
    <n v="0"/>
    <n v="0"/>
    <m/>
    <m/>
    <m/>
    <m/>
    <m/>
    <n v="2371500060.5999999"/>
    <n v="2371500060.5999999"/>
    <m/>
    <m/>
    <n v="0"/>
    <n v="0"/>
    <m/>
    <m/>
    <m/>
    <m/>
    <m/>
    <d v="2019-09-30T00:00:00"/>
    <d v="2019-09-30T00:00:00"/>
    <m/>
    <m/>
    <d v="2015-06-30T00:00:00"/>
    <d v="2015-06-30T00:00:00"/>
    <m/>
    <m/>
    <m/>
    <m/>
    <m/>
    <s v="Aggregate MFs"/>
    <s v="Aggregate MFs"/>
    <m/>
    <m/>
    <s v="Aggregate MFs"/>
    <s v="Aggregate MFs"/>
    <s v="Investment Managers"/>
    <s v="Investment Advisor/Hedge Fund"/>
    <n v="113197608364.8"/>
    <s v="GARP"/>
    <m/>
    <m/>
    <m/>
    <m/>
    <m/>
    <m/>
    <s v="Low"/>
    <m/>
    <m/>
    <m/>
    <s v="Moderate"/>
    <s v="Central (Hong Kong)"/>
    <s v="Hong Kong"/>
  </r>
  <r>
    <n v="597"/>
    <s v="Hansberger Growth Investors, LP_NLE"/>
    <m/>
    <m/>
    <m/>
    <m/>
    <m/>
    <m/>
    <m/>
    <m/>
    <n v="1.0000000000000001E-5"/>
    <n v="1.0000000000000001E-5"/>
    <n v="2.1999999999999999E-5"/>
    <m/>
    <m/>
    <m/>
    <m/>
    <m/>
    <m/>
    <m/>
    <m/>
    <n v="932648"/>
    <n v="932648"/>
    <n v="2052000"/>
    <m/>
    <m/>
    <m/>
    <m/>
    <m/>
    <m/>
    <m/>
    <m/>
    <n v="0"/>
    <n v="-1119352"/>
    <n v="0"/>
    <m/>
    <m/>
    <m/>
    <m/>
    <m/>
    <m/>
    <m/>
    <m/>
    <n v="2448200992"/>
    <n v="2448200992"/>
    <n v="4746971859.4499998"/>
    <m/>
    <m/>
    <m/>
    <m/>
    <m/>
    <m/>
    <m/>
    <m/>
    <d v="2016-11-30T00:00:00"/>
    <d v="2016-11-30T00:00:00"/>
    <d v="2015-12-31T00:00:00"/>
    <m/>
    <m/>
    <m/>
    <m/>
    <m/>
    <m/>
    <m/>
    <m/>
    <s v="Aggregate MFs"/>
    <s v="Aggregate MFs"/>
    <s v="Aggregate MFs"/>
    <s v="Investment Managers"/>
    <s v="Investment Advisor"/>
    <n v="1471673604265.2"/>
    <m/>
    <m/>
    <m/>
    <m/>
    <m/>
    <m/>
    <m/>
    <m/>
    <m/>
    <s v="Low"/>
    <s v="High"/>
    <s v="Moderate"/>
    <s v="Madison"/>
    <s v="United States"/>
  </r>
  <r>
    <n v="598"/>
    <s v="Hanwha Asset Management Co., Ltd."/>
    <m/>
    <n v="3.0000000000000001E-6"/>
    <n v="3.0000000000000001E-6"/>
    <n v="3.0000000000000001E-6"/>
    <n v="2.3E-5"/>
    <n v="9.0000000000000002E-6"/>
    <n v="4.5000000000000003E-5"/>
    <n v="3.8000000000000002E-5"/>
    <n v="3.8000000000000002E-5"/>
    <m/>
    <m/>
    <m/>
    <n v="290500"/>
    <n v="290500"/>
    <n v="248400"/>
    <n v="2156200"/>
    <n v="816200"/>
    <n v="4160800"/>
    <n v="3529800"/>
    <n v="3529800"/>
    <m/>
    <m/>
    <m/>
    <n v="0"/>
    <n v="42100"/>
    <n v="-1907800"/>
    <n v="1340000"/>
    <n v="-3344600"/>
    <n v="631000"/>
    <n v="0"/>
    <n v="3529800"/>
    <m/>
    <m/>
    <m/>
    <n v="1742929795.5"/>
    <n v="1742929795.5"/>
    <n v="981179944"/>
    <n v="6630314977.8000002"/>
    <n v="2581232518.8000002"/>
    <n v="15921187664.4"/>
    <n v="12855168481.25"/>
    <n v="14119199974.1"/>
    <m/>
    <m/>
    <m/>
    <d v="2023-09-30T00:00:00"/>
    <d v="2023-09-30T00:00:00"/>
    <d v="2022-03-31T00:00:00"/>
    <d v="2021-09-30T00:00:00"/>
    <d v="2020-12-31T00:00:00"/>
    <d v="2019-12-31T00:00:00"/>
    <d v="2018-12-31T00:00:00"/>
    <d v="2017-12-31T00:00:00"/>
    <m/>
    <m/>
    <m/>
    <s v="Aggregate MFs"/>
    <s v="Aggregate MFs"/>
    <s v="Aggregate MFs"/>
    <s v="Aggregate MFs"/>
    <s v="Aggregate MFs"/>
    <s v="Aggregate MFs"/>
    <s v="Aggregate MFs"/>
    <s v="Aggregate MFs"/>
    <m/>
    <m/>
    <s v="Investment Managers"/>
    <s v="Investment Advisor"/>
    <n v="72228764213413.203"/>
    <s v="Aggressive Growth"/>
    <m/>
    <s v="Low"/>
    <s v="Moderate"/>
    <s v="Moderate"/>
    <s v="Moderate"/>
    <s v="High"/>
    <s v="Moderate"/>
    <s v="Low"/>
    <s v="Moderate"/>
    <m/>
    <m/>
    <s v="Seoul"/>
    <s v="South Korea"/>
  </r>
  <r>
    <n v="599"/>
    <s v="Henderson Rowe Limited"/>
    <m/>
    <m/>
    <m/>
    <m/>
    <n v="0"/>
    <n v="0"/>
    <n v="3.9999999999999998E-6"/>
    <n v="6.9999999999999999E-6"/>
    <n v="6.9999999999999999E-6"/>
    <n v="1.1E-5"/>
    <n v="1.5E-5"/>
    <m/>
    <m/>
    <m/>
    <m/>
    <n v="0"/>
    <n v="0"/>
    <n v="374292"/>
    <n v="605392"/>
    <n v="665976"/>
    <n v="1037860"/>
    <n v="1363040"/>
    <m/>
    <m/>
    <m/>
    <m/>
    <n v="0"/>
    <n v="-374292"/>
    <n v="-231100"/>
    <n v="-60584"/>
    <n v="-371884"/>
    <n v="-325180"/>
    <n v="0"/>
    <m/>
    <m/>
    <m/>
    <m/>
    <n v="0"/>
    <n v="0"/>
    <n v="1432218071.2"/>
    <n v="2204775400"/>
    <n v="2663904059.8499999"/>
    <n v="2724382512"/>
    <n v="3153173731.8000002"/>
    <m/>
    <m/>
    <m/>
    <m/>
    <d v="2020-08-31T00:00:00"/>
    <d v="2020-08-31T00:00:00"/>
    <d v="2019-12-31T00:00:00"/>
    <d v="2018-12-31T00:00:00"/>
    <d v="2017-12-31T00:00:00"/>
    <d v="2016-11-30T00:00:00"/>
    <d v="2015-12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/Hedge Fund"/>
    <n v="443745453092.40002"/>
    <s v="GARP"/>
    <m/>
    <m/>
    <m/>
    <m/>
    <s v="High"/>
    <s v="High"/>
    <s v="High"/>
    <s v="Low"/>
    <s v="Low"/>
    <s v="Low"/>
    <s v="Low"/>
    <s v="London"/>
    <s v="United Kingdom"/>
  </r>
  <r>
    <n v="600"/>
    <s v="Hexavest Inc._NLE"/>
    <m/>
    <m/>
    <n v="5.0000000000000004E-6"/>
    <n v="5.0000000000000004E-6"/>
    <n v="0"/>
    <n v="3.9999999999999998E-6"/>
    <n v="6.0000000000000002E-5"/>
    <n v="0"/>
    <n v="1.1E-4"/>
    <n v="1.3200000000000001E-4"/>
    <n v="9.9999999999999995E-7"/>
    <m/>
    <m/>
    <n v="431378"/>
    <n v="431378"/>
    <n v="0"/>
    <n v="329880"/>
    <n v="5558524"/>
    <n v="0"/>
    <n v="10209868"/>
    <n v="12217644"/>
    <n v="102000"/>
    <m/>
    <m/>
    <n v="0"/>
    <n v="431378"/>
    <n v="-329880"/>
    <n v="-5228644"/>
    <n v="5558524"/>
    <n v="-10209868"/>
    <n v="-2007776"/>
    <n v="12115644"/>
    <n v="0"/>
    <m/>
    <m/>
    <n v="1930416559.5"/>
    <n v="1930416559.5"/>
    <n v="0"/>
    <n v="1043245429.2"/>
    <n v="21269540304.400002"/>
    <n v="0"/>
    <n v="40839471997.75"/>
    <n v="35354807331"/>
    <n v="235960602"/>
    <m/>
    <m/>
    <d v="2022-04-30T00:00:00"/>
    <d v="2022-04-30T00:00:00"/>
    <d v="2021-05-31T00:00:00"/>
    <d v="2020-12-31T00:00:00"/>
    <d v="2019-12-31T00:00:00"/>
    <d v="2018-01-31T00:00:00"/>
    <d v="2017-12-31T00:00:00"/>
    <d v="2016-12-31T00:00:00"/>
    <d v="2015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84862098410.399994"/>
    <m/>
    <m/>
    <m/>
    <m/>
    <s v="Low"/>
    <s v="Low"/>
    <s v="High"/>
    <s v="Moderate"/>
    <s v="Moderate"/>
    <s v="Moderate"/>
    <s v="Moderate"/>
    <s v="Moderate"/>
    <s v="Montreal"/>
    <s v="Canada"/>
  </r>
  <r>
    <n v="601"/>
    <s v="Highstreet Asset Management Inc."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0-12-31T00:00:00"/>
    <d v="2020-12-31T00:00:00"/>
    <m/>
    <m/>
    <m/>
    <m/>
    <m/>
    <m/>
    <m/>
    <m/>
    <m/>
    <s v="Aggregate MFs"/>
    <s v="Aggregate MFs"/>
    <m/>
    <m/>
    <m/>
    <m/>
    <m/>
    <s v="Investment Managers"/>
    <s v="Investment Advisor"/>
    <n v="30418448026009.199"/>
    <s v="GARP"/>
    <m/>
    <m/>
    <m/>
    <m/>
    <s v="Moderate"/>
    <s v="Low"/>
    <m/>
    <m/>
    <m/>
    <m/>
    <m/>
    <s v="London"/>
    <s v="Canada"/>
  </r>
  <r>
    <n v="602"/>
    <s v="HSBC Global Asset Management (France) S.A."/>
    <m/>
    <m/>
    <m/>
    <m/>
    <m/>
    <m/>
    <m/>
    <m/>
    <m/>
    <n v="3.1000000000000001E-5"/>
    <n v="3.1000000000000001E-5"/>
    <m/>
    <m/>
    <m/>
    <m/>
    <m/>
    <m/>
    <m/>
    <m/>
    <m/>
    <n v="2872000"/>
    <n v="2872000"/>
    <m/>
    <m/>
    <m/>
    <m/>
    <m/>
    <m/>
    <m/>
    <m/>
    <m/>
    <n v="0"/>
    <n v="0"/>
    <m/>
    <m/>
    <m/>
    <m/>
    <m/>
    <m/>
    <m/>
    <m/>
    <m/>
    <n v="6838950062.5"/>
    <n v="6838950062.5"/>
    <m/>
    <m/>
    <m/>
    <m/>
    <m/>
    <m/>
    <m/>
    <m/>
    <m/>
    <d v="2015-07-31T00:00:00"/>
    <d v="2015-07-31T00:00:00"/>
    <m/>
    <m/>
    <m/>
    <m/>
    <m/>
    <m/>
    <m/>
    <m/>
    <m/>
    <s v="Aggregate MFs"/>
    <s v="Aggregate MFs"/>
    <s v="Investment Managers"/>
    <s v="Investment Advisor"/>
    <n v="180189194572924"/>
    <s v="Core Growth"/>
    <m/>
    <m/>
    <m/>
    <m/>
    <m/>
    <m/>
    <m/>
    <m/>
    <m/>
    <s v="Moderate"/>
    <s v="Moderate"/>
    <s v="Puteaux"/>
    <s v="France"/>
  </r>
  <r>
    <n v="603"/>
    <s v="HSBC Global Asset Management (Taiwan) Limited"/>
    <m/>
    <m/>
    <m/>
    <m/>
    <m/>
    <m/>
    <m/>
    <n v="0"/>
    <n v="0"/>
    <n v="3.4E-5"/>
    <n v="0"/>
    <m/>
    <m/>
    <m/>
    <m/>
    <m/>
    <m/>
    <m/>
    <n v="0"/>
    <n v="0"/>
    <n v="3183508"/>
    <n v="0"/>
    <m/>
    <m/>
    <m/>
    <m/>
    <m/>
    <m/>
    <m/>
    <n v="0"/>
    <n v="-3183508"/>
    <n v="3183508"/>
    <n v="0"/>
    <m/>
    <m/>
    <m/>
    <m/>
    <m/>
    <m/>
    <m/>
    <n v="0"/>
    <n v="0"/>
    <n v="9212276320.7999992"/>
    <n v="0"/>
    <m/>
    <m/>
    <m/>
    <m/>
    <m/>
    <m/>
    <m/>
    <d v="2017-12-31T00:00:00"/>
    <d v="2017-12-31T00:00:00"/>
    <d v="2016-12-31T00:00:00"/>
    <d v="2014-12-31T00:00:00"/>
    <m/>
    <m/>
    <m/>
    <m/>
    <m/>
    <m/>
    <m/>
    <s v="Aggregate MFs"/>
    <s v="Aggregate MFs"/>
    <s v="Aggregate MFs"/>
    <s v="Aggregate MFs"/>
    <s v="Investment Managers"/>
    <s v="Investment Advisor"/>
    <n v="8183402850422.4004"/>
    <s v="Core Value"/>
    <m/>
    <m/>
    <m/>
    <m/>
    <m/>
    <m/>
    <m/>
    <s v="Low"/>
    <s v="Moderate"/>
    <s v="Moderate"/>
    <s v="Moderate"/>
    <s v="Taipei"/>
    <s v="Taiwan"/>
  </r>
  <r>
    <n v="604"/>
    <s v="HSBC Investment Funds (Luxembourg) S.A."/>
    <m/>
    <n v="3.3000000000000003E-5"/>
    <n v="3.3000000000000003E-5"/>
    <m/>
    <m/>
    <m/>
    <m/>
    <m/>
    <m/>
    <m/>
    <m/>
    <m/>
    <n v="3033600"/>
    <n v="3033600"/>
    <m/>
    <m/>
    <m/>
    <m/>
    <m/>
    <m/>
    <m/>
    <m/>
    <m/>
    <n v="0"/>
    <n v="3033600"/>
    <m/>
    <m/>
    <m/>
    <m/>
    <m/>
    <m/>
    <m/>
    <m/>
    <m/>
    <n v="17746560020.700001"/>
    <n v="17746560020.700001"/>
    <m/>
    <m/>
    <m/>
    <m/>
    <m/>
    <m/>
    <m/>
    <m/>
    <m/>
    <d v="2023-11-30T00:00:00"/>
    <d v="2023-11-30T00:00:00"/>
    <m/>
    <m/>
    <m/>
    <m/>
    <m/>
    <m/>
    <m/>
    <m/>
    <m/>
    <s v="Aggregate MFs"/>
    <s v="Aggregate MFs"/>
    <m/>
    <m/>
    <m/>
    <m/>
    <m/>
    <m/>
    <m/>
    <m/>
    <s v="Investment Managers"/>
    <s v="Investment Advisor"/>
    <n v="1170294734564.3999"/>
    <m/>
    <m/>
    <m/>
    <s v="Moderate"/>
    <m/>
    <m/>
    <m/>
    <m/>
    <m/>
    <m/>
    <m/>
    <m/>
    <s v="Luxembourg"/>
    <s v="Luxembourg"/>
  </r>
  <r>
    <n v="605"/>
    <s v="IKC Fonder AB"/>
    <m/>
    <m/>
    <m/>
    <m/>
    <m/>
    <m/>
    <m/>
    <n v="0"/>
    <n v="0"/>
    <n v="4.6999999999999997E-5"/>
    <n v="4.6999999999999997E-5"/>
    <m/>
    <m/>
    <m/>
    <m/>
    <m/>
    <m/>
    <m/>
    <n v="0"/>
    <n v="0"/>
    <n v="4360000"/>
    <n v="4360000"/>
    <m/>
    <m/>
    <m/>
    <m/>
    <m/>
    <m/>
    <m/>
    <n v="0"/>
    <n v="-4360000"/>
    <n v="0"/>
    <n v="0"/>
    <m/>
    <m/>
    <m/>
    <m/>
    <m/>
    <m/>
    <m/>
    <n v="0"/>
    <n v="0"/>
    <n v="12616749989.1"/>
    <n v="10086158346.9"/>
    <m/>
    <m/>
    <m/>
    <m/>
    <m/>
    <m/>
    <m/>
    <d v="2017-05-31T00:00:00"/>
    <d v="2017-05-31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13296142380508.801"/>
    <m/>
    <m/>
    <m/>
    <m/>
    <m/>
    <m/>
    <m/>
    <m/>
    <s v="Moderate"/>
    <s v="Moderate"/>
    <s v="Low"/>
    <s v="Low"/>
    <s v="Malmö"/>
    <s v="Sweden"/>
  </r>
  <r>
    <n v="606"/>
    <s v="Index Management Solutions, LLC_NLE"/>
    <m/>
    <m/>
    <m/>
    <m/>
    <m/>
    <m/>
    <m/>
    <m/>
    <n v="0"/>
    <n v="0"/>
    <n v="0"/>
    <m/>
    <m/>
    <m/>
    <m/>
    <m/>
    <m/>
    <m/>
    <m/>
    <n v="0"/>
    <n v="0"/>
    <n v="34488"/>
    <m/>
    <m/>
    <m/>
    <m/>
    <m/>
    <m/>
    <m/>
    <m/>
    <n v="0"/>
    <n v="-34488"/>
    <n v="0"/>
    <m/>
    <m/>
    <m/>
    <m/>
    <m/>
    <m/>
    <m/>
    <m/>
    <n v="0"/>
    <n v="0"/>
    <n v="75011340.75"/>
    <m/>
    <m/>
    <m/>
    <m/>
    <m/>
    <m/>
    <m/>
    <m/>
    <d v="2016-06-30T00:00:00"/>
    <d v="2016-06-30T00:00:00"/>
    <d v="2015-10-31T00:00:00"/>
    <m/>
    <m/>
    <m/>
    <m/>
    <m/>
    <m/>
    <m/>
    <m/>
    <s v="Aggregate MFs"/>
    <s v="Aggregate MFs"/>
    <s v="Aggregate MFs"/>
    <s v="Investment Managers"/>
    <s v="Investment Advisor"/>
    <n v="369900106204.79999"/>
    <m/>
    <m/>
    <m/>
    <m/>
    <m/>
    <m/>
    <m/>
    <m/>
    <m/>
    <s v="Low"/>
    <s v="High"/>
    <s v="High"/>
    <s v="Philadelphia"/>
    <s v="United States"/>
  </r>
  <r>
    <n v="607"/>
    <s v="Indriati (Susana Indah K.)"/>
    <m/>
    <m/>
    <n v="4.8000000000000001E-5"/>
    <n v="2.0000000000000002E-5"/>
    <n v="6.0000000000000002E-6"/>
    <n v="3.0000000000000001E-6"/>
    <m/>
    <m/>
    <m/>
    <m/>
    <m/>
    <m/>
    <m/>
    <n v="4438400"/>
    <n v="1824600"/>
    <n v="583600"/>
    <n v="236800"/>
    <m/>
    <m/>
    <m/>
    <m/>
    <m/>
    <m/>
    <m/>
    <n v="2613800"/>
    <n v="1241000"/>
    <n v="346800"/>
    <n v="236800"/>
    <m/>
    <m/>
    <m/>
    <m/>
    <m/>
    <m/>
    <m/>
    <n v="26852320012.75"/>
    <n v="9054577486.3500004"/>
    <n v="2047739535"/>
    <n v="748879981.20000005"/>
    <m/>
    <m/>
    <m/>
    <m/>
    <m/>
    <m/>
    <m/>
    <d v="2023-12-31T00:00:00"/>
    <d v="2022-12-31T00:00:00"/>
    <d v="2021-12-31T00:00:00"/>
    <d v="2020-12-31T00:00:00"/>
    <m/>
    <m/>
    <m/>
    <m/>
    <m/>
    <m/>
    <m/>
    <s v="Indonesia Insider"/>
    <s v="Indonesia Insider"/>
    <s v="Indonesia Insider"/>
    <s v="Indonesia Insider"/>
    <m/>
    <m/>
    <m/>
    <m/>
    <m/>
    <s v="Strategic Entities"/>
    <s v="Individual Investor"/>
    <n v="0"/>
    <m/>
    <m/>
    <m/>
    <s v="Low"/>
    <s v="Moderate"/>
    <s v="Low"/>
    <m/>
    <m/>
    <m/>
    <m/>
    <m/>
    <m/>
    <m/>
    <s v="Indonesia"/>
  </r>
  <r>
    <n v="608"/>
    <s v="Indus Capital Partners, LLC"/>
    <m/>
    <m/>
    <m/>
    <m/>
    <m/>
    <m/>
    <m/>
    <n v="0"/>
    <n v="0"/>
    <n v="5.5999999999999999E-5"/>
    <n v="1.7E-5"/>
    <m/>
    <m/>
    <m/>
    <m/>
    <m/>
    <m/>
    <m/>
    <n v="0"/>
    <n v="0"/>
    <n v="5154400"/>
    <n v="1536000"/>
    <m/>
    <m/>
    <m/>
    <m/>
    <m/>
    <m/>
    <m/>
    <n v="0"/>
    <n v="-5154400"/>
    <n v="3618400"/>
    <n v="0"/>
    <m/>
    <m/>
    <m/>
    <m/>
    <m/>
    <m/>
    <m/>
    <n v="0"/>
    <n v="0"/>
    <n v="14432320022.4"/>
    <n v="4224000024.0500002"/>
    <m/>
    <m/>
    <m/>
    <m/>
    <m/>
    <m/>
    <m/>
    <d v="2017-06-30T00:00:00"/>
    <d v="2017-06-30T00:00:00"/>
    <d v="2016-09-30T00:00:00"/>
    <d v="2015-01-31T00:00:00"/>
    <m/>
    <m/>
    <m/>
    <m/>
    <m/>
    <m/>
    <m/>
    <s v="Aggregate MFs"/>
    <s v="Aggregate MFs"/>
    <s v="Aggregate MFs"/>
    <s v="Aggregate MFs"/>
    <s v="Investment Managers"/>
    <s v="Hedge Fund"/>
    <n v="6715509065428.7998"/>
    <s v="Hedge Fund"/>
    <m/>
    <m/>
    <m/>
    <m/>
    <m/>
    <m/>
    <m/>
    <s v="High"/>
    <s v="Moderate"/>
    <s v="Moderate"/>
    <s v="Moderate"/>
    <s v="New York"/>
    <s v="United States"/>
  </r>
  <r>
    <n v="609"/>
    <s v="INTECH Investment Management LLC"/>
    <m/>
    <m/>
    <m/>
    <m/>
    <m/>
    <n v="0"/>
    <n v="0"/>
    <n v="0"/>
    <m/>
    <m/>
    <m/>
    <m/>
    <m/>
    <m/>
    <m/>
    <m/>
    <n v="0"/>
    <n v="0"/>
    <n v="3600"/>
    <m/>
    <m/>
    <m/>
    <m/>
    <m/>
    <m/>
    <m/>
    <m/>
    <n v="0"/>
    <n v="-3600"/>
    <n v="3600"/>
    <m/>
    <m/>
    <m/>
    <m/>
    <m/>
    <m/>
    <m/>
    <m/>
    <n v="0"/>
    <n v="0"/>
    <n v="13110862.5"/>
    <m/>
    <m/>
    <m/>
    <m/>
    <m/>
    <m/>
    <m/>
    <m/>
    <d v="2019-03-31T00:00:00"/>
    <d v="2019-03-31T00:00:00"/>
    <d v="2018-12-31T00:00:00"/>
    <m/>
    <m/>
    <m/>
    <m/>
    <m/>
    <m/>
    <m/>
    <m/>
    <s v="Aggregate MFs"/>
    <s v="Aggregate MFs"/>
    <s v="Aggregate MFs"/>
    <m/>
    <m/>
    <m/>
    <s v="Investment Managers"/>
    <s v="Investment Advisor/Hedge Fund"/>
    <n v="152273500786157"/>
    <s v="GARP"/>
    <m/>
    <m/>
    <m/>
    <m/>
    <m/>
    <s v="High"/>
    <s v="Moderate"/>
    <s v="High"/>
    <m/>
    <m/>
    <m/>
    <s v="West Palm Beach"/>
    <s v="United States"/>
  </r>
  <r>
    <n v="610"/>
    <s v="Intesa Sanpaolo Private Bank Suisse Morval SA_NLE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3-31T00:00:00"/>
    <d v="2015-03-31T00:00:00"/>
    <m/>
    <m/>
    <m/>
    <m/>
    <m/>
    <m/>
    <m/>
    <m/>
    <m/>
    <s v="Aggregate MFs"/>
    <s v="Aggregate MFs"/>
    <s v="Investment Managers"/>
    <s v="Bank and Trust"/>
    <n v="80045088883.199997"/>
    <m/>
    <m/>
    <m/>
    <m/>
    <m/>
    <m/>
    <m/>
    <m/>
    <m/>
    <m/>
    <s v="Moderate"/>
    <s v="Moderate"/>
    <s v="Geneva"/>
    <s v="Switzerland"/>
  </r>
  <r>
    <n v="611"/>
    <s v="INVESCO Asset Management Limited"/>
    <m/>
    <m/>
    <n v="3.0000000000000001E-6"/>
    <n v="3.9999999999999998E-6"/>
    <n v="0"/>
    <n v="0"/>
    <n v="0"/>
    <m/>
    <m/>
    <m/>
    <m/>
    <m/>
    <m/>
    <n v="289200"/>
    <n v="366000"/>
    <n v="0"/>
    <n v="0"/>
    <n v="39000"/>
    <m/>
    <m/>
    <m/>
    <m/>
    <m/>
    <m/>
    <n v="-76800"/>
    <n v="366000"/>
    <n v="0"/>
    <n v="-39000"/>
    <n v="39000"/>
    <m/>
    <m/>
    <m/>
    <m/>
    <m/>
    <m/>
    <n v="1438769939.8499999"/>
    <n v="1926074950.8"/>
    <n v="0"/>
    <n v="0"/>
    <n v="149232485.59999999"/>
    <m/>
    <m/>
    <m/>
    <m/>
    <m/>
    <m/>
    <d v="2023-01-31T00:00:00"/>
    <d v="2022-11-30T00:00:00"/>
    <d v="2020-05-31T00:00:00"/>
    <d v="2020-05-31T00:00:00"/>
    <d v="2019-12-31T00:00:00"/>
    <m/>
    <m/>
    <m/>
    <m/>
    <m/>
    <m/>
    <s v="Aggregate MFs"/>
    <s v="Aggregate MFs"/>
    <s v="Aggregate MFs"/>
    <s v="Aggregate MFs"/>
    <s v="Aggregate MFs"/>
    <m/>
    <m/>
    <m/>
    <m/>
    <s v="Investment Managers"/>
    <s v="Investment Advisor/Hedge Fund"/>
    <n v="968136717344833"/>
    <s v="Core Value"/>
    <m/>
    <m/>
    <s v="Low"/>
    <s v="Low"/>
    <s v="Low"/>
    <s v="Moderate"/>
    <s v="Low"/>
    <m/>
    <m/>
    <m/>
    <m/>
    <s v="Henley-on-Thames"/>
    <s v="United Kingdom"/>
  </r>
  <r>
    <n v="612"/>
    <s v="Irawan (Panji)"/>
    <m/>
    <m/>
    <m/>
    <n v="4.3999999999999999E-5"/>
    <n v="3.4E-5"/>
    <n v="2.5000000000000001E-5"/>
    <n v="6.9999999999999999E-6"/>
    <m/>
    <m/>
    <m/>
    <m/>
    <m/>
    <m/>
    <m/>
    <n v="4051400"/>
    <n v="3130400"/>
    <n v="2270200"/>
    <n v="690200"/>
    <m/>
    <m/>
    <m/>
    <m/>
    <m/>
    <m/>
    <m/>
    <n v="921000"/>
    <n v="860200"/>
    <n v="1580000"/>
    <n v="690200"/>
    <m/>
    <m/>
    <m/>
    <m/>
    <m/>
    <m/>
    <m/>
    <n v="20105072511.150002"/>
    <n v="10983967972.5"/>
    <n v="7179507457.1999998"/>
    <n v="2641031435.1999998"/>
    <m/>
    <m/>
    <m/>
    <m/>
    <m/>
    <m/>
    <m/>
    <d v="2022-12-31T00:00:00"/>
    <d v="2021-12-31T00:00:00"/>
    <d v="2020-12-31T00:00:00"/>
    <d v="2019-12-31T00:00:00"/>
    <m/>
    <m/>
    <m/>
    <m/>
    <m/>
    <m/>
    <m/>
    <s v="Indonesia Insider"/>
    <s v="Indonesia Insider"/>
    <s v="Indonesia Insider"/>
    <s v="Indonesia Insider"/>
    <m/>
    <m/>
    <m/>
    <m/>
    <s v="Strategic Entities"/>
    <s v="Individual Investor"/>
    <n v="21545300962.799999"/>
    <m/>
    <m/>
    <m/>
    <m/>
    <s v="Low"/>
    <s v="Low"/>
    <s v="Moderate"/>
    <s v="Low"/>
    <m/>
    <m/>
    <m/>
    <m/>
    <m/>
    <s v="Indonesia"/>
  </r>
  <r>
    <n v="613"/>
    <s v="Ireland Strategic Investment Fund"/>
    <m/>
    <m/>
    <m/>
    <m/>
    <m/>
    <m/>
    <m/>
    <m/>
    <m/>
    <m/>
    <n v="2.6999999999999999E-5"/>
    <m/>
    <m/>
    <m/>
    <m/>
    <m/>
    <m/>
    <m/>
    <m/>
    <m/>
    <m/>
    <n v="2499912"/>
    <m/>
    <m/>
    <m/>
    <m/>
    <m/>
    <m/>
    <m/>
    <m/>
    <m/>
    <m/>
    <n v="0"/>
    <m/>
    <m/>
    <m/>
    <m/>
    <m/>
    <m/>
    <m/>
    <m/>
    <m/>
    <m/>
    <n v="6698965693.3999996"/>
    <m/>
    <m/>
    <m/>
    <m/>
    <m/>
    <m/>
    <m/>
    <m/>
    <m/>
    <m/>
    <d v="2014-12-31T00:00:00"/>
    <m/>
    <m/>
    <m/>
    <m/>
    <m/>
    <m/>
    <m/>
    <m/>
    <m/>
    <m/>
    <s v="Shareholder Report"/>
    <s v="Investment Managers"/>
    <s v="Sovereign Wealth Fund"/>
    <n v="33285673086"/>
    <m/>
    <m/>
    <m/>
    <m/>
    <m/>
    <m/>
    <m/>
    <m/>
    <m/>
    <m/>
    <m/>
    <s v="Low"/>
    <s v="Dublin"/>
    <s v="Ireland"/>
  </r>
  <r>
    <n v="614"/>
    <s v="Ironbark Asset Management (Fund Services) Limited"/>
    <m/>
    <m/>
    <m/>
    <m/>
    <m/>
    <m/>
    <m/>
    <m/>
    <m/>
    <n v="6.7999999999999999E-5"/>
    <n v="9.2E-5"/>
    <m/>
    <m/>
    <m/>
    <m/>
    <m/>
    <m/>
    <m/>
    <m/>
    <m/>
    <n v="6237860"/>
    <n v="8540000"/>
    <m/>
    <m/>
    <m/>
    <m/>
    <m/>
    <m/>
    <m/>
    <m/>
    <m/>
    <n v="-2302140"/>
    <n v="0"/>
    <m/>
    <m/>
    <m/>
    <m/>
    <m/>
    <m/>
    <m/>
    <m/>
    <m/>
    <n v="14970863936.700001"/>
    <n v="19755915680.099998"/>
    <m/>
    <m/>
    <m/>
    <m/>
    <m/>
    <m/>
    <m/>
    <m/>
    <m/>
    <d v="2016-01-31T00:00:00"/>
    <d v="2015-12-31T00:00:00"/>
    <m/>
    <m/>
    <m/>
    <m/>
    <m/>
    <m/>
    <m/>
    <m/>
    <m/>
    <s v="Aggregate MFs"/>
    <s v="Aggregate MFs"/>
    <s v="Investment Managers"/>
    <s v="Investment Advisor/Hedge Fund"/>
    <n v="1162402774543.2"/>
    <s v="Core Growth"/>
    <m/>
    <m/>
    <m/>
    <m/>
    <m/>
    <m/>
    <m/>
    <m/>
    <m/>
    <s v="Low"/>
    <s v="Low"/>
    <s v="Sydney"/>
    <s v="Australia"/>
  </r>
  <r>
    <n v="615"/>
    <s v="IST Investmentstiftung"/>
    <m/>
    <n v="0"/>
    <n v="0"/>
    <n v="1.9999999999999999E-6"/>
    <n v="3.0000000000000001E-6"/>
    <n v="3.0000000000000001E-6"/>
    <m/>
    <m/>
    <m/>
    <m/>
    <m/>
    <m/>
    <n v="0"/>
    <n v="0"/>
    <n v="193544"/>
    <n v="305342"/>
    <n v="250252"/>
    <m/>
    <m/>
    <m/>
    <m/>
    <m/>
    <m/>
    <n v="0"/>
    <n v="-193544"/>
    <n v="-111798"/>
    <n v="55090"/>
    <n v="250252"/>
    <m/>
    <m/>
    <m/>
    <m/>
    <m/>
    <m/>
    <n v="0"/>
    <n v="0"/>
    <n v="960462139.45000005"/>
    <n v="1071385965"/>
    <n v="791421883.20000005"/>
    <m/>
    <m/>
    <m/>
    <m/>
    <m/>
    <m/>
    <d v="2023-10-31T00:00:00"/>
    <d v="2023-10-31T00:00:00"/>
    <d v="2022-12-31T00:00:00"/>
    <d v="2021-12-31T00:00:00"/>
    <d v="2020-12-31T00:00:00"/>
    <m/>
    <m/>
    <m/>
    <m/>
    <m/>
    <m/>
    <s v="Aggregate MFs"/>
    <s v="Aggregate MFs"/>
    <s v="Aggregate MFs"/>
    <s v="Aggregate MFs"/>
    <s v="Aggregate MFs"/>
    <m/>
    <m/>
    <m/>
    <m/>
    <m/>
    <s v="Investment Managers"/>
    <s v="Pension Fund"/>
    <n v="39479017980009.602"/>
    <s v="Core Value"/>
    <m/>
    <s v="Low"/>
    <s v="Moderate"/>
    <s v="Moderate"/>
    <s v="Low"/>
    <s v="Moderate"/>
    <m/>
    <m/>
    <m/>
    <m/>
    <m/>
    <s v="Zurich"/>
    <s v="Switzerland"/>
  </r>
  <r>
    <n v="616"/>
    <s v="Ivy Investment Management Company_NLE"/>
    <m/>
    <m/>
    <m/>
    <m/>
    <m/>
    <m/>
    <m/>
    <m/>
    <n v="4.06E-4"/>
    <n v="4.06E-4"/>
    <n v="5.6400000000000005E-4"/>
    <m/>
    <m/>
    <m/>
    <m/>
    <m/>
    <m/>
    <m/>
    <m/>
    <n v="37526800"/>
    <n v="37526800"/>
    <n v="52071600"/>
    <m/>
    <m/>
    <m/>
    <m/>
    <m/>
    <m/>
    <m/>
    <m/>
    <n v="0"/>
    <n v="-14544800"/>
    <n v="52071600"/>
    <m/>
    <m/>
    <m/>
    <m/>
    <m/>
    <m/>
    <m/>
    <m/>
    <n v="98507850006.5"/>
    <n v="98507850006.5"/>
    <n v="120459267199.5"/>
    <m/>
    <m/>
    <m/>
    <m/>
    <m/>
    <m/>
    <m/>
    <m/>
    <d v="2016-11-30T00:00:00"/>
    <d v="2016-11-30T00:00:00"/>
    <d v="2015-12-31T00:00:00"/>
    <m/>
    <m/>
    <m/>
    <m/>
    <m/>
    <m/>
    <m/>
    <m/>
    <s v="Aggregate MFs"/>
    <s v="Aggregate MFs"/>
    <s v="Aggregate MFs"/>
    <s v="Investment Managers"/>
    <s v="Investment Advisor"/>
    <n v="162308186088"/>
    <m/>
    <m/>
    <m/>
    <m/>
    <m/>
    <m/>
    <m/>
    <m/>
    <m/>
    <s v="High"/>
    <s v="Moderate"/>
    <s v="Moderate"/>
    <s v="Overland Park"/>
    <s v="United States"/>
  </r>
  <r>
    <n v="617"/>
    <s v="Jana Investment Advisers Pty Ltd."/>
    <m/>
    <m/>
    <m/>
    <m/>
    <m/>
    <m/>
    <m/>
    <m/>
    <m/>
    <n v="6.0000000000000002E-6"/>
    <n v="6.0000000000000002E-6"/>
    <m/>
    <m/>
    <m/>
    <m/>
    <m/>
    <m/>
    <m/>
    <m/>
    <m/>
    <n v="540860"/>
    <n v="540860"/>
    <m/>
    <m/>
    <m/>
    <m/>
    <m/>
    <m/>
    <m/>
    <m/>
    <m/>
    <n v="0"/>
    <n v="0"/>
    <m/>
    <m/>
    <m/>
    <m/>
    <m/>
    <m/>
    <m/>
    <m/>
    <m/>
    <n v="1176370542"/>
    <n v="1176370542"/>
    <m/>
    <m/>
    <m/>
    <m/>
    <m/>
    <m/>
    <m/>
    <m/>
    <m/>
    <d v="2015-10-31T00:00:00"/>
    <d v="2015-10-31T00:00:00"/>
    <m/>
    <m/>
    <m/>
    <m/>
    <m/>
    <m/>
    <m/>
    <m/>
    <m/>
    <s v="Aggregate MFs"/>
    <s v="Aggregate MFs"/>
    <s v="Investment Managers"/>
    <s v="Investment Advisor"/>
    <n v="1835733267183.6001"/>
    <m/>
    <m/>
    <m/>
    <m/>
    <m/>
    <m/>
    <m/>
    <m/>
    <m/>
    <m/>
    <s v="Low"/>
    <s v="Moderate"/>
    <s v="Sydney"/>
    <s v="Australia"/>
  </r>
  <r>
    <n v="618"/>
    <s v="JOM Fund Management Ltd_NLE"/>
    <m/>
    <m/>
    <m/>
    <m/>
    <n v="3.1999999999999999E-5"/>
    <n v="3.1999999999999999E-5"/>
    <n v="3.0000000000000001E-5"/>
    <n v="2.9E-5"/>
    <m/>
    <m/>
    <m/>
    <m/>
    <m/>
    <m/>
    <m/>
    <n v="3000000"/>
    <n v="3000000"/>
    <n v="2800000"/>
    <n v="2700000"/>
    <m/>
    <m/>
    <m/>
    <m/>
    <m/>
    <m/>
    <m/>
    <n v="0"/>
    <n v="200000"/>
    <n v="100000"/>
    <n v="2700000"/>
    <m/>
    <m/>
    <m/>
    <m/>
    <m/>
    <m/>
    <m/>
    <n v="6705000068.25"/>
    <n v="6705000068.25"/>
    <n v="10714123569.6"/>
    <n v="9833122150"/>
    <m/>
    <m/>
    <m/>
    <m/>
    <m/>
    <m/>
    <m/>
    <d v="2020-05-31T00:00:00"/>
    <d v="2020-05-31T00:00:00"/>
    <d v="2019-12-31T00:00:00"/>
    <d v="2018-12-31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0"/>
    <m/>
    <m/>
    <m/>
    <m/>
    <m/>
    <s v="Low"/>
    <s v="Low"/>
    <s v="High"/>
    <s v="High"/>
    <m/>
    <m/>
    <m/>
    <s v="Helsinki"/>
    <s v="Finland"/>
  </r>
  <r>
    <n v="619"/>
    <s v="JPMorgan Asset Management (Taiwan) Limited"/>
    <m/>
    <m/>
    <m/>
    <m/>
    <m/>
    <m/>
    <m/>
    <m/>
    <n v="0"/>
    <n v="0"/>
    <n v="5.3000000000000001E-5"/>
    <m/>
    <m/>
    <m/>
    <m/>
    <m/>
    <m/>
    <m/>
    <m/>
    <n v="0"/>
    <n v="0"/>
    <n v="4923368"/>
    <m/>
    <m/>
    <m/>
    <m/>
    <m/>
    <m/>
    <m/>
    <m/>
    <n v="0"/>
    <n v="-4923368"/>
    <n v="1819472"/>
    <m/>
    <m/>
    <m/>
    <m/>
    <m/>
    <m/>
    <m/>
    <m/>
    <n v="0"/>
    <n v="0"/>
    <n v="11389419541.200001"/>
    <m/>
    <m/>
    <m/>
    <m/>
    <m/>
    <m/>
    <m/>
    <m/>
    <d v="2016-12-31T00:00:00"/>
    <d v="2016-12-31T00:00:00"/>
    <d v="2015-12-31T00:00:00"/>
    <m/>
    <m/>
    <m/>
    <m/>
    <m/>
    <m/>
    <m/>
    <m/>
    <s v="Aggregate MFs"/>
    <s v="Aggregate MFs"/>
    <s v="Aggregate MFs"/>
    <s v="Investment Managers"/>
    <s v="Investment Advisor"/>
    <n v="54034161571704"/>
    <s v="GARP"/>
    <m/>
    <m/>
    <m/>
    <m/>
    <m/>
    <m/>
    <m/>
    <m/>
    <s v="Moderate"/>
    <s v="Moderate"/>
    <s v="Moderate"/>
    <s v="Taipei"/>
    <s v="Taiwan"/>
  </r>
  <r>
    <n v="620"/>
    <s v="Jupiter Asset Management Ltd."/>
    <m/>
    <n v="7.9999999999999996E-6"/>
    <n v="7.9999999999999996E-6"/>
    <m/>
    <m/>
    <m/>
    <n v="0"/>
    <n v="2.0000000000000002E-5"/>
    <n v="2.8899999999999998E-4"/>
    <n v="1.1E-4"/>
    <n v="3.6699999999999998E-4"/>
    <m/>
    <n v="721200"/>
    <n v="721200"/>
    <m/>
    <m/>
    <m/>
    <n v="0"/>
    <n v="1841800"/>
    <n v="26675200"/>
    <n v="10157600"/>
    <n v="33915600"/>
    <m/>
    <n v="0"/>
    <n v="721200"/>
    <m/>
    <m/>
    <m/>
    <n v="-1841800"/>
    <n v="-24833400"/>
    <n v="16517600"/>
    <n v="-23758000"/>
    <n v="1655200"/>
    <m/>
    <n v="3750240022.0999999"/>
    <n v="3750240022.0999999"/>
    <m/>
    <m/>
    <m/>
    <n v="0"/>
    <n v="6707646112.5"/>
    <n v="106700800020.39999"/>
    <n v="29393554977.299999"/>
    <n v="78458282938.350006"/>
    <m/>
    <d v="2023-06-30T00:00:00"/>
    <d v="2023-06-30T00:00:00"/>
    <m/>
    <m/>
    <m/>
    <d v="2019-01-31T00:00:00"/>
    <d v="2018-12-31T00:00:00"/>
    <d v="2017-12-31T00:00:00"/>
    <d v="2016-12-31T00:00:00"/>
    <d v="2015-12-31T00:00:00"/>
    <m/>
    <s v="Aggregate MFs"/>
    <s v="Aggregate MFs"/>
    <m/>
    <m/>
    <m/>
    <s v="Aggregate MFs"/>
    <s v="Aggregate MFs"/>
    <s v="Aggregate MFs"/>
    <s v="Aggregate MFs"/>
    <s v="Aggregate MFs"/>
    <s v="Investment Managers"/>
    <s v="Investment Advisor/Hedge Fund"/>
    <n v="737540166692633"/>
    <s v="Core Growth"/>
    <m/>
    <s v="Moderate"/>
    <s v="Low"/>
    <m/>
    <m/>
    <m/>
    <s v="Low"/>
    <s v="Low"/>
    <s v="Low"/>
    <s v="Moderate"/>
    <s v="Low"/>
    <s v="London"/>
    <s v="United Kingdom"/>
  </r>
  <r>
    <n v="621"/>
    <s v="KBC Asset Management N.V."/>
    <m/>
    <m/>
    <m/>
    <m/>
    <m/>
    <m/>
    <m/>
    <n v="3.6999999999999998E-5"/>
    <n v="3.6999999999999998E-5"/>
    <n v="3.8000000000000002E-5"/>
    <n v="3.8000000000000002E-5"/>
    <m/>
    <m/>
    <m/>
    <m/>
    <m/>
    <m/>
    <m/>
    <n v="3458432"/>
    <n v="3458432"/>
    <n v="3478048"/>
    <n v="3537196"/>
    <m/>
    <m/>
    <m/>
    <m/>
    <m/>
    <m/>
    <m/>
    <n v="0"/>
    <n v="-19616"/>
    <n v="-59148"/>
    <n v="0"/>
    <m/>
    <m/>
    <m/>
    <m/>
    <m/>
    <m/>
    <m/>
    <n v="11023751979.5"/>
    <n v="11023751979.5"/>
    <n v="8303839586.1300001"/>
    <n v="7516541520.3000002"/>
    <m/>
    <m/>
    <m/>
    <m/>
    <m/>
    <m/>
    <m/>
    <d v="2017-06-30T00:00:00"/>
    <d v="2017-06-30T00:00:00"/>
    <d v="2016-02-29T00:00:00"/>
    <d v="2015-11-30T00:00:00"/>
    <m/>
    <m/>
    <m/>
    <m/>
    <m/>
    <m/>
    <m/>
    <s v="Aggregate MFs"/>
    <s v="Aggregate MFs"/>
    <s v="Aggregate MFs"/>
    <s v="Aggregate MFs"/>
    <s v="Investment Managers"/>
    <s v="Investment Advisor"/>
    <n v="48471144261007.203"/>
    <s v="Core Value"/>
    <m/>
    <m/>
    <m/>
    <m/>
    <m/>
    <m/>
    <m/>
    <s v="Moderate"/>
    <s v="Low"/>
    <s v="Low"/>
    <s v="Moderate"/>
    <s v="Brussels"/>
    <s v="Belgium"/>
  </r>
  <r>
    <n v="622"/>
    <s v="KBC Fund Management Limited"/>
    <m/>
    <m/>
    <m/>
    <m/>
    <m/>
    <m/>
    <m/>
    <m/>
    <m/>
    <n v="0"/>
    <n v="9.6000000000000002E-5"/>
    <m/>
    <m/>
    <m/>
    <m/>
    <m/>
    <m/>
    <m/>
    <m/>
    <m/>
    <n v="0"/>
    <n v="8884072"/>
    <m/>
    <m/>
    <m/>
    <m/>
    <m/>
    <m/>
    <m/>
    <m/>
    <m/>
    <n v="-8884072"/>
    <n v="0"/>
    <m/>
    <m/>
    <m/>
    <m/>
    <m/>
    <m/>
    <m/>
    <m/>
    <m/>
    <n v="0"/>
    <n v="18878652978.900002"/>
    <m/>
    <m/>
    <m/>
    <m/>
    <m/>
    <m/>
    <m/>
    <m/>
    <m/>
    <d v="2016-01-31T00:00:00"/>
    <d v="2015-11-30T00:00:00"/>
    <m/>
    <m/>
    <m/>
    <m/>
    <m/>
    <m/>
    <m/>
    <m/>
    <m/>
    <s v="Aggregate MFs"/>
    <s v="Aggregate MFs"/>
    <s v="Investment Managers"/>
    <s v="Investment Advisor/Hedge Fund"/>
    <n v="6930582762516"/>
    <s v="Income Value"/>
    <m/>
    <m/>
    <m/>
    <m/>
    <m/>
    <m/>
    <m/>
    <m/>
    <m/>
    <s v="Low"/>
    <s v="High"/>
    <s v="Dublin"/>
    <s v="Ireland"/>
  </r>
  <r>
    <n v="623"/>
    <s v="KGI Securities Investment Trust Company Ltd."/>
    <m/>
    <m/>
    <m/>
    <m/>
    <m/>
    <m/>
    <m/>
    <m/>
    <n v="0"/>
    <n v="0"/>
    <n v="5.5000000000000002E-5"/>
    <m/>
    <m/>
    <m/>
    <m/>
    <m/>
    <m/>
    <m/>
    <m/>
    <n v="0"/>
    <n v="0"/>
    <n v="5083044"/>
    <m/>
    <m/>
    <m/>
    <m/>
    <m/>
    <m/>
    <m/>
    <m/>
    <n v="0"/>
    <n v="-5083044"/>
    <n v="5083044"/>
    <m/>
    <m/>
    <m/>
    <m/>
    <m/>
    <m/>
    <m/>
    <m/>
    <n v="0"/>
    <n v="0"/>
    <n v="11758804331.1"/>
    <m/>
    <m/>
    <m/>
    <m/>
    <m/>
    <m/>
    <m/>
    <m/>
    <d v="2016-12-31T00:00:00"/>
    <d v="2016-12-31T00:00:00"/>
    <d v="2015-12-31T00:00:00"/>
    <m/>
    <m/>
    <m/>
    <m/>
    <m/>
    <m/>
    <m/>
    <m/>
    <s v="Aggregate MFs"/>
    <s v="Aggregate MFs"/>
    <s v="Aggregate MFs"/>
    <s v="Investment Managers"/>
    <s v="Investment Advisor"/>
    <n v="20572018745595.602"/>
    <m/>
    <m/>
    <m/>
    <m/>
    <m/>
    <m/>
    <m/>
    <m/>
    <m/>
    <s v="Moderate"/>
    <s v="High"/>
    <s v="High"/>
    <s v="Taipei"/>
    <s v="Taiwan"/>
  </r>
  <r>
    <n v="624"/>
    <s v="Kiwoom Asset Management Co., Ltd."/>
    <m/>
    <m/>
    <m/>
    <m/>
    <n v="1.8E-5"/>
    <n v="1.8E-5"/>
    <n v="1.1E-5"/>
    <n v="6.9999999999999999E-6"/>
    <m/>
    <m/>
    <m/>
    <m/>
    <m/>
    <m/>
    <m/>
    <n v="1680000"/>
    <n v="1680000"/>
    <n v="1062000"/>
    <n v="631600"/>
    <m/>
    <m/>
    <m/>
    <m/>
    <m/>
    <m/>
    <m/>
    <n v="0"/>
    <n v="618000"/>
    <n v="430400"/>
    <n v="631600"/>
    <m/>
    <m/>
    <m/>
    <m/>
    <m/>
    <m/>
    <m/>
    <n v="4157999982"/>
    <n v="4157999982"/>
    <n v="4063713946.4000001"/>
    <n v="2123754961"/>
    <m/>
    <m/>
    <m/>
    <m/>
    <m/>
    <m/>
    <m/>
    <d v="2020-06-30T00:00:00"/>
    <d v="2020-06-30T00:00:00"/>
    <d v="2019-12-31T00:00:00"/>
    <d v="2018-09-30T00:00:00"/>
    <m/>
    <m/>
    <m/>
    <m/>
    <m/>
    <m/>
    <m/>
    <s v="Aggregate MFs"/>
    <s v="Aggregate MFs"/>
    <s v="Aggregate MFs"/>
    <s v="Aggregate MFs"/>
    <m/>
    <m/>
    <m/>
    <s v="Investment Managers"/>
    <s v="Investment Advisor"/>
    <n v="37304091216772.797"/>
    <m/>
    <m/>
    <m/>
    <m/>
    <m/>
    <s v="Moderate"/>
    <s v="Moderate"/>
    <s v="Moderate"/>
    <s v="Low"/>
    <m/>
    <m/>
    <m/>
    <s v="Seoul"/>
    <s v="South Korea"/>
  </r>
  <r>
    <n v="625"/>
    <s v="Kokusai Asset Management Co., Ltd._NLE"/>
    <m/>
    <m/>
    <m/>
    <m/>
    <m/>
    <m/>
    <m/>
    <m/>
    <m/>
    <m/>
    <n v="5.8999999999999998E-5"/>
    <m/>
    <m/>
    <m/>
    <m/>
    <m/>
    <m/>
    <m/>
    <m/>
    <m/>
    <m/>
    <n v="5448400"/>
    <m/>
    <m/>
    <m/>
    <m/>
    <m/>
    <m/>
    <m/>
    <m/>
    <m/>
    <m/>
    <n v="0"/>
    <m/>
    <m/>
    <m/>
    <m/>
    <m/>
    <m/>
    <m/>
    <m/>
    <m/>
    <m/>
    <n v="14983100026.700001"/>
    <m/>
    <m/>
    <m/>
    <m/>
    <m/>
    <m/>
    <m/>
    <m/>
    <m/>
    <m/>
    <d v="2015-01-31T00:00:00"/>
    <m/>
    <m/>
    <m/>
    <m/>
    <m/>
    <m/>
    <m/>
    <m/>
    <m/>
    <m/>
    <s v="Aggregate MFs"/>
    <s v="Investment Managers"/>
    <s v="Investment Advisor"/>
    <n v="533789728764"/>
    <m/>
    <m/>
    <m/>
    <m/>
    <m/>
    <m/>
    <m/>
    <m/>
    <m/>
    <m/>
    <m/>
    <s v="Low"/>
    <s v="Chiyoda-ku (Tokyo)"/>
    <s v="Japan"/>
  </r>
  <r>
    <n v="626"/>
    <s v="Legato Capital Management LLC"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9-12-31T00:00:00"/>
    <d v="2019-12-31T00:00:00"/>
    <m/>
    <m/>
    <m/>
    <m/>
    <m/>
    <m/>
    <m/>
    <m/>
    <m/>
    <s v="13F"/>
    <s v="13F"/>
    <m/>
    <m/>
    <m/>
    <m/>
    <s v="Investment Managers"/>
    <s v="Investment Advisor"/>
    <n v="13999832610357.6"/>
    <s v="Core Value"/>
    <m/>
    <m/>
    <m/>
    <m/>
    <m/>
    <s v="Moderate"/>
    <s v="High"/>
    <m/>
    <m/>
    <m/>
    <m/>
    <s v="San Francisco"/>
    <s v="United States"/>
  </r>
  <r>
    <n v="627"/>
    <s v="Leith Wheeler Investment Counsel Ltd."/>
    <m/>
    <m/>
    <n v="0"/>
    <n v="0"/>
    <n v="5.5000000000000002E-5"/>
    <n v="5.8E-5"/>
    <m/>
    <n v="0"/>
    <n v="0"/>
    <m/>
    <m/>
    <m/>
    <m/>
    <n v="0"/>
    <n v="0"/>
    <n v="5102400"/>
    <n v="5332600"/>
    <m/>
    <n v="0"/>
    <n v="0"/>
    <m/>
    <m/>
    <m/>
    <m/>
    <n v="0"/>
    <n v="-5102400"/>
    <n v="-230200"/>
    <n v="5332600"/>
    <m/>
    <n v="0"/>
    <n v="0"/>
    <m/>
    <m/>
    <m/>
    <m/>
    <n v="0"/>
    <n v="0"/>
    <n v="17903334345"/>
    <n v="16864347474"/>
    <m/>
    <n v="0"/>
    <n v="0"/>
    <m/>
    <m/>
    <m/>
    <m/>
    <d v="2022-12-31T00:00:00"/>
    <d v="2022-12-31T00:00:00"/>
    <d v="2021-12-31T00:00:00"/>
    <d v="2020-12-31T00:00:00"/>
    <m/>
    <d v="2017-09-30T00:00:00"/>
    <d v="2017-09-30T00:00:00"/>
    <m/>
    <m/>
    <m/>
    <m/>
    <s v="Aggregate MFs"/>
    <s v="Aggregate MFs"/>
    <s v="Aggregate MFs"/>
    <s v="Aggregate MFs"/>
    <m/>
    <s v="Aggregate MFs"/>
    <s v="Aggregate MFs"/>
    <m/>
    <m/>
    <s v="Investment Managers"/>
    <s v="Investment Advisor"/>
    <n v="110266902586830"/>
    <s v="Core Value"/>
    <m/>
    <m/>
    <s v="Low"/>
    <s v="Low"/>
    <s v="Low"/>
    <s v="Low"/>
    <m/>
    <s v="Low"/>
    <s v="Low"/>
    <m/>
    <m/>
    <s v="Vancouver"/>
    <s v="Canada"/>
  </r>
  <r>
    <n v="628"/>
    <s v="Leuthold Weeden Capital Management"/>
    <m/>
    <m/>
    <m/>
    <m/>
    <n v="0"/>
    <n v="0"/>
    <n v="3.9999999999999998E-6"/>
    <m/>
    <m/>
    <m/>
    <m/>
    <m/>
    <m/>
    <m/>
    <m/>
    <n v="0"/>
    <n v="0"/>
    <n v="400000"/>
    <m/>
    <m/>
    <m/>
    <m/>
    <m/>
    <m/>
    <m/>
    <m/>
    <n v="0"/>
    <n v="-400000"/>
    <n v="400000"/>
    <m/>
    <m/>
    <m/>
    <m/>
    <m/>
    <m/>
    <m/>
    <m/>
    <n v="0"/>
    <n v="0"/>
    <n v="1530589101.2"/>
    <m/>
    <m/>
    <m/>
    <m/>
    <m/>
    <m/>
    <m/>
    <m/>
    <d v="2020-06-30T00:00:00"/>
    <d v="2020-06-30T00:00:00"/>
    <d v="2019-12-31T00:00:00"/>
    <m/>
    <m/>
    <m/>
    <m/>
    <m/>
    <m/>
    <m/>
    <m/>
    <s v="Aggregate MFs"/>
    <s v="Aggregate MFs"/>
    <s v="Aggregate MFs"/>
    <m/>
    <m/>
    <m/>
    <m/>
    <s v="Investment Managers"/>
    <s v="Investment Advisor/Hedge Fund"/>
    <n v="14090511309996"/>
    <s v="GARP"/>
    <m/>
    <m/>
    <m/>
    <m/>
    <s v="Low"/>
    <s v="Moderate"/>
    <s v="Moderate"/>
    <m/>
    <m/>
    <m/>
    <m/>
    <s v="Minneapolis"/>
    <s v="United States"/>
  </r>
  <r>
    <n v="629"/>
    <s v="LGT Capital Partners Ltd."/>
    <m/>
    <m/>
    <m/>
    <m/>
    <m/>
    <m/>
    <m/>
    <n v="0"/>
    <n v="0"/>
    <n v="5.5000000000000002E-5"/>
    <n v="8.8999999999999995E-5"/>
    <m/>
    <m/>
    <m/>
    <m/>
    <m/>
    <m/>
    <m/>
    <n v="0"/>
    <n v="0"/>
    <n v="5050800"/>
    <n v="8232000"/>
    <m/>
    <m/>
    <m/>
    <m/>
    <m/>
    <m/>
    <m/>
    <n v="0"/>
    <n v="-5050800"/>
    <n v="-3181200"/>
    <n v="0"/>
    <m/>
    <m/>
    <m/>
    <m/>
    <m/>
    <m/>
    <m/>
    <n v="0"/>
    <n v="0"/>
    <n v="13258349935.5"/>
    <n v="17492999970"/>
    <m/>
    <m/>
    <m/>
    <m/>
    <m/>
    <m/>
    <m/>
    <d v="2017-05-31T00:00:00"/>
    <d v="2017-05-31T00:00:00"/>
    <d v="2016-11-30T00:00:00"/>
    <d v="2015-11-30T00:00:00"/>
    <m/>
    <m/>
    <m/>
    <m/>
    <m/>
    <m/>
    <m/>
    <s v="Aggregate MFs"/>
    <s v="Aggregate MFs"/>
    <s v="Aggregate MFs"/>
    <s v="Aggregate MFs"/>
    <s v="Investment Managers"/>
    <s v="Investment Advisor/Hedge Fund"/>
    <n v="69895167518031.602"/>
    <s v="GARP"/>
    <m/>
    <m/>
    <m/>
    <m/>
    <m/>
    <m/>
    <m/>
    <s v="Moderate"/>
    <s v="High"/>
    <s v="High"/>
    <s v="Moderate"/>
    <s v="Pfäffikon"/>
    <s v="Switzerland"/>
  </r>
  <r>
    <n v="630"/>
    <s v="Lincoln Investment Advisors Corporation"/>
    <m/>
    <m/>
    <m/>
    <m/>
    <m/>
    <n v="5.1999999999999997E-5"/>
    <n v="4.6999999999999997E-5"/>
    <m/>
    <n v="2.1999999999999999E-5"/>
    <n v="2.1999999999999999E-5"/>
    <n v="2.5999999999999998E-5"/>
    <m/>
    <m/>
    <m/>
    <m/>
    <m/>
    <n v="4829200"/>
    <n v="4368800"/>
    <m/>
    <n v="2007200"/>
    <n v="2007200"/>
    <n v="2370800"/>
    <m/>
    <m/>
    <m/>
    <m/>
    <m/>
    <n v="460400"/>
    <n v="4368800"/>
    <m/>
    <n v="0"/>
    <n v="-363600"/>
    <n v="82400"/>
    <m/>
    <m/>
    <m/>
    <m/>
    <m/>
    <n v="11952269959.4"/>
    <n v="16717093930.4"/>
    <m/>
    <n v="5620160033.6099997"/>
    <n v="5620160033.6099997"/>
    <n v="5484464259"/>
    <m/>
    <m/>
    <m/>
    <m/>
    <m/>
    <d v="2020-06-30T00:00:00"/>
    <d v="2019-12-31T00:00:00"/>
    <m/>
    <d v="2016-09-30T00:00:00"/>
    <d v="2016-09-30T00:00:00"/>
    <d v="2015-12-31T00:00:00"/>
    <m/>
    <m/>
    <m/>
    <m/>
    <m/>
    <s v="Aggregate MFs"/>
    <s v="Aggregate MFs"/>
    <m/>
    <s v="Aggregate MFs"/>
    <s v="Aggregate MFs"/>
    <s v="Aggregate MFs"/>
    <s v="Investment Managers"/>
    <s v="Investment Advisor"/>
    <n v="129208799235692"/>
    <m/>
    <m/>
    <m/>
    <m/>
    <m/>
    <m/>
    <s v="Low"/>
    <s v="Low"/>
    <m/>
    <s v="Low"/>
    <s v="Low"/>
    <s v="Moderate"/>
    <s v="Radnor"/>
    <s v="United States"/>
  </r>
  <r>
    <n v="631"/>
    <s v="LMCG Investments, LLC"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0-11-30T00:00:00"/>
    <d v="2020-11-30T00:00:00"/>
    <m/>
    <m/>
    <m/>
    <m/>
    <m/>
    <m/>
    <m/>
    <m/>
    <m/>
    <s v="Aggregate MFs"/>
    <s v="Aggregate MFs"/>
    <m/>
    <m/>
    <m/>
    <m/>
    <m/>
    <s v="Investment Managers"/>
    <s v="Investment Advisor/Hedge Fund"/>
    <n v="28064368762838.398"/>
    <s v="Growth"/>
    <m/>
    <m/>
    <m/>
    <m/>
    <s v="Low"/>
    <s v="Moderate"/>
    <m/>
    <m/>
    <m/>
    <m/>
    <m/>
    <s v="Boston"/>
    <s v="United States"/>
  </r>
  <r>
    <n v="632"/>
    <s v="Lyxor Asset Management_NLE"/>
    <m/>
    <m/>
    <m/>
    <m/>
    <m/>
    <m/>
    <m/>
    <m/>
    <m/>
    <n v="2.8200000000000002E-4"/>
    <n v="2.8200000000000002E-4"/>
    <m/>
    <m/>
    <m/>
    <m/>
    <m/>
    <m/>
    <m/>
    <m/>
    <m/>
    <n v="26065840"/>
    <n v="26065840"/>
    <m/>
    <m/>
    <m/>
    <m/>
    <m/>
    <m/>
    <m/>
    <m/>
    <m/>
    <n v="0"/>
    <n v="-100096"/>
    <m/>
    <m/>
    <m/>
    <m/>
    <m/>
    <m/>
    <m/>
    <m/>
    <m/>
    <n v="60299126266.050003"/>
    <n v="60299126266.050003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/Hedge Fund"/>
    <n v="0"/>
    <m/>
    <m/>
    <m/>
    <m/>
    <m/>
    <m/>
    <m/>
    <m/>
    <m/>
    <m/>
    <s v="High"/>
    <s v="Low"/>
    <s v="Paris"/>
    <s v="France"/>
  </r>
  <r>
    <n v="633"/>
    <s v="Lyxor Funds Solutions S.A._NLE"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6-09-30T00:00:00"/>
    <d v="2016-09-30T00:00:00"/>
    <m/>
    <m/>
    <m/>
    <m/>
    <m/>
    <m/>
    <m/>
    <m/>
    <m/>
    <s v="Aggregate MFs"/>
    <s v="Aggregate MFs"/>
    <m/>
    <s v="Investment Managers"/>
    <s v="Investment Advisor"/>
    <n v="0"/>
    <m/>
    <m/>
    <m/>
    <m/>
    <m/>
    <m/>
    <m/>
    <m/>
    <m/>
    <s v="High"/>
    <s v="High"/>
    <m/>
    <s v="Luxembourg"/>
    <s v="Luxembourg"/>
  </r>
  <r>
    <n v="634"/>
    <s v="Mackenzie Investments Asia Limited"/>
    <m/>
    <m/>
    <m/>
    <m/>
    <m/>
    <m/>
    <m/>
    <m/>
    <n v="0"/>
    <n v="0"/>
    <n v="8.2999999999999998E-5"/>
    <m/>
    <m/>
    <m/>
    <m/>
    <m/>
    <m/>
    <m/>
    <m/>
    <n v="0"/>
    <n v="0"/>
    <n v="7693600"/>
    <m/>
    <m/>
    <m/>
    <m/>
    <m/>
    <m/>
    <m/>
    <m/>
    <n v="0"/>
    <n v="-7693600"/>
    <n v="0"/>
    <m/>
    <m/>
    <m/>
    <m/>
    <m/>
    <m/>
    <m/>
    <m/>
    <n v="0"/>
    <n v="0"/>
    <n v="17797905583.799999"/>
    <m/>
    <m/>
    <m/>
    <m/>
    <m/>
    <m/>
    <m/>
    <m/>
    <d v="2016-11-30T00:00:00"/>
    <d v="2016-11-30T00:00:00"/>
    <d v="2015-12-31T00:00:00"/>
    <m/>
    <m/>
    <m/>
    <m/>
    <m/>
    <m/>
    <m/>
    <m/>
    <s v="Aggregate MFs"/>
    <s v="Aggregate MFs"/>
    <s v="Aggregate MFs"/>
    <s v="Investment Managers"/>
    <s v="Investment Advisor"/>
    <n v="24711430646010"/>
    <s v="Core Growth"/>
    <m/>
    <m/>
    <m/>
    <m/>
    <m/>
    <m/>
    <m/>
    <m/>
    <s v="Moderate"/>
    <s v="Moderate"/>
    <s v="Moderate"/>
    <s v="Admiralty (Hong Kong)"/>
    <s v="Hong Kong"/>
  </r>
  <r>
    <n v="635"/>
    <s v="Macquarie Investment Management Austria Kapitalanlage AG"/>
    <m/>
    <m/>
    <m/>
    <n v="1.25E-4"/>
    <n v="1.25E-4"/>
    <m/>
    <m/>
    <m/>
    <n v="0"/>
    <n v="0"/>
    <n v="0"/>
    <m/>
    <m/>
    <m/>
    <n v="11541400"/>
    <n v="11541400"/>
    <m/>
    <m/>
    <m/>
    <n v="0"/>
    <n v="0"/>
    <n v="0"/>
    <m/>
    <m/>
    <m/>
    <n v="0"/>
    <n v="11541400"/>
    <m/>
    <m/>
    <m/>
    <n v="0"/>
    <n v="0"/>
    <n v="0"/>
    <m/>
    <m/>
    <m/>
    <n v="34047129965.549999"/>
    <n v="34047129965.549999"/>
    <m/>
    <m/>
    <m/>
    <n v="0"/>
    <n v="0"/>
    <n v="0"/>
    <m/>
    <m/>
    <m/>
    <d v="2021-06-30T00:00:00"/>
    <d v="2021-06-30T00:00:00"/>
    <m/>
    <m/>
    <m/>
    <d v="2016-08-31T00:00:00"/>
    <d v="2016-08-31T00:00:00"/>
    <d v="2015-05-31T00:00:00"/>
    <m/>
    <m/>
    <m/>
    <s v="Aggregate MFs"/>
    <s v="Aggregate MFs"/>
    <m/>
    <m/>
    <m/>
    <s v="Aggregate MFs"/>
    <s v="Aggregate MFs"/>
    <s v="Aggregate MFs"/>
    <s v="Investment Managers"/>
    <s v="Investment Advisor"/>
    <n v="18026422753681.199"/>
    <s v="Core Growth"/>
    <m/>
    <m/>
    <m/>
    <s v="Low"/>
    <s v="High"/>
    <m/>
    <m/>
    <m/>
    <s v="High"/>
    <s v="High"/>
    <s v="Moderate"/>
    <s v="Vienna"/>
    <s v="Austria"/>
  </r>
  <r>
    <n v="636"/>
    <s v="Mansartis"/>
    <m/>
    <m/>
    <m/>
    <m/>
    <m/>
    <m/>
    <m/>
    <m/>
    <n v="1.2999999999999999E-5"/>
    <n v="1.2999999999999999E-5"/>
    <m/>
    <m/>
    <m/>
    <m/>
    <m/>
    <m/>
    <m/>
    <m/>
    <m/>
    <n v="1200000"/>
    <n v="1200000"/>
    <m/>
    <m/>
    <m/>
    <m/>
    <m/>
    <m/>
    <m/>
    <m/>
    <m/>
    <n v="0"/>
    <n v="1200000"/>
    <m/>
    <m/>
    <m/>
    <m/>
    <m/>
    <m/>
    <m/>
    <m/>
    <m/>
    <n v="3360000042.0900002"/>
    <n v="3360000042.0900002"/>
    <m/>
    <m/>
    <m/>
    <m/>
    <m/>
    <m/>
    <m/>
    <m/>
    <m/>
    <d v="2016-09-30T00:00:00"/>
    <d v="2016-09-30T00:00:00"/>
    <m/>
    <m/>
    <m/>
    <m/>
    <m/>
    <m/>
    <m/>
    <m/>
    <m/>
    <s v="Aggregate MFs"/>
    <s v="Aggregate MFs"/>
    <m/>
    <s v="Investment Managers"/>
    <s v="Investment Advisor"/>
    <n v="2715885371353.2002"/>
    <s v="GARP"/>
    <m/>
    <m/>
    <m/>
    <m/>
    <m/>
    <m/>
    <m/>
    <m/>
    <m/>
    <s v="Moderate"/>
    <m/>
    <s v="Paris"/>
    <s v="France"/>
  </r>
  <r>
    <n v="637"/>
    <s v="Mansury (Pahala Nugraha)"/>
    <m/>
    <m/>
    <m/>
    <m/>
    <m/>
    <m/>
    <m/>
    <m/>
    <m/>
    <n v="3.4999999999999997E-5"/>
    <m/>
    <m/>
    <m/>
    <m/>
    <m/>
    <m/>
    <m/>
    <m/>
    <m/>
    <m/>
    <n v="3266000"/>
    <m/>
    <m/>
    <m/>
    <m/>
    <m/>
    <m/>
    <m/>
    <m/>
    <m/>
    <m/>
    <n v="3266000"/>
    <m/>
    <m/>
    <m/>
    <m/>
    <m/>
    <m/>
    <m/>
    <m/>
    <m/>
    <m/>
    <n v="9450987485.1000004"/>
    <m/>
    <m/>
    <m/>
    <m/>
    <m/>
    <m/>
    <m/>
    <m/>
    <m/>
    <m/>
    <d v="2016-12-31T00:00:00"/>
    <m/>
    <m/>
    <m/>
    <m/>
    <m/>
    <m/>
    <m/>
    <m/>
    <m/>
    <m/>
    <s v="Indonesia Insider"/>
    <m/>
    <s v="Strategic Entities"/>
    <s v="Individual Investor"/>
    <n v="3046675725.5999999"/>
    <m/>
    <m/>
    <m/>
    <m/>
    <m/>
    <m/>
    <m/>
    <m/>
    <m/>
    <m/>
    <s v="Low"/>
    <m/>
    <m/>
    <s v="Indonesia"/>
  </r>
  <r>
    <n v="638"/>
    <s v="Manulife Investment Management (Europe) Limited (Sibling)"/>
    <m/>
    <m/>
    <m/>
    <m/>
    <m/>
    <n v="2.3E-5"/>
    <n v="2.3E-5"/>
    <m/>
    <m/>
    <m/>
    <m/>
    <m/>
    <m/>
    <m/>
    <m/>
    <m/>
    <n v="2157800"/>
    <n v="2157800"/>
    <m/>
    <m/>
    <m/>
    <m/>
    <m/>
    <m/>
    <m/>
    <m/>
    <m/>
    <n v="0"/>
    <n v="2157800"/>
    <m/>
    <m/>
    <m/>
    <m/>
    <m/>
    <m/>
    <m/>
    <m/>
    <m/>
    <n v="7822025058.6000004"/>
    <n v="7822025058.6000004"/>
    <m/>
    <m/>
    <m/>
    <m/>
    <m/>
    <m/>
    <m/>
    <m/>
    <m/>
    <d v="2019-08-31T00:00:00"/>
    <d v="2019-08-31T00:00:00"/>
    <m/>
    <m/>
    <m/>
    <m/>
    <m/>
    <m/>
    <m/>
    <m/>
    <m/>
    <s v="Aggregate MFs"/>
    <s v="Aggregate MFs"/>
    <m/>
    <m/>
    <m/>
    <m/>
    <s v="Investment Managers"/>
    <s v="Investment Advisor"/>
    <n v="11937078028.799999"/>
    <m/>
    <m/>
    <m/>
    <m/>
    <m/>
    <m/>
    <s v="Low"/>
    <s v="Moderate"/>
    <m/>
    <m/>
    <m/>
    <m/>
    <s v="London"/>
    <s v="United Kingdom"/>
  </r>
  <r>
    <n v="639"/>
    <s v="Manulife Investment Management (Ireland) Ltd"/>
    <m/>
    <n v="2.6999999999999999E-5"/>
    <n v="2.6999999999999999E-5"/>
    <m/>
    <m/>
    <m/>
    <m/>
    <m/>
    <m/>
    <m/>
    <m/>
    <m/>
    <n v="2496100"/>
    <n v="2496100"/>
    <m/>
    <m/>
    <m/>
    <m/>
    <m/>
    <m/>
    <m/>
    <m/>
    <m/>
    <n v="0"/>
    <n v="2496100"/>
    <m/>
    <m/>
    <m/>
    <m/>
    <m/>
    <m/>
    <m/>
    <m/>
    <m/>
    <n v="16599065019.25"/>
    <n v="15101405034"/>
    <m/>
    <m/>
    <m/>
    <m/>
    <m/>
    <m/>
    <m/>
    <m/>
    <m/>
    <d v="2024-01-31T00:00:00"/>
    <d v="2023-12-31T00:00:00"/>
    <m/>
    <m/>
    <m/>
    <m/>
    <m/>
    <m/>
    <m/>
    <m/>
    <m/>
    <s v="Aggregate MFs"/>
    <s v="Aggregate MFs"/>
    <m/>
    <m/>
    <m/>
    <m/>
    <m/>
    <m/>
    <m/>
    <m/>
    <s v="Investment Managers"/>
    <s v="Investment Advisor"/>
    <n v="1086852386880"/>
    <m/>
    <m/>
    <s v="Low"/>
    <s v="Low"/>
    <m/>
    <m/>
    <m/>
    <m/>
    <m/>
    <m/>
    <m/>
    <m/>
    <s v="Dublin"/>
    <s v="Ireland"/>
  </r>
  <r>
    <n v="640"/>
    <s v="Marathon-London"/>
    <m/>
    <m/>
    <m/>
    <n v="0"/>
    <n v="0"/>
    <n v="2.5999999999999998E-4"/>
    <m/>
    <m/>
    <m/>
    <m/>
    <m/>
    <m/>
    <m/>
    <m/>
    <n v="0"/>
    <n v="0"/>
    <n v="24041800"/>
    <m/>
    <m/>
    <m/>
    <m/>
    <m/>
    <m/>
    <m/>
    <m/>
    <n v="0"/>
    <n v="-24041800"/>
    <n v="24041800"/>
    <m/>
    <m/>
    <m/>
    <m/>
    <m/>
    <m/>
    <m/>
    <m/>
    <n v="0"/>
    <n v="0"/>
    <n v="76032192412.800003"/>
    <m/>
    <m/>
    <m/>
    <m/>
    <m/>
    <m/>
    <m/>
    <m/>
    <d v="2021-09-30T00:00:00"/>
    <d v="2021-09-30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240224719928018"/>
    <s v="Core Value"/>
    <m/>
    <m/>
    <m/>
    <s v="Low"/>
    <s v="Low"/>
    <s v="Low"/>
    <m/>
    <m/>
    <m/>
    <m/>
    <m/>
    <s v="London"/>
    <s v="United Kingdom"/>
  </r>
  <r>
    <n v="641"/>
    <s v="Marlborough International Management Limited"/>
    <m/>
    <m/>
    <n v="2.5999999999999998E-5"/>
    <n v="2.5999999999999998E-5"/>
    <m/>
    <m/>
    <m/>
    <m/>
    <m/>
    <m/>
    <m/>
    <m/>
    <m/>
    <n v="2430000"/>
    <n v="2430000"/>
    <m/>
    <m/>
    <m/>
    <m/>
    <m/>
    <m/>
    <m/>
    <m/>
    <m/>
    <n v="0"/>
    <n v="2430000"/>
    <m/>
    <m/>
    <m/>
    <m/>
    <m/>
    <m/>
    <m/>
    <m/>
    <m/>
    <n v="9628874984.25"/>
    <n v="9628874984.25"/>
    <m/>
    <m/>
    <m/>
    <m/>
    <m/>
    <m/>
    <m/>
    <m/>
    <m/>
    <d v="2022-06-30T00:00:00"/>
    <d v="2022-06-30T00:00:00"/>
    <m/>
    <m/>
    <m/>
    <m/>
    <m/>
    <m/>
    <m/>
    <m/>
    <m/>
    <s v="Aggregate MFs"/>
    <s v="Aggregate MFs"/>
    <m/>
    <m/>
    <m/>
    <m/>
    <m/>
    <m/>
    <m/>
    <s v="Investment Managers"/>
    <s v="Investment Advisor"/>
    <n v="168629073589.20001"/>
    <m/>
    <m/>
    <m/>
    <s v="Low"/>
    <s v="High"/>
    <m/>
    <m/>
    <m/>
    <m/>
    <m/>
    <m/>
    <m/>
    <s v="St. Peter Port"/>
    <s v="Guernsey"/>
  </r>
  <r>
    <n v="642"/>
    <s v="Massachusetts Mutual Life Insurance Company"/>
    <m/>
    <m/>
    <m/>
    <m/>
    <m/>
    <m/>
    <n v="0"/>
    <n v="0"/>
    <n v="6.0000000000000002E-6"/>
    <n v="5.0000000000000004E-6"/>
    <m/>
    <m/>
    <m/>
    <m/>
    <m/>
    <m/>
    <m/>
    <n v="0"/>
    <n v="0"/>
    <n v="519000"/>
    <n v="461600"/>
    <m/>
    <m/>
    <m/>
    <m/>
    <m/>
    <m/>
    <m/>
    <n v="0"/>
    <n v="-519000"/>
    <n v="57400"/>
    <n v="461600"/>
    <m/>
    <m/>
    <m/>
    <m/>
    <m/>
    <m/>
    <m/>
    <n v="0"/>
    <n v="0"/>
    <n v="2075999944.1500001"/>
    <n v="1335754974.5999999"/>
    <m/>
    <m/>
    <m/>
    <m/>
    <m/>
    <m/>
    <m/>
    <d v="2018-09-30T00:00:00"/>
    <d v="2018-09-30T00:00:00"/>
    <d v="2017-12-31T00:00:00"/>
    <d v="2016-12-31T00:00:00"/>
    <m/>
    <m/>
    <m/>
    <m/>
    <m/>
    <m/>
    <m/>
    <s v="Aggregate MFs"/>
    <s v="Aggregate MFs"/>
    <s v="Aggregate MFs"/>
    <s v="Aggregate MFs"/>
    <m/>
    <s v="Investment Managers"/>
    <s v="Insurance Company"/>
    <n v="105260464746617"/>
    <m/>
    <m/>
    <m/>
    <m/>
    <m/>
    <m/>
    <m/>
    <s v="Low"/>
    <s v="Low"/>
    <s v="Low"/>
    <s v="Low"/>
    <m/>
    <s v="Springfield"/>
    <s v="United States"/>
  </r>
  <r>
    <n v="643"/>
    <s v="McKinley Capital Management, LLC"/>
    <m/>
    <m/>
    <m/>
    <m/>
    <m/>
    <m/>
    <n v="0"/>
    <n v="0"/>
    <n v="7.45E-4"/>
    <n v="6.7100000000000005E-4"/>
    <m/>
    <m/>
    <m/>
    <m/>
    <m/>
    <m/>
    <m/>
    <n v="0"/>
    <n v="0"/>
    <n v="68826360"/>
    <n v="61991600"/>
    <m/>
    <m/>
    <m/>
    <m/>
    <m/>
    <m/>
    <m/>
    <n v="0"/>
    <n v="-68826360"/>
    <n v="6834760"/>
    <n v="61991600"/>
    <m/>
    <m/>
    <m/>
    <m/>
    <m/>
    <m/>
    <m/>
    <n v="0"/>
    <n v="0"/>
    <n v="225406329074.92001"/>
    <n v="179388192556.5"/>
    <m/>
    <m/>
    <m/>
    <m/>
    <m/>
    <m/>
    <m/>
    <d v="2018-07-31T00:00:00"/>
    <d v="2018-07-31T00:00:00"/>
    <d v="2017-08-31T00:00:00"/>
    <d v="2016-12-31T00:00:00"/>
    <m/>
    <m/>
    <m/>
    <m/>
    <m/>
    <m/>
    <m/>
    <s v="Aggregate MFs"/>
    <s v="Aggregate MFs"/>
    <s v="Aggregate MFs"/>
    <s v="Aggregate MFs"/>
    <m/>
    <s v="Investment Managers"/>
    <s v="Investment Advisor/Hedge Fund"/>
    <n v="9531045780297.5996"/>
    <s v="Growth"/>
    <m/>
    <m/>
    <m/>
    <m/>
    <m/>
    <m/>
    <s v="Moderate"/>
    <s v="Moderate"/>
    <s v="Moderate"/>
    <s v="Moderate"/>
    <m/>
    <s v="Anchorage"/>
    <s v="United States"/>
  </r>
  <r>
    <n v="644"/>
    <s v="Mediolanum Asset Management Limited_NLE"/>
    <m/>
    <m/>
    <m/>
    <n v="1.4E-5"/>
    <n v="2.6999999999999999E-5"/>
    <n v="0"/>
    <n v="1.7200000000000001E-4"/>
    <n v="1.5300000000000001E-4"/>
    <n v="5.5000000000000002E-5"/>
    <n v="6.4999999999999994E-5"/>
    <m/>
    <m/>
    <m/>
    <m/>
    <n v="1337840"/>
    <n v="2480240"/>
    <n v="0"/>
    <n v="15911800"/>
    <n v="14095600"/>
    <n v="5102880"/>
    <n v="5996280"/>
    <m/>
    <m/>
    <m/>
    <m/>
    <n v="-1142400"/>
    <n v="2480240"/>
    <n v="-15911800"/>
    <n v="1816200"/>
    <n v="8992720"/>
    <n v="-893400"/>
    <n v="5996280"/>
    <m/>
    <m/>
    <m/>
    <m/>
    <n v="6639030972.1999998"/>
    <n v="8702682337.5"/>
    <n v="0"/>
    <n v="60886068378"/>
    <n v="51334724937.5"/>
    <n v="20411520017.5"/>
    <n v="17351735299.799999"/>
    <m/>
    <m/>
    <m/>
    <m/>
    <d v="2022-12-31T00:00:00"/>
    <d v="2021-12-31T00:00:00"/>
    <d v="2020-12-31T00:00:00"/>
    <d v="2019-12-31T00:00:00"/>
    <d v="2018-12-31T00:00:00"/>
    <d v="2017-12-31T00:00:00"/>
    <d v="2016-12-31T00:00:00"/>
    <m/>
    <m/>
    <m/>
    <m/>
    <s v="Aggregate MFs"/>
    <s v="Aggregate MFs"/>
    <s v="Aggregate MFs"/>
    <s v="Aggregate MFs"/>
    <s v="Aggregate MFs"/>
    <s v="Aggregate MFs"/>
    <s v="Aggregate MFs"/>
    <m/>
    <s v="Investment Managers"/>
    <s v="Investment Advisor"/>
    <n v="0"/>
    <m/>
    <m/>
    <m/>
    <m/>
    <s v="Low"/>
    <s v="Low"/>
    <s v="Low"/>
    <s v="Moderate"/>
    <s v="Moderate"/>
    <s v="Moderate"/>
    <s v="Low"/>
    <m/>
    <s v="Dublin"/>
    <s v="Ireland"/>
  </r>
  <r>
    <n v="645"/>
    <s v="Merian Global Investors (UK) Limited_NLE"/>
    <m/>
    <m/>
    <m/>
    <m/>
    <m/>
    <m/>
    <n v="2.0000000000000002E-5"/>
    <n v="2.0000000000000002E-5"/>
    <n v="2.8899999999999998E-4"/>
    <n v="1.1E-4"/>
    <n v="3.6699999999999998E-4"/>
    <m/>
    <m/>
    <m/>
    <m/>
    <m/>
    <m/>
    <n v="1841800"/>
    <n v="1841800"/>
    <n v="26675200"/>
    <n v="10157600"/>
    <n v="33915600"/>
    <m/>
    <m/>
    <m/>
    <m/>
    <m/>
    <m/>
    <n v="0"/>
    <n v="-24833400"/>
    <n v="16517600"/>
    <n v="-23758000"/>
    <n v="1655200"/>
    <m/>
    <m/>
    <m/>
    <m/>
    <m/>
    <m/>
    <n v="6707646112.5"/>
    <n v="6707646112.5"/>
    <n v="106700800020.39999"/>
    <n v="29393554977.299999"/>
    <n v="78458282938.350006"/>
    <m/>
    <m/>
    <m/>
    <m/>
    <m/>
    <m/>
    <d v="2018-12-31T00:00:00"/>
    <d v="2018-12-31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/Hedge Fund"/>
    <n v="1328982450424.8"/>
    <m/>
    <m/>
    <m/>
    <m/>
    <m/>
    <m/>
    <m/>
    <s v="Moderate"/>
    <s v="Moderate"/>
    <s v="Moderate"/>
    <s v="Moderate"/>
    <s v="Moderate"/>
    <s v="London"/>
    <s v="United Kingdom"/>
  </r>
  <r>
    <n v="646"/>
    <s v="Metagestion, S.G.I.I.C., S.A.U."/>
    <m/>
    <m/>
    <m/>
    <m/>
    <n v="0"/>
    <n v="0"/>
    <n v="1.3300000000000001E-4"/>
    <n v="1E-4"/>
    <n v="8.0000000000000007E-5"/>
    <m/>
    <m/>
    <m/>
    <m/>
    <m/>
    <m/>
    <n v="0"/>
    <n v="0"/>
    <n v="12281090"/>
    <n v="9205698"/>
    <n v="7429806"/>
    <m/>
    <m/>
    <m/>
    <m/>
    <m/>
    <m/>
    <n v="0"/>
    <n v="-12281090"/>
    <n v="3075392"/>
    <n v="1775892"/>
    <n v="7429806"/>
    <m/>
    <m/>
    <m/>
    <m/>
    <m/>
    <m/>
    <n v="0"/>
    <n v="0"/>
    <n v="46993255611.199997"/>
    <n v="33526205012.5"/>
    <n v="29719223987.099998"/>
    <m/>
    <m/>
    <m/>
    <m/>
    <m/>
    <m/>
    <d v="2020-06-30T00:00:00"/>
    <d v="2020-06-30T00:00:00"/>
    <d v="2019-12-31T00:00:00"/>
    <d v="2018-12-31T00:00:00"/>
    <d v="2017-12-31T00:00:00"/>
    <m/>
    <m/>
    <m/>
    <m/>
    <m/>
    <m/>
    <s v="Aggregate MFs"/>
    <s v="Aggregate MFs"/>
    <s v="Aggregate MFs"/>
    <s v="Aggregate MFs"/>
    <s v="Aggregate MFs"/>
    <m/>
    <m/>
    <s v="Investment Managers"/>
    <s v="Investment Advisor"/>
    <n v="1573297304071.2"/>
    <s v="Core Value"/>
    <m/>
    <m/>
    <m/>
    <m/>
    <s v="Moderate"/>
    <s v="Moderate"/>
    <s v="High"/>
    <s v="Moderate"/>
    <s v="Moderate"/>
    <m/>
    <m/>
    <s v="Madrid"/>
    <s v="Spain"/>
  </r>
  <r>
    <n v="647"/>
    <s v="Metisq Capital Pty Ltd_NLE"/>
    <m/>
    <m/>
    <m/>
    <m/>
    <m/>
    <m/>
    <m/>
    <m/>
    <m/>
    <n v="7.3999999999999996E-5"/>
    <n v="7.3999999999999996E-5"/>
    <m/>
    <m/>
    <m/>
    <m/>
    <m/>
    <m/>
    <m/>
    <m/>
    <m/>
    <n v="6853600"/>
    <n v="6853600"/>
    <m/>
    <m/>
    <m/>
    <m/>
    <m/>
    <m/>
    <m/>
    <m/>
    <m/>
    <n v="0"/>
    <n v="0"/>
    <m/>
    <m/>
    <m/>
    <m/>
    <m/>
    <m/>
    <m/>
    <m/>
    <m/>
    <n v="16320134928"/>
    <n v="16320134928"/>
    <m/>
    <m/>
    <m/>
    <m/>
    <m/>
    <m/>
    <m/>
    <m/>
    <m/>
    <d v="2015-07-31T00:00:00"/>
    <d v="2015-07-31T00:00:00"/>
    <m/>
    <m/>
    <m/>
    <m/>
    <m/>
    <m/>
    <m/>
    <m/>
    <m/>
    <s v="Aggregate MFs"/>
    <s v="Aggregate MFs"/>
    <s v="Investment Managers"/>
    <s v="Investment Advisor/Hedge Fund"/>
    <n v="95728734103.199997"/>
    <m/>
    <m/>
    <m/>
    <m/>
    <m/>
    <m/>
    <m/>
    <m/>
    <m/>
    <m/>
    <s v="Low"/>
    <s v="High"/>
    <s v="Sydney"/>
    <s v="Australia"/>
  </r>
  <r>
    <n v="648"/>
    <s v="Metzler Asset Management GmbH"/>
    <m/>
    <m/>
    <m/>
    <m/>
    <m/>
    <n v="0"/>
    <n v="0"/>
    <n v="3.0000000000000001E-6"/>
    <m/>
    <m/>
    <m/>
    <m/>
    <m/>
    <m/>
    <m/>
    <m/>
    <n v="0"/>
    <n v="0"/>
    <n v="256600"/>
    <m/>
    <m/>
    <m/>
    <m/>
    <m/>
    <m/>
    <m/>
    <m/>
    <n v="0"/>
    <n v="-256600"/>
    <n v="256600"/>
    <m/>
    <m/>
    <m/>
    <m/>
    <m/>
    <m/>
    <m/>
    <m/>
    <n v="0"/>
    <n v="0"/>
    <n v="934510843.75"/>
    <m/>
    <m/>
    <m/>
    <m/>
    <m/>
    <m/>
    <m/>
    <m/>
    <d v="2019-05-31T00:00:00"/>
    <d v="2019-05-31T00:00:00"/>
    <d v="2018-12-31T00:00:00"/>
    <m/>
    <m/>
    <m/>
    <m/>
    <m/>
    <m/>
    <m/>
    <m/>
    <s v="Aggregate MFs"/>
    <s v="Aggregate MFs"/>
    <s v="Aggregate MFs"/>
    <m/>
    <m/>
    <m/>
    <s v="Investment Managers"/>
    <s v="Investment Advisor"/>
    <n v="194338741374560"/>
    <s v="Core Growth"/>
    <m/>
    <m/>
    <m/>
    <m/>
    <m/>
    <s v="Moderate"/>
    <s v="Moderate"/>
    <s v="High"/>
    <m/>
    <m/>
    <m/>
    <s v="Frankfurt"/>
    <s v="Germany"/>
  </r>
  <r>
    <n v="649"/>
    <s v="MFC Asset Management PCL"/>
    <m/>
    <n v="0"/>
    <n v="0"/>
    <n v="0"/>
    <n v="0"/>
    <n v="0"/>
    <m/>
    <n v="0"/>
    <n v="9.9999999999999995E-7"/>
    <m/>
    <n v="0"/>
    <m/>
    <n v="0"/>
    <n v="0"/>
    <n v="0"/>
    <n v="38000"/>
    <n v="0"/>
    <m/>
    <n v="0"/>
    <n v="67600"/>
    <m/>
    <n v="0"/>
    <m/>
    <n v="0"/>
    <n v="0"/>
    <n v="-38000"/>
    <n v="38000"/>
    <n v="0"/>
    <m/>
    <n v="-67600"/>
    <n v="67600"/>
    <m/>
    <n v="0"/>
    <m/>
    <n v="0"/>
    <n v="0"/>
    <n v="0"/>
    <n v="108300049.8"/>
    <n v="0"/>
    <m/>
    <n v="0"/>
    <n v="230684940.75999999"/>
    <m/>
    <n v="0"/>
    <m/>
    <d v="2023-09-30T00:00:00"/>
    <d v="2023-09-30T00:00:00"/>
    <d v="2022-07-31T00:00:00"/>
    <d v="2021-07-31T00:00:00"/>
    <d v="2020-07-31T00:00:00"/>
    <m/>
    <d v="2018-01-31T00:00:00"/>
    <d v="2017-07-31T00:00:00"/>
    <m/>
    <d v="2015-01-31T00:00:00"/>
    <m/>
    <s v="Aggregate MFs"/>
    <s v="Aggregate MFs"/>
    <s v="Aggregate MFs"/>
    <s v="Aggregate MFs"/>
    <s v="Aggregate MFs"/>
    <m/>
    <s v="Aggregate MFs"/>
    <s v="Aggregate MFs"/>
    <m/>
    <s v="Aggregate MFs"/>
    <s v="Investment Managers"/>
    <s v="Investment Advisor"/>
    <n v="112411427482681"/>
    <s v="Core Value"/>
    <m/>
    <s v="Low"/>
    <s v="Low"/>
    <s v="Low"/>
    <s v="Low"/>
    <s v="Low"/>
    <m/>
    <s v="Low"/>
    <s v="Low"/>
    <m/>
    <s v="Low"/>
    <s v="Bangkok"/>
    <s v="Thailand"/>
  </r>
  <r>
    <n v="650"/>
    <s v="MFS Institutional Advisors, Inc"/>
    <m/>
    <m/>
    <n v="0"/>
    <n v="0"/>
    <n v="4.4900000000000002E-4"/>
    <m/>
    <m/>
    <m/>
    <m/>
    <m/>
    <m/>
    <m/>
    <m/>
    <n v="0"/>
    <n v="0"/>
    <n v="41451600"/>
    <m/>
    <m/>
    <m/>
    <m/>
    <m/>
    <m/>
    <m/>
    <m/>
    <n v="0"/>
    <n v="-41451600"/>
    <n v="41451600"/>
    <m/>
    <m/>
    <m/>
    <m/>
    <m/>
    <m/>
    <m/>
    <m/>
    <n v="0"/>
    <n v="0"/>
    <n v="145445644290"/>
    <m/>
    <m/>
    <m/>
    <m/>
    <m/>
    <m/>
    <m/>
    <m/>
    <d v="2022-05-31T00:00:00"/>
    <d v="2022-05-31T00:00:00"/>
    <d v="2021-12-31T00:00:00"/>
    <m/>
    <m/>
    <m/>
    <m/>
    <m/>
    <m/>
    <m/>
    <m/>
    <s v="Aggregate MFs"/>
    <s v="Aggregate MFs"/>
    <s v="Aggregate MFs"/>
    <m/>
    <m/>
    <m/>
    <m/>
    <m/>
    <m/>
    <s v="Investment Managers"/>
    <s v="Investment Advisor"/>
    <n v="422207338148987"/>
    <m/>
    <m/>
    <m/>
    <s v="Low"/>
    <s v="Low"/>
    <s v="High"/>
    <m/>
    <m/>
    <m/>
    <m/>
    <m/>
    <m/>
    <s v="Boston"/>
    <s v="United States"/>
  </r>
  <r>
    <n v="651"/>
    <s v="Milliman Financial Risk Management, LLC"/>
    <m/>
    <m/>
    <m/>
    <m/>
    <n v="0"/>
    <n v="0"/>
    <n v="6.9999999999999999E-6"/>
    <m/>
    <m/>
    <m/>
    <m/>
    <m/>
    <m/>
    <m/>
    <m/>
    <n v="0"/>
    <n v="0"/>
    <n v="657600"/>
    <m/>
    <m/>
    <m/>
    <m/>
    <m/>
    <m/>
    <m/>
    <m/>
    <n v="0"/>
    <n v="-657600"/>
    <n v="657600"/>
    <m/>
    <m/>
    <m/>
    <m/>
    <m/>
    <m/>
    <m/>
    <m/>
    <n v="0"/>
    <n v="0"/>
    <n v="2516288405.1999998"/>
    <m/>
    <m/>
    <m/>
    <m/>
    <m/>
    <m/>
    <m/>
    <m/>
    <d v="2020-06-30T00:00:00"/>
    <d v="2020-06-30T00:00:00"/>
    <d v="2019-12-31T00:00:00"/>
    <m/>
    <m/>
    <m/>
    <m/>
    <m/>
    <m/>
    <m/>
    <m/>
    <s v="Aggregate MFs"/>
    <s v="Aggregate MFs"/>
    <s v="Aggregate MFs"/>
    <m/>
    <m/>
    <m/>
    <m/>
    <s v="Investment Managers"/>
    <s v="Investment Advisor/Hedge Fund"/>
    <n v="268312281780664"/>
    <s v="Hedge Fund"/>
    <m/>
    <m/>
    <m/>
    <m/>
    <s v="Moderate"/>
    <s v="Moderate"/>
    <s v="Low"/>
    <m/>
    <m/>
    <m/>
    <m/>
    <s v="Chicago"/>
    <s v="United States"/>
  </r>
  <r>
    <n v="652"/>
    <s v="Milltrust International Group"/>
    <m/>
    <m/>
    <m/>
    <m/>
    <m/>
    <m/>
    <n v="2.3E-5"/>
    <n v="2.3E-5"/>
    <n v="1.8E-5"/>
    <m/>
    <m/>
    <m/>
    <m/>
    <m/>
    <m/>
    <m/>
    <m/>
    <n v="2114600"/>
    <n v="2114600"/>
    <n v="1626200"/>
    <m/>
    <m/>
    <m/>
    <m/>
    <m/>
    <m/>
    <m/>
    <m/>
    <n v="0"/>
    <n v="488400"/>
    <n v="1626200"/>
    <m/>
    <m/>
    <m/>
    <m/>
    <m/>
    <m/>
    <m/>
    <m/>
    <n v="7701155693.75"/>
    <n v="7701155693.75"/>
    <n v="6504800033"/>
    <m/>
    <m/>
    <m/>
    <m/>
    <m/>
    <m/>
    <m/>
    <m/>
    <d v="2018-12-31T00:00:00"/>
    <d v="2018-12-31T00:00:00"/>
    <d v="2017-12-31T00:00:00"/>
    <m/>
    <m/>
    <m/>
    <m/>
    <m/>
    <m/>
    <m/>
    <m/>
    <s v="Aggregate MFs"/>
    <s v="Aggregate MFs"/>
    <s v="Aggregate MFs"/>
    <m/>
    <m/>
    <s v="Investment Managers"/>
    <s v="Hedge Fund"/>
    <n v="219019390285.20001"/>
    <s v="Hedge Fund"/>
    <m/>
    <m/>
    <m/>
    <m/>
    <m/>
    <m/>
    <s v="Low"/>
    <s v="Moderate"/>
    <s v="Moderate"/>
    <m/>
    <m/>
    <s v="London"/>
    <s v="United Kingdom"/>
  </r>
  <r>
    <n v="653"/>
    <s v="Mirabaud Asset Management Limited"/>
    <m/>
    <m/>
    <m/>
    <m/>
    <n v="0"/>
    <n v="0"/>
    <n v="1.5200000000000001E-4"/>
    <n v="3.2499999999999999E-4"/>
    <n v="1.54E-4"/>
    <n v="2.5799999999999998E-4"/>
    <n v="2.4800000000000001E-4"/>
    <m/>
    <m/>
    <m/>
    <m/>
    <n v="0"/>
    <n v="0"/>
    <n v="14044800"/>
    <n v="30012600"/>
    <n v="14220400"/>
    <n v="23839600"/>
    <n v="22920400"/>
    <m/>
    <m/>
    <m/>
    <m/>
    <n v="0"/>
    <n v="-14044800"/>
    <n v="-15967800"/>
    <n v="15792200"/>
    <n v="-9619200"/>
    <n v="919200"/>
    <n v="0"/>
    <m/>
    <m/>
    <m/>
    <m/>
    <n v="0"/>
    <n v="0"/>
    <n v="53742043898.400002"/>
    <n v="109302801387.5"/>
    <n v="56881599979.550003"/>
    <n v="68985842598"/>
    <n v="45411042456.75"/>
    <m/>
    <m/>
    <m/>
    <m/>
    <d v="2020-03-31T00:00:00"/>
    <d v="2020-03-31T00:00:00"/>
    <d v="2019-12-31T00:00:00"/>
    <d v="2018-12-31T00:00:00"/>
    <d v="2017-12-31T00:00:00"/>
    <d v="2016-12-31T00:00:00"/>
    <d v="2015-09-30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9904333441713.5996"/>
    <s v="Core Growth"/>
    <m/>
    <m/>
    <m/>
    <m/>
    <s v="High"/>
    <s v="High"/>
    <s v="Moderate"/>
    <s v="Moderate"/>
    <s v="Moderate"/>
    <s v="Moderate"/>
    <s v="Moderate"/>
    <s v="London"/>
    <s v="United Kingdom"/>
  </r>
  <r>
    <n v="654"/>
    <s v="Mizuho Bank, Ltd."/>
    <m/>
    <m/>
    <m/>
    <m/>
    <m/>
    <m/>
    <m/>
    <m/>
    <m/>
    <m/>
    <n v="9.9999999999999995E-7"/>
    <m/>
    <m/>
    <m/>
    <m/>
    <m/>
    <m/>
    <m/>
    <m/>
    <m/>
    <m/>
    <n v="52740"/>
    <m/>
    <m/>
    <m/>
    <m/>
    <m/>
    <m/>
    <m/>
    <m/>
    <m/>
    <m/>
    <n v="0"/>
    <m/>
    <m/>
    <m/>
    <m/>
    <m/>
    <m/>
    <m/>
    <m/>
    <m/>
    <m/>
    <n v="145035020.59999999"/>
    <m/>
    <m/>
    <m/>
    <m/>
    <m/>
    <m/>
    <m/>
    <m/>
    <m/>
    <m/>
    <d v="2015-01-31T00:00:00"/>
    <m/>
    <m/>
    <m/>
    <m/>
    <m/>
    <m/>
    <m/>
    <m/>
    <m/>
    <m/>
    <s v="Aggregate MFs"/>
    <s v="Investment Managers"/>
    <s v="Bank and Trust"/>
    <n v="329000768023074"/>
    <m/>
    <m/>
    <m/>
    <m/>
    <m/>
    <m/>
    <m/>
    <m/>
    <m/>
    <m/>
    <m/>
    <s v="Low"/>
    <s v="Chiyoda-ku (Tokyo)"/>
    <s v="Japan"/>
  </r>
  <r>
    <n v="655"/>
    <s v="Mondrian Investment Partners Ltd."/>
    <m/>
    <m/>
    <m/>
    <m/>
    <n v="3.8000000000000002E-5"/>
    <n v="3.8000000000000002E-5"/>
    <n v="5.5000000000000002E-5"/>
    <n v="1.5200000000000001E-4"/>
    <n v="0"/>
    <n v="2.1599999999999999E-4"/>
    <n v="6.0700000000000001E-4"/>
    <m/>
    <m/>
    <m/>
    <m/>
    <n v="3544400"/>
    <n v="3544400"/>
    <n v="5101200"/>
    <n v="14046600"/>
    <n v="0"/>
    <n v="20002800"/>
    <n v="56055600"/>
    <m/>
    <m/>
    <m/>
    <m/>
    <n v="0"/>
    <n v="-1556800"/>
    <n v="-8945400"/>
    <n v="14046600"/>
    <n v="-20002800"/>
    <n v="-36052800"/>
    <n v="-3207200"/>
    <m/>
    <m/>
    <m/>
    <m/>
    <n v="11209164922.799999"/>
    <n v="11209164922.799999"/>
    <n v="19519602509.599998"/>
    <n v="51156271962.5"/>
    <n v="0"/>
    <n v="57883102559.099998"/>
    <n v="129675610104.75"/>
    <m/>
    <m/>
    <m/>
    <m/>
    <d v="2020-12-31T00:00:00"/>
    <d v="2020-12-31T00:00:00"/>
    <d v="2019-12-31T00:00:00"/>
    <d v="2018-12-31T00:00:00"/>
    <d v="2017-06-30T00:00:00"/>
    <d v="2016-12-31T00:00:00"/>
    <d v="2015-12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219983444891216"/>
    <s v="Deep Value"/>
    <m/>
    <m/>
    <m/>
    <m/>
    <s v="Low"/>
    <s v="Low"/>
    <s v="Low"/>
    <s v="Low"/>
    <s v="Low"/>
    <s v="Low"/>
    <s v="Low"/>
    <s v="London"/>
    <s v="United Kingdom"/>
  </r>
  <r>
    <n v="656"/>
    <s v="Multi Asset Global Investments Co., Ltd."/>
    <m/>
    <m/>
    <m/>
    <m/>
    <m/>
    <m/>
    <m/>
    <m/>
    <m/>
    <n v="1.9999999999999999E-6"/>
    <n v="1.9999999999999999E-6"/>
    <m/>
    <m/>
    <m/>
    <m/>
    <m/>
    <m/>
    <m/>
    <m/>
    <m/>
    <n v="168000"/>
    <n v="168000"/>
    <m/>
    <m/>
    <m/>
    <m/>
    <m/>
    <m/>
    <m/>
    <m/>
    <m/>
    <n v="0"/>
    <n v="0"/>
    <m/>
    <m/>
    <m/>
    <m/>
    <m/>
    <m/>
    <m/>
    <m/>
    <m/>
    <n v="332849949.05000001"/>
    <n v="332849949.05000001"/>
    <m/>
    <m/>
    <m/>
    <m/>
    <m/>
    <m/>
    <m/>
    <m/>
    <m/>
    <d v="2015-09-30T00:00:00"/>
    <d v="2015-09-30T00:00:00"/>
    <m/>
    <m/>
    <m/>
    <m/>
    <m/>
    <m/>
    <m/>
    <m/>
    <m/>
    <s v="Aggregate MFs"/>
    <s v="Aggregate MFs"/>
    <s v="Investment Managers"/>
    <s v="Investment Advisor"/>
    <n v="1615541757118.8"/>
    <s v="Yield"/>
    <m/>
    <m/>
    <m/>
    <m/>
    <m/>
    <m/>
    <m/>
    <m/>
    <m/>
    <s v="Moderate"/>
    <s v="High"/>
    <s v="Seoul"/>
    <s v="South Korea"/>
  </r>
  <r>
    <n v="657"/>
    <s v="National Bank Trust"/>
    <m/>
    <m/>
    <m/>
    <m/>
    <m/>
    <n v="5.1E-5"/>
    <n v="5.1E-5"/>
    <m/>
    <m/>
    <m/>
    <m/>
    <m/>
    <m/>
    <m/>
    <m/>
    <m/>
    <n v="4721170"/>
    <n v="4721170"/>
    <m/>
    <m/>
    <m/>
    <m/>
    <m/>
    <m/>
    <m/>
    <m/>
    <m/>
    <n v="0"/>
    <n v="4721170"/>
    <m/>
    <m/>
    <m/>
    <m/>
    <m/>
    <m/>
    <m/>
    <m/>
    <m/>
    <n v="18117489814.900002"/>
    <n v="18117489814.900002"/>
    <m/>
    <m/>
    <m/>
    <m/>
    <m/>
    <m/>
    <m/>
    <m/>
    <m/>
    <d v="2019-05-31T00:00:00"/>
    <d v="2019-05-31T00:00:00"/>
    <m/>
    <m/>
    <m/>
    <m/>
    <m/>
    <m/>
    <m/>
    <m/>
    <m/>
    <s v="Aggregate MFs"/>
    <s v="Aggregate MFs"/>
    <m/>
    <m/>
    <m/>
    <m/>
    <s v="Investment Managers"/>
    <s v="Bank and Trust"/>
    <n v="155466541616075"/>
    <m/>
    <m/>
    <m/>
    <m/>
    <m/>
    <m/>
    <s v="Moderate"/>
    <s v="Moderate"/>
    <m/>
    <m/>
    <m/>
    <m/>
    <s v="Montreal"/>
    <s v="Canada"/>
  </r>
  <r>
    <n v="658"/>
    <s v="Nely (Nawal)"/>
    <m/>
    <m/>
    <n v="1.8E-5"/>
    <n v="9.0000000000000002E-6"/>
    <n v="3.9999999999999998E-6"/>
    <m/>
    <m/>
    <m/>
    <m/>
    <m/>
    <m/>
    <m/>
    <m/>
    <n v="1703900"/>
    <n v="792600"/>
    <n v="353800"/>
    <m/>
    <m/>
    <m/>
    <m/>
    <m/>
    <m/>
    <m/>
    <m/>
    <n v="911300"/>
    <n v="438800"/>
    <n v="353800"/>
    <m/>
    <m/>
    <m/>
    <m/>
    <m/>
    <m/>
    <m/>
    <m/>
    <n v="10308594992.549999"/>
    <n v="3933277523.4499998"/>
    <n v="1241415682.5"/>
    <m/>
    <m/>
    <m/>
    <m/>
    <m/>
    <m/>
    <m/>
    <m/>
    <d v="2023-12-31T00:00:00"/>
    <d v="2022-12-31T00:00:00"/>
    <d v="2021-12-31T00:00:00"/>
    <m/>
    <m/>
    <m/>
    <m/>
    <m/>
    <m/>
    <m/>
    <m/>
    <s v="Indonesia Insider"/>
    <s v="Indonesia Insider"/>
    <s v="Indonesia Insider"/>
    <m/>
    <m/>
    <m/>
    <m/>
    <m/>
    <m/>
    <s v="Strategic Entities"/>
    <s v="Individual Investor"/>
    <n v="0"/>
    <m/>
    <m/>
    <m/>
    <s v="Low"/>
    <s v="Low"/>
    <s v="Low"/>
    <m/>
    <m/>
    <m/>
    <m/>
    <m/>
    <m/>
    <m/>
    <s v="Indonesia"/>
  </r>
  <r>
    <n v="659"/>
    <s v="Neuberger Berman Asset Management Ireland Ltd"/>
    <m/>
    <m/>
    <m/>
    <n v="0"/>
    <n v="0"/>
    <n v="0"/>
    <n v="0"/>
    <m/>
    <m/>
    <m/>
    <m/>
    <m/>
    <m/>
    <m/>
    <n v="0"/>
    <n v="0"/>
    <n v="11800"/>
    <n v="15600"/>
    <m/>
    <m/>
    <m/>
    <m/>
    <m/>
    <m/>
    <m/>
    <n v="0"/>
    <n v="-11800"/>
    <n v="-3800"/>
    <n v="15600"/>
    <m/>
    <m/>
    <m/>
    <m/>
    <m/>
    <m/>
    <m/>
    <n v="0"/>
    <n v="0"/>
    <n v="27612037"/>
    <n v="62205012.920000002"/>
    <m/>
    <m/>
    <m/>
    <m/>
    <m/>
    <m/>
    <m/>
    <d v="2021-03-31T00:00:00"/>
    <d v="2021-03-31T00:00:00"/>
    <d v="2020-03-31T00:00:00"/>
    <d v="2019-07-31T00:00:00"/>
    <m/>
    <m/>
    <m/>
    <m/>
    <m/>
    <m/>
    <m/>
    <s v="Aggregate MFs"/>
    <s v="Aggregate MFs"/>
    <s v="Aggregate MFs"/>
    <s v="Aggregate MFs"/>
    <m/>
    <m/>
    <m/>
    <m/>
    <s v="Investment Managers"/>
    <s v="Investment Advisor"/>
    <n v="57714137236267.203"/>
    <m/>
    <m/>
    <m/>
    <m/>
    <s v="Moderate"/>
    <s v="Low"/>
    <s v="Moderate"/>
    <m/>
    <m/>
    <m/>
    <m/>
    <m/>
    <s v="Dublin"/>
    <s v="Ireland"/>
  </r>
  <r>
    <n v="660"/>
    <s v="Neuberger Berman, LLC"/>
    <m/>
    <m/>
    <n v="4.1E-5"/>
    <n v="4.1E-5"/>
    <n v="5.1999999999999997E-5"/>
    <n v="9.7999999999999997E-5"/>
    <m/>
    <m/>
    <m/>
    <n v="0"/>
    <n v="0"/>
    <m/>
    <m/>
    <n v="3766134"/>
    <n v="3766134"/>
    <n v="4768226"/>
    <n v="9081400"/>
    <m/>
    <m/>
    <m/>
    <n v="0"/>
    <n v="0"/>
    <m/>
    <m/>
    <n v="0"/>
    <n v="-1002092"/>
    <n v="-4313174"/>
    <n v="9081400"/>
    <m/>
    <m/>
    <m/>
    <n v="0"/>
    <n v="0"/>
    <m/>
    <m/>
    <n v="18689439963.700001"/>
    <n v="18689439963.700001"/>
    <n v="16730782500"/>
    <n v="28719927475.200001"/>
    <m/>
    <m/>
    <m/>
    <n v="0"/>
    <n v="0"/>
    <m/>
    <m/>
    <d v="2022-12-31T00:00:00"/>
    <d v="2022-12-31T00:00:00"/>
    <d v="2021-12-31T00:00:00"/>
    <d v="2020-12-31T00:00:00"/>
    <m/>
    <m/>
    <m/>
    <d v="2015-04-30T00:00:00"/>
    <d v="2015-04-30T00:00:00"/>
    <m/>
    <m/>
    <s v="Aggregate MFs"/>
    <s v="Aggregate MFs"/>
    <s v="Aggregate MFs"/>
    <s v="Aggregate MFs"/>
    <m/>
    <m/>
    <m/>
    <s v="Aggregate MFs"/>
    <s v="Aggregate MFs"/>
    <s v="Investment Managers"/>
    <s v="Investment Advisor/Hedge Fund"/>
    <n v="2268885546752560"/>
    <s v="GARP"/>
    <m/>
    <m/>
    <s v="Low"/>
    <s v="Low"/>
    <s v="Low"/>
    <s v="Low"/>
    <m/>
    <m/>
    <m/>
    <s v="Low"/>
    <s v="Low"/>
    <s v="New York"/>
    <s v="United States"/>
  </r>
  <r>
    <n v="661"/>
    <s v="Niche Asset Management Limited"/>
    <m/>
    <m/>
    <m/>
    <m/>
    <n v="1.9000000000000001E-5"/>
    <n v="1.9000000000000001E-5"/>
    <n v="1.0000000000000001E-5"/>
    <m/>
    <m/>
    <m/>
    <m/>
    <m/>
    <m/>
    <m/>
    <m/>
    <n v="1744000"/>
    <n v="1744000"/>
    <n v="904000"/>
    <m/>
    <m/>
    <m/>
    <m/>
    <m/>
    <m/>
    <m/>
    <m/>
    <n v="0"/>
    <n v="840000"/>
    <n v="904000"/>
    <m/>
    <m/>
    <m/>
    <m/>
    <m/>
    <m/>
    <m/>
    <m/>
    <n v="5188399944"/>
    <n v="5188399944"/>
    <n v="3459131266"/>
    <m/>
    <m/>
    <m/>
    <m/>
    <m/>
    <m/>
    <m/>
    <m/>
    <d v="2020-08-31T00:00:00"/>
    <d v="2020-08-31T00:00:00"/>
    <d v="2019-12-31T00:00:00"/>
    <m/>
    <m/>
    <m/>
    <m/>
    <m/>
    <m/>
    <m/>
    <m/>
    <s v="Aggregate MFs"/>
    <s v="Aggregate MFs"/>
    <s v="Aggregate MFs"/>
    <m/>
    <m/>
    <m/>
    <m/>
    <s v="Investment Managers"/>
    <s v="Investment Advisor"/>
    <n v="19867787234568"/>
    <s v="Deep Value"/>
    <m/>
    <m/>
    <m/>
    <m/>
    <m/>
    <s v="Moderate"/>
    <s v="High"/>
    <m/>
    <m/>
    <m/>
    <m/>
    <s v="London"/>
    <s v="United Kingdom"/>
  </r>
  <r>
    <n v="662"/>
    <s v="NNIP Asset Management B.V._NLE"/>
    <m/>
    <m/>
    <m/>
    <n v="1.5E-5"/>
    <n v="0"/>
    <n v="0"/>
    <n v="1.8E-5"/>
    <m/>
    <n v="0"/>
    <n v="0"/>
    <n v="3.4E-5"/>
    <m/>
    <m/>
    <m/>
    <n v="1414400"/>
    <n v="0"/>
    <n v="0"/>
    <n v="1696526"/>
    <m/>
    <n v="0"/>
    <n v="0"/>
    <n v="3145692"/>
    <m/>
    <m/>
    <m/>
    <n v="1414400"/>
    <n v="0"/>
    <n v="-1696526"/>
    <n v="1696526"/>
    <m/>
    <n v="0"/>
    <n v="-3145692"/>
    <n v="0"/>
    <m/>
    <m/>
    <m/>
    <n v="7018960014.5500002"/>
    <n v="0"/>
    <n v="0"/>
    <n v="6491710422.3999996"/>
    <m/>
    <n v="0"/>
    <n v="0"/>
    <n v="6232402207.5500002"/>
    <m/>
    <m/>
    <m/>
    <d v="2022-12-31T00:00:00"/>
    <d v="2020-06-30T00:00:00"/>
    <d v="2020-06-30T00:00:00"/>
    <d v="2019-12-31T00:00:00"/>
    <m/>
    <d v="2016-06-30T00:00:00"/>
    <d v="2016-06-30T00:00:00"/>
    <d v="2015-09-30T00:00:00"/>
    <m/>
    <m/>
    <m/>
    <s v="Aggregate MFs"/>
    <s v="Aggregate MFs"/>
    <s v="Aggregate MFs"/>
    <s v="Aggregate MFs"/>
    <m/>
    <s v="Aggregate MFs"/>
    <s v="Aggregate MFs"/>
    <s v="Aggregate MFs"/>
    <s v="Investment Managers"/>
    <s v="Investment Advisor"/>
    <n v="1520384332531.2"/>
    <m/>
    <m/>
    <m/>
    <m/>
    <s v="Moderate"/>
    <s v="Moderate"/>
    <s v="Moderate"/>
    <s v="High"/>
    <m/>
    <s v="Moderate"/>
    <s v="Low"/>
    <s v="High"/>
    <s v="The Hague"/>
    <s v="Netherlands"/>
  </r>
  <r>
    <n v="663"/>
    <s v="Nomura Asset Management Europe KVG mbH"/>
    <m/>
    <m/>
    <m/>
    <m/>
    <m/>
    <m/>
    <m/>
    <m/>
    <m/>
    <n v="0"/>
    <n v="1.5E-5"/>
    <m/>
    <m/>
    <m/>
    <m/>
    <m/>
    <m/>
    <m/>
    <m/>
    <m/>
    <n v="0"/>
    <n v="1364800"/>
    <m/>
    <m/>
    <m/>
    <m/>
    <m/>
    <m/>
    <m/>
    <m/>
    <m/>
    <n v="-1364800"/>
    <n v="0"/>
    <m/>
    <m/>
    <m/>
    <m/>
    <m/>
    <m/>
    <m/>
    <m/>
    <m/>
    <n v="0"/>
    <n v="2968440044.75"/>
    <m/>
    <m/>
    <m/>
    <m/>
    <m/>
    <m/>
    <m/>
    <m/>
    <m/>
    <d v="2016-02-29T00:00:00"/>
    <d v="2015-10-31T00:00:00"/>
    <m/>
    <m/>
    <m/>
    <m/>
    <m/>
    <m/>
    <m/>
    <m/>
    <m/>
    <s v="Aggregate MFs"/>
    <s v="Aggregate MFs"/>
    <s v="Investment Managers"/>
    <s v="Investment Advisor"/>
    <n v="22173442159068"/>
    <s v="Core Value"/>
    <m/>
    <m/>
    <m/>
    <m/>
    <m/>
    <m/>
    <m/>
    <m/>
    <m/>
    <s v="Low"/>
    <s v="High"/>
    <s v="Frankfurt"/>
    <s v="Germany"/>
  </r>
  <r>
    <n v="664"/>
    <s v="Nordea Investment Management AB (Denmark)_NLE"/>
    <m/>
    <n v="9.990000000000001E-4"/>
    <n v="1.351E-3"/>
    <n v="1.206E-3"/>
    <n v="6.9999999999999994E-5"/>
    <n v="1.06E-4"/>
    <n v="1.3100000000000001E-4"/>
    <n v="0"/>
    <n v="0"/>
    <n v="1.2999999999999999E-4"/>
    <n v="1.8799999999999999E-4"/>
    <m/>
    <n v="92349100"/>
    <n v="124850900"/>
    <n v="111445200"/>
    <n v="6505600"/>
    <n v="9753406"/>
    <n v="12123600"/>
    <n v="0"/>
    <n v="0"/>
    <n v="12028000"/>
    <n v="17360400"/>
    <m/>
    <n v="-32501800"/>
    <n v="13405700"/>
    <n v="104939600"/>
    <n v="-3247806"/>
    <n v="-2370194"/>
    <n v="12123600"/>
    <n v="0"/>
    <n v="-12028000"/>
    <n v="-5332400"/>
    <n v="0"/>
    <m/>
    <n v="525084501007.40002"/>
    <n v="755347944400.75"/>
    <n v="553046805386.90002"/>
    <n v="22826891745"/>
    <n v="30845146410"/>
    <n v="46390624458.800003"/>
    <n v="0"/>
    <n v="0"/>
    <n v="34806024983.400002"/>
    <n v="37758869974.25"/>
    <m/>
    <d v="2024-12-31T00:00:00"/>
    <d v="2023-12-31T00:00:00"/>
    <d v="2022-12-31T00:00:00"/>
    <d v="2021-12-31T00:00:00"/>
    <d v="2020-12-31T00:00:00"/>
    <d v="2019-12-31T00:00:00"/>
    <d v="2017-03-31T00:00:00"/>
    <d v="2017-03-31T00:00:00"/>
    <d v="2016-12-31T00:00:00"/>
    <d v="2015-10-31T00:00:00"/>
    <m/>
    <s v="Aggregate MFs"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3604731303192"/>
    <m/>
    <m/>
    <s v="Low"/>
    <s v="Low"/>
    <s v="Moderate"/>
    <s v="Low"/>
    <s v="Low"/>
    <s v="Moderate"/>
    <s v="Moderate"/>
    <s v="Low"/>
    <s v="Low"/>
    <s v="Low"/>
    <s v="Copenhagen"/>
    <s v="Denmark"/>
  </r>
  <r>
    <n v="665"/>
    <s v="Northern Trust Fund Managers (Ireland) Limited"/>
    <m/>
    <m/>
    <m/>
    <n v="3.1999999999999999E-5"/>
    <n v="3.1999999999999999E-5"/>
    <n v="1.2999999999999999E-5"/>
    <m/>
    <m/>
    <m/>
    <m/>
    <m/>
    <m/>
    <m/>
    <m/>
    <n v="2933000"/>
    <n v="2933000"/>
    <n v="1180600"/>
    <m/>
    <m/>
    <m/>
    <m/>
    <m/>
    <m/>
    <m/>
    <m/>
    <n v="0"/>
    <n v="1752400"/>
    <n v="1180600"/>
    <m/>
    <m/>
    <m/>
    <m/>
    <m/>
    <m/>
    <m/>
    <m/>
    <n v="8945649972"/>
    <n v="8945649972"/>
    <n v="3733647512.4000001"/>
    <m/>
    <m/>
    <m/>
    <m/>
    <m/>
    <m/>
    <m/>
    <m/>
    <d v="2021-08-31T00:00:00"/>
    <d v="2021-08-31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106353086171204"/>
    <m/>
    <m/>
    <m/>
    <m/>
    <s v="Low"/>
    <s v="Moderate"/>
    <s v="Low"/>
    <m/>
    <m/>
    <m/>
    <m/>
    <m/>
    <s v="Dublin"/>
    <s v="Ireland"/>
  </r>
  <r>
    <n v="666"/>
    <s v="Northern Trust Global Investments"/>
    <m/>
    <m/>
    <m/>
    <m/>
    <m/>
    <m/>
    <n v="1.92E-4"/>
    <n v="1.92E-4"/>
    <n v="2.2599999999999999E-4"/>
    <n v="1.8699999999999999E-4"/>
    <n v="1.73E-4"/>
    <m/>
    <m/>
    <m/>
    <m/>
    <m/>
    <m/>
    <n v="17775820"/>
    <n v="17775820"/>
    <n v="20921820"/>
    <n v="17289420"/>
    <n v="16005420"/>
    <m/>
    <m/>
    <m/>
    <m/>
    <m/>
    <m/>
    <n v="0"/>
    <n v="-3146000"/>
    <n v="3632400"/>
    <n v="1284000"/>
    <n v="-1256000"/>
    <m/>
    <m/>
    <m/>
    <m/>
    <m/>
    <m/>
    <n v="64737707562.5"/>
    <n v="64737707562.5"/>
    <n v="83687279956.199997"/>
    <n v="50031259195.800003"/>
    <n v="37025963562.599998"/>
    <m/>
    <m/>
    <m/>
    <m/>
    <m/>
    <m/>
    <d v="2018-12-31T00:00:00"/>
    <d v="2018-12-31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2671912774693500"/>
    <s v="Core Growth"/>
    <m/>
    <m/>
    <m/>
    <m/>
    <m/>
    <m/>
    <s v="Low"/>
    <s v="Low"/>
    <s v="Low"/>
    <s v="Low"/>
    <s v="Low"/>
    <s v="Chicago"/>
    <s v="United States"/>
  </r>
  <r>
    <n v="667"/>
    <s v="NS Partners Ltd."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1-09-30T00:00:00"/>
    <d v="2021-09-30T00:00:00"/>
    <m/>
    <m/>
    <m/>
    <m/>
    <m/>
    <m/>
    <m/>
    <m/>
    <m/>
    <s v="Aggregate MFs"/>
    <s v="Aggregate MFs"/>
    <m/>
    <m/>
    <m/>
    <m/>
    <m/>
    <m/>
    <s v="Investment Managers"/>
    <s v="Investment Advisor/Hedge Fund"/>
    <n v="53054447887939.203"/>
    <s v="Growth"/>
    <m/>
    <m/>
    <m/>
    <s v="Low"/>
    <s v="Low"/>
    <m/>
    <m/>
    <m/>
    <m/>
    <m/>
    <m/>
    <s v="London"/>
    <s v="United Kingdom"/>
  </r>
  <r>
    <n v="668"/>
    <s v="Nuveen Asset Management, LLC"/>
    <m/>
    <n v="0"/>
    <n v="6.0000000000000002E-6"/>
    <m/>
    <m/>
    <m/>
    <m/>
    <m/>
    <m/>
    <m/>
    <m/>
    <m/>
    <n v="0"/>
    <n v="525800"/>
    <m/>
    <m/>
    <m/>
    <m/>
    <m/>
    <m/>
    <m/>
    <m/>
    <m/>
    <n v="-525800"/>
    <n v="525800"/>
    <m/>
    <m/>
    <m/>
    <m/>
    <m/>
    <m/>
    <m/>
    <m/>
    <m/>
    <n v="0"/>
    <n v="3181089941.1500001"/>
    <m/>
    <m/>
    <m/>
    <m/>
    <m/>
    <m/>
    <m/>
    <m/>
    <m/>
    <d v="2024-01-31T00:00:00"/>
    <d v="2023-12-31T00:00:00"/>
    <m/>
    <m/>
    <m/>
    <m/>
    <m/>
    <m/>
    <m/>
    <m/>
    <m/>
    <s v="Aggregate MFs"/>
    <s v="Aggregate MFs"/>
    <m/>
    <m/>
    <m/>
    <m/>
    <m/>
    <m/>
    <m/>
    <m/>
    <s v="Investment Managers"/>
    <s v="Investment Advisor/Hedge Fund"/>
    <n v="872474483973025"/>
    <s v="Core Value"/>
    <m/>
    <s v="Moderate"/>
    <s v="Low"/>
    <m/>
    <m/>
    <m/>
    <m/>
    <m/>
    <m/>
    <m/>
    <m/>
    <s v="Chicago"/>
    <s v="United States"/>
  </r>
  <r>
    <n v="669"/>
    <s v="Octopus Investments Limited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"/>
    <n v="32632062116034"/>
    <s v="VC/Private Equity"/>
    <m/>
    <m/>
    <m/>
    <m/>
    <m/>
    <m/>
    <m/>
    <m/>
    <m/>
    <m/>
    <s v="Low"/>
    <s v="London"/>
    <s v="United Kingdom"/>
  </r>
  <r>
    <n v="670"/>
    <s v="Old Mutual Customised Solutions (Pty) Ltd"/>
    <m/>
    <n v="0"/>
    <n v="0"/>
    <n v="9.9999999999999995E-7"/>
    <n v="9.9999999999999995E-7"/>
    <n v="0"/>
    <m/>
    <m/>
    <m/>
    <m/>
    <m/>
    <m/>
    <n v="0"/>
    <n v="0"/>
    <n v="100416"/>
    <n v="103882"/>
    <n v="0"/>
    <m/>
    <m/>
    <m/>
    <m/>
    <m/>
    <m/>
    <n v="0"/>
    <n v="-100416"/>
    <n v="-3466"/>
    <n v="103882"/>
    <n v="0"/>
    <m/>
    <m/>
    <m/>
    <m/>
    <m/>
    <m/>
    <n v="0"/>
    <n v="0"/>
    <n v="473210356.5"/>
    <n v="364501890"/>
    <n v="0"/>
    <m/>
    <m/>
    <m/>
    <m/>
    <m/>
    <m/>
    <d v="2023-12-31T00:00:00"/>
    <d v="2023-12-31T00:00:00"/>
    <d v="2022-09-30T00:00:00"/>
    <d v="2021-12-31T00:00:00"/>
    <d v="2020-12-31T00:00:00"/>
    <m/>
    <m/>
    <m/>
    <m/>
    <m/>
    <m/>
    <s v="Aggregate MFs"/>
    <s v="Aggregate MFs"/>
    <s v="Aggregate MFs"/>
    <s v="Aggregate MFs"/>
    <s v="Aggregate MFs"/>
    <m/>
    <m/>
    <m/>
    <m/>
    <m/>
    <s v="Investment Managers"/>
    <s v="Investment Advisor"/>
    <n v="21280928239017.602"/>
    <s v="Index"/>
    <m/>
    <s v="Low"/>
    <s v="Low"/>
    <s v="Low"/>
    <s v="Low"/>
    <s v="Low"/>
    <m/>
    <m/>
    <m/>
    <m/>
    <m/>
    <s v="Pinelands"/>
    <s v="South Africa"/>
  </r>
  <r>
    <n v="671"/>
    <s v="OppenheimerFunds, Inc._NLE"/>
    <m/>
    <m/>
    <m/>
    <m/>
    <m/>
    <m/>
    <m/>
    <m/>
    <m/>
    <n v="1.5E-5"/>
    <n v="1.5E-5"/>
    <m/>
    <m/>
    <m/>
    <m/>
    <m/>
    <m/>
    <m/>
    <m/>
    <m/>
    <n v="1343316"/>
    <n v="1343316"/>
    <m/>
    <m/>
    <m/>
    <m/>
    <m/>
    <m/>
    <m/>
    <m/>
    <m/>
    <n v="0"/>
    <n v="221200"/>
    <m/>
    <m/>
    <m/>
    <m/>
    <m/>
    <m/>
    <m/>
    <m/>
    <m/>
    <n v="3107545381.8000002"/>
    <n v="3107545381.8000002"/>
    <m/>
    <m/>
    <m/>
    <m/>
    <m/>
    <m/>
    <m/>
    <m/>
    <m/>
    <d v="2015-12-31T00:00:00"/>
    <d v="2015-12-31T00:00:00"/>
    <m/>
    <m/>
    <m/>
    <m/>
    <m/>
    <m/>
    <m/>
    <m/>
    <m/>
    <s v="Aggregate MFs"/>
    <s v="Aggregate MFs"/>
    <s v="Investment Managers"/>
    <s v="Investment Advisor"/>
    <n v="0"/>
    <m/>
    <m/>
    <m/>
    <m/>
    <m/>
    <m/>
    <m/>
    <m/>
    <m/>
    <m/>
    <s v="Low"/>
    <s v="Low"/>
    <s v="New York"/>
    <s v="United States"/>
  </r>
  <r>
    <n v="672"/>
    <s v="Ossiam"/>
    <m/>
    <m/>
    <m/>
    <m/>
    <m/>
    <m/>
    <m/>
    <n v="0"/>
    <n v="0"/>
    <n v="1.7E-5"/>
    <n v="0"/>
    <m/>
    <m/>
    <m/>
    <m/>
    <m/>
    <m/>
    <m/>
    <n v="0"/>
    <n v="0"/>
    <n v="1536908"/>
    <n v="0"/>
    <m/>
    <m/>
    <m/>
    <m/>
    <m/>
    <m/>
    <m/>
    <n v="0"/>
    <n v="-1536908"/>
    <n v="1536908"/>
    <n v="0"/>
    <m/>
    <m/>
    <m/>
    <m/>
    <m/>
    <m/>
    <m/>
    <n v="0"/>
    <n v="0"/>
    <n v="4447427481.3000002"/>
    <n v="0"/>
    <m/>
    <m/>
    <m/>
    <m/>
    <m/>
    <m/>
    <m/>
    <d v="2017-03-31T00:00:00"/>
    <d v="2017-03-31T00:00:00"/>
    <d v="2016-12-31T00:00:00"/>
    <d v="2014-05-31T00:00:00"/>
    <m/>
    <m/>
    <m/>
    <m/>
    <m/>
    <m/>
    <m/>
    <s v="Aggregate MFs"/>
    <s v="Aggregate MFs"/>
    <s v="Aggregate MFs"/>
    <s v="Aggregate MFs"/>
    <s v="Investment Managers"/>
    <s v="Investment Advisor"/>
    <n v="172378746809570"/>
    <m/>
    <m/>
    <m/>
    <m/>
    <m/>
    <m/>
    <m/>
    <m/>
    <s v="High"/>
    <s v="High"/>
    <s v="High"/>
    <s v="High"/>
    <s v="Paris"/>
    <s v="France"/>
  </r>
  <r>
    <n v="673"/>
    <s v="Overlook Investments Limited"/>
    <m/>
    <m/>
    <m/>
    <m/>
    <m/>
    <m/>
    <n v="3.8140000000000001E-3"/>
    <m/>
    <m/>
    <m/>
    <m/>
    <m/>
    <m/>
    <m/>
    <m/>
    <m/>
    <m/>
    <n v="352434000"/>
    <m/>
    <m/>
    <m/>
    <m/>
    <m/>
    <m/>
    <m/>
    <m/>
    <m/>
    <m/>
    <n v="352434000"/>
    <m/>
    <m/>
    <m/>
    <m/>
    <m/>
    <m/>
    <m/>
    <m/>
    <m/>
    <m/>
    <n v="1348579081100.8"/>
    <m/>
    <m/>
    <m/>
    <m/>
    <m/>
    <m/>
    <m/>
    <m/>
    <m/>
    <m/>
    <d v="2019-12-31T00:00:00"/>
    <m/>
    <m/>
    <m/>
    <m/>
    <m/>
    <m/>
    <m/>
    <m/>
    <m/>
    <m/>
    <s v="Shareholder Report"/>
    <m/>
    <m/>
    <m/>
    <m/>
    <s v="Investment Managers"/>
    <s v="Investment Advisor"/>
    <n v="0"/>
    <s v="Core Value"/>
    <m/>
    <m/>
    <m/>
    <m/>
    <m/>
    <m/>
    <s v="Moderate"/>
    <m/>
    <m/>
    <m/>
    <m/>
    <s v="Central (Hong Kong)"/>
    <s v="Hong Kong"/>
  </r>
  <r>
    <n v="674"/>
    <s v="PanAgora Asset Management Inc."/>
    <m/>
    <n v="0"/>
    <n v="0"/>
    <m/>
    <m/>
    <m/>
    <m/>
    <n v="0"/>
    <n v="0"/>
    <n v="3.9999999999999998E-6"/>
    <n v="3.9999999999999998E-6"/>
    <m/>
    <n v="0"/>
    <n v="0"/>
    <m/>
    <m/>
    <m/>
    <m/>
    <n v="0"/>
    <n v="0"/>
    <n v="346000"/>
    <n v="346000"/>
    <m/>
    <n v="0"/>
    <n v="0"/>
    <m/>
    <m/>
    <m/>
    <m/>
    <n v="0"/>
    <n v="-346000"/>
    <n v="0"/>
    <n v="0"/>
    <m/>
    <n v="0"/>
    <n v="0"/>
    <m/>
    <m/>
    <m/>
    <m/>
    <n v="0"/>
    <n v="0"/>
    <n v="1001237492.4"/>
    <n v="800415272.70000005"/>
    <m/>
    <d v="2023-06-30T00:00:00"/>
    <d v="2023-06-30T00:00:00"/>
    <m/>
    <m/>
    <m/>
    <m/>
    <d v="2017-03-31T00:00:00"/>
    <d v="2017-03-31T00:00:00"/>
    <d v="2016-12-31T00:00:00"/>
    <d v="2015-12-31T00:00:00"/>
    <m/>
    <s v="Aggregate MFs"/>
    <s v="Aggregate MFs"/>
    <m/>
    <m/>
    <m/>
    <m/>
    <s v="Aggregate MFs"/>
    <s v="Aggregate MFs"/>
    <s v="Aggregate MFs"/>
    <s v="Aggregate MFs"/>
    <s v="Investment Managers"/>
    <s v="Investment Advisor/Hedge Fund"/>
    <n v="383173430385674"/>
    <s v="GARP"/>
    <m/>
    <s v="Moderate"/>
    <s v="Moderate"/>
    <m/>
    <m/>
    <m/>
    <m/>
    <s v="Moderate"/>
    <s v="Moderate"/>
    <s v="Moderate"/>
    <s v="Low"/>
    <s v="Boston"/>
    <s v="United States"/>
  </r>
  <r>
    <n v="675"/>
    <s v="Phoenix Asset Management Partners Ltd."/>
    <m/>
    <m/>
    <m/>
    <n v="0"/>
    <n v="0"/>
    <n v="2.0000000000000002E-5"/>
    <n v="1.8E-5"/>
    <m/>
    <m/>
    <m/>
    <m/>
    <m/>
    <m/>
    <m/>
    <n v="0"/>
    <n v="0"/>
    <n v="1810800"/>
    <n v="1623400"/>
    <m/>
    <m/>
    <m/>
    <m/>
    <m/>
    <m/>
    <m/>
    <n v="0"/>
    <n v="-1810800"/>
    <n v="187400"/>
    <n v="1623400"/>
    <m/>
    <m/>
    <m/>
    <m/>
    <m/>
    <m/>
    <m/>
    <n v="0"/>
    <n v="0"/>
    <n v="5726654996.3999996"/>
    <n v="6211895729.6000004"/>
    <m/>
    <m/>
    <m/>
    <m/>
    <m/>
    <m/>
    <m/>
    <d v="2021-04-30T00:00:00"/>
    <d v="2021-04-30T00:00:00"/>
    <d v="2020-12-31T00:00:00"/>
    <d v="2019-12-31T00:00:00"/>
    <m/>
    <m/>
    <m/>
    <m/>
    <m/>
    <m/>
    <m/>
    <s v="Aggregate MFs"/>
    <s v="Aggregate MFs"/>
    <s v="Aggregate MFs"/>
    <s v="Aggregate MFs"/>
    <m/>
    <m/>
    <m/>
    <m/>
    <s v="Investment Managers"/>
    <s v="Investment Advisor"/>
    <n v="22437062112615.602"/>
    <s v="Core Value"/>
    <m/>
    <m/>
    <m/>
    <s v="Low"/>
    <s v="Low"/>
    <s v="Low"/>
    <s v="Moderate"/>
    <m/>
    <m/>
    <m/>
    <m/>
    <s v="London"/>
    <s v="United Kingdom"/>
  </r>
  <r>
    <n v="676"/>
    <s v="Pictet Asset Management (Singapore) Pte. Ltd."/>
    <m/>
    <m/>
    <m/>
    <m/>
    <m/>
    <n v="0"/>
    <n v="3.9999999999999998E-6"/>
    <m/>
    <m/>
    <m/>
    <m/>
    <m/>
    <m/>
    <m/>
    <m/>
    <m/>
    <n v="0"/>
    <n v="412400"/>
    <m/>
    <m/>
    <m/>
    <m/>
    <m/>
    <m/>
    <m/>
    <m/>
    <m/>
    <n v="-412400"/>
    <n v="412400"/>
    <m/>
    <m/>
    <m/>
    <m/>
    <m/>
    <m/>
    <m/>
    <m/>
    <m/>
    <n v="0"/>
    <n v="1578037326"/>
    <m/>
    <m/>
    <m/>
    <m/>
    <m/>
    <m/>
    <m/>
    <m/>
    <m/>
    <d v="2020-02-29T00:00:00"/>
    <d v="2019-12-31T00:00:00"/>
    <m/>
    <m/>
    <m/>
    <m/>
    <m/>
    <m/>
    <m/>
    <m/>
    <m/>
    <s v="Aggregate MFs"/>
    <s v="Aggregate MFs"/>
    <m/>
    <m/>
    <m/>
    <m/>
    <s v="Investment Managers"/>
    <s v="Investment Advisor"/>
    <n v="3353194567324.7998"/>
    <m/>
    <m/>
    <m/>
    <m/>
    <m/>
    <m/>
    <s v="Low"/>
    <s v="Moderate"/>
    <m/>
    <m/>
    <m/>
    <m/>
    <s v="Singapore"/>
    <s v="Singapore"/>
  </r>
  <r>
    <n v="677"/>
    <s v="PineBridge Investments LLC"/>
    <m/>
    <m/>
    <m/>
    <n v="0"/>
    <n v="0"/>
    <n v="0"/>
    <n v="0"/>
    <n v="1.4100000000000001E-4"/>
    <n v="1.85E-4"/>
    <n v="2.8600000000000001E-4"/>
    <n v="9.9999999999999995E-7"/>
    <m/>
    <m/>
    <m/>
    <n v="0"/>
    <n v="0"/>
    <n v="0"/>
    <n v="0"/>
    <n v="13012200"/>
    <n v="17118400"/>
    <n v="26431200"/>
    <n v="104400"/>
    <m/>
    <m/>
    <m/>
    <n v="0"/>
    <n v="0"/>
    <n v="0"/>
    <n v="-13012200"/>
    <n v="-4106200"/>
    <n v="-9312800"/>
    <n v="26326800"/>
    <n v="-1508400"/>
    <m/>
    <m/>
    <m/>
    <n v="0"/>
    <n v="0"/>
    <n v="0"/>
    <n v="0"/>
    <n v="47389093625"/>
    <n v="68473600029.949997"/>
    <n v="76485285033.600006"/>
    <n v="241512648.59999999"/>
    <m/>
    <m/>
    <m/>
    <d v="2021-12-31T00:00:00"/>
    <d v="2021-12-31T00:00:00"/>
    <d v="2019-05-31T00:00:00"/>
    <d v="2019-05-31T00:00:00"/>
    <d v="2018-12-31T00:00:00"/>
    <d v="2017-12-31T00:00:00"/>
    <d v="2016-12-31T00:00:00"/>
    <d v="2015-12-31T00:00:00"/>
    <m/>
    <m/>
    <m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22159443965783"/>
    <s v="GARP"/>
    <m/>
    <m/>
    <m/>
    <s v="Moderate"/>
    <s v="Moderate"/>
    <s v="Moderate"/>
    <s v="Moderate"/>
    <s v="Moderate"/>
    <s v="Moderate"/>
    <s v="High"/>
    <s v="High"/>
    <s v="New York"/>
    <s v="United States"/>
  </r>
  <r>
    <n v="678"/>
    <s v="PineStone Asset Management Inc."/>
    <m/>
    <n v="3.0000000000000001E-6"/>
    <n v="3.0000000000000001E-6"/>
    <n v="9.9999999999999995E-7"/>
    <m/>
    <m/>
    <m/>
    <m/>
    <m/>
    <m/>
    <m/>
    <m/>
    <n v="270500"/>
    <n v="270500"/>
    <n v="100000"/>
    <m/>
    <m/>
    <m/>
    <m/>
    <m/>
    <m/>
    <m/>
    <m/>
    <n v="0"/>
    <n v="170500"/>
    <n v="100000"/>
    <m/>
    <m/>
    <m/>
    <m/>
    <m/>
    <m/>
    <m/>
    <m/>
    <n v="1366024957.6500001"/>
    <n v="1366024957.6500001"/>
    <n v="496250022.94999999"/>
    <m/>
    <m/>
    <m/>
    <m/>
    <m/>
    <m/>
    <m/>
    <m/>
    <d v="2023-05-31T00:00:00"/>
    <d v="2023-05-31T00:00:00"/>
    <d v="2022-12-31T00:00:00"/>
    <m/>
    <m/>
    <m/>
    <m/>
    <m/>
    <m/>
    <m/>
    <m/>
    <s v="Aggregate MFs"/>
    <s v="Aggregate MFs"/>
    <s v="Aggregate MFs"/>
    <m/>
    <m/>
    <m/>
    <m/>
    <m/>
    <m/>
    <m/>
    <s v="Investment Managers"/>
    <s v="Investment Advisor"/>
    <n v="403898870227870"/>
    <m/>
    <m/>
    <s v="Low"/>
    <s v="High"/>
    <s v="Low"/>
    <m/>
    <m/>
    <m/>
    <m/>
    <m/>
    <m/>
    <m/>
    <s v="Montreal"/>
    <s v="Canada"/>
  </r>
  <r>
    <n v="679"/>
    <s v="Pioneer Investments Austria GmbH_NLE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06-30T00:00:00"/>
    <m/>
    <m/>
    <m/>
    <m/>
    <m/>
    <m/>
    <m/>
    <m/>
    <m/>
    <m/>
    <s v="Aggregate MFs"/>
    <s v="Investment Managers"/>
    <s v="Investment Advisor"/>
    <n v="102909667257.60001"/>
    <m/>
    <m/>
    <m/>
    <m/>
    <m/>
    <m/>
    <m/>
    <m/>
    <m/>
    <m/>
    <m/>
    <s v="Low"/>
    <s v="Vienna"/>
    <s v="Austria"/>
  </r>
  <r>
    <n v="680"/>
    <s v="PMG Investment Solutions AG"/>
    <m/>
    <m/>
    <m/>
    <m/>
    <m/>
    <m/>
    <n v="0"/>
    <n v="0"/>
    <n v="1.2999999999999999E-5"/>
    <n v="1.2999999999999999E-5"/>
    <m/>
    <m/>
    <m/>
    <m/>
    <m/>
    <m/>
    <m/>
    <n v="0"/>
    <n v="0"/>
    <n v="1240000"/>
    <n v="1240000"/>
    <m/>
    <m/>
    <m/>
    <m/>
    <m/>
    <m/>
    <m/>
    <n v="0"/>
    <n v="-1240000"/>
    <n v="0"/>
    <n v="1240000"/>
    <m/>
    <m/>
    <m/>
    <m/>
    <m/>
    <m/>
    <m/>
    <n v="0"/>
    <n v="0"/>
    <n v="4060999935.3000002"/>
    <n v="3588249996.9000001"/>
    <m/>
    <m/>
    <m/>
    <m/>
    <m/>
    <m/>
    <m/>
    <d v="2018-12-31T00:00:00"/>
    <d v="2018-12-31T00:00:00"/>
    <d v="2017-08-31T00:00:00"/>
    <d v="2016-12-31T00:00:00"/>
    <m/>
    <m/>
    <m/>
    <m/>
    <m/>
    <m/>
    <m/>
    <s v="Aggregate MFs"/>
    <s v="Aggregate MFs"/>
    <s v="Aggregate MFs"/>
    <s v="Aggregate MFs"/>
    <m/>
    <s v="Investment Managers"/>
    <s v="Investment Advisor"/>
    <n v="4347532144018.7998"/>
    <s v="GARP"/>
    <m/>
    <m/>
    <m/>
    <m/>
    <m/>
    <m/>
    <s v="Moderate"/>
    <s v="Moderate"/>
    <s v="Low"/>
    <s v="Moderate"/>
    <m/>
    <s v="Zurich"/>
    <s v="Switzerland"/>
  </r>
  <r>
    <n v="681"/>
    <s v="Polar Capital LLP"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9-12-31T00:00:00"/>
    <d v="2019-12-31T00:00:00"/>
    <m/>
    <m/>
    <m/>
    <m/>
    <m/>
    <m/>
    <m/>
    <m/>
    <m/>
    <s v="Aggregate MFs"/>
    <s v="Aggregate MFs"/>
    <m/>
    <m/>
    <m/>
    <m/>
    <s v="Investment Managers"/>
    <s v="Investment Advisor/Hedge Fund"/>
    <n v="492136214791762"/>
    <s v="Hedge Fund"/>
    <m/>
    <m/>
    <m/>
    <m/>
    <m/>
    <s v="Moderate"/>
    <s v="Moderate"/>
    <m/>
    <m/>
    <m/>
    <m/>
    <s v="London"/>
    <s v="United Kingdom"/>
  </r>
  <r>
    <n v="682"/>
    <s v="Polen Capital HK Limited"/>
    <m/>
    <m/>
    <m/>
    <n v="6.9999999999999994E-5"/>
    <n v="6.9999999999999994E-5"/>
    <n v="3.1999999999999999E-5"/>
    <n v="3.6999999999999998E-5"/>
    <m/>
    <m/>
    <m/>
    <m/>
    <m/>
    <m/>
    <m/>
    <n v="6471800"/>
    <n v="6471800"/>
    <n v="2991800"/>
    <n v="3436600"/>
    <m/>
    <m/>
    <m/>
    <m/>
    <m/>
    <m/>
    <m/>
    <n v="0"/>
    <n v="3480000"/>
    <n v="-444800"/>
    <n v="3436600"/>
    <m/>
    <m/>
    <m/>
    <m/>
    <m/>
    <m/>
    <m/>
    <n v="19900785009.599998"/>
    <n v="19900785009.599998"/>
    <n v="9461567512.7999992"/>
    <n v="13150056074.4"/>
    <m/>
    <m/>
    <m/>
    <m/>
    <m/>
    <m/>
    <m/>
    <d v="2021-03-31T00:00:00"/>
    <d v="2021-03-31T00:00:00"/>
    <d v="2020-12-31T00:00:00"/>
    <d v="2019-12-31T00:00:00"/>
    <m/>
    <m/>
    <m/>
    <m/>
    <m/>
    <m/>
    <m/>
    <s v="Aggregate MFs"/>
    <s v="Aggregate MFs"/>
    <s v="Aggregate MFs"/>
    <s v="Aggregate MFs"/>
    <m/>
    <m/>
    <m/>
    <m/>
    <s v="Investment Managers"/>
    <s v="Investment Advisor"/>
    <n v="1755691479105.6001"/>
    <m/>
    <m/>
    <m/>
    <m/>
    <s v="Low"/>
    <s v="Low"/>
    <s v="Low"/>
    <s v="Moderate"/>
    <m/>
    <m/>
    <m/>
    <m/>
    <s v="Kowloon"/>
    <s v="Hong Kong"/>
  </r>
  <r>
    <n v="683"/>
    <s v="PPM America, Inc."/>
    <m/>
    <m/>
    <m/>
    <m/>
    <m/>
    <n v="0"/>
    <n v="3.0000000000000001E-6"/>
    <m/>
    <m/>
    <m/>
    <m/>
    <m/>
    <m/>
    <m/>
    <m/>
    <m/>
    <n v="0"/>
    <n v="246600"/>
    <m/>
    <m/>
    <m/>
    <m/>
    <m/>
    <m/>
    <m/>
    <m/>
    <m/>
    <n v="-246600"/>
    <n v="246600"/>
    <m/>
    <m/>
    <m/>
    <m/>
    <m/>
    <m/>
    <m/>
    <m/>
    <m/>
    <n v="0"/>
    <n v="943608204"/>
    <m/>
    <m/>
    <m/>
    <m/>
    <m/>
    <m/>
    <m/>
    <m/>
    <m/>
    <d v="2020-02-29T00:00:00"/>
    <d v="2019-12-31T00:00:00"/>
    <m/>
    <m/>
    <m/>
    <m/>
    <m/>
    <m/>
    <m/>
    <m/>
    <m/>
    <s v="Aggregate MFs"/>
    <s v="Aggregate MFs"/>
    <m/>
    <m/>
    <m/>
    <m/>
    <s v="Investment Managers"/>
    <s v="Investment Advisor"/>
    <n v="2651878204718.3999"/>
    <s v="Income Value"/>
    <m/>
    <m/>
    <m/>
    <m/>
    <m/>
    <s v="Moderate"/>
    <s v="Low"/>
    <m/>
    <m/>
    <m/>
    <m/>
    <s v="Chicago"/>
    <s v="United States"/>
  </r>
  <r>
    <n v="684"/>
    <s v="Pramerica SGR S.p.A._NLE"/>
    <m/>
    <m/>
    <m/>
    <m/>
    <n v="2.14E-4"/>
    <n v="2.14E-4"/>
    <n v="0"/>
    <m/>
    <m/>
    <m/>
    <m/>
    <m/>
    <m/>
    <m/>
    <m/>
    <n v="19766400"/>
    <n v="19766400"/>
    <n v="0"/>
    <m/>
    <m/>
    <m/>
    <m/>
    <m/>
    <m/>
    <m/>
    <m/>
    <n v="0"/>
    <n v="19766400"/>
    <n v="0"/>
    <m/>
    <m/>
    <m/>
    <m/>
    <m/>
    <m/>
    <m/>
    <m/>
    <n v="62511239980.800003"/>
    <n v="62511239980.800003"/>
    <n v="0"/>
    <m/>
    <m/>
    <m/>
    <m/>
    <m/>
    <m/>
    <m/>
    <m/>
    <d v="2020-12-31T00:00:00"/>
    <d v="2020-12-31T00:00:00"/>
    <d v="2019-12-31T00:00:00"/>
    <m/>
    <m/>
    <m/>
    <m/>
    <m/>
    <m/>
    <m/>
    <m/>
    <s v="Aggregate MFs"/>
    <s v="Aggregate MFs"/>
    <s v="Aggregate MFs"/>
    <m/>
    <m/>
    <m/>
    <m/>
    <s v="Investment Managers"/>
    <s v="Investment Advisor/Hedge Fund"/>
    <n v="2058785521514.3999"/>
    <m/>
    <m/>
    <m/>
    <m/>
    <m/>
    <m/>
    <s v="Low"/>
    <s v="Low"/>
    <m/>
    <m/>
    <m/>
    <m/>
    <s v="Milan"/>
    <s v="Italy"/>
  </r>
  <r>
    <n v="685"/>
    <s v="Prastomiyono (Ogi)"/>
    <m/>
    <m/>
    <m/>
    <m/>
    <m/>
    <m/>
    <m/>
    <m/>
    <n v="2.0999999999999999E-5"/>
    <n v="2.0999999999999999E-5"/>
    <m/>
    <m/>
    <m/>
    <m/>
    <m/>
    <m/>
    <m/>
    <m/>
    <m/>
    <n v="1942000"/>
    <n v="1942000"/>
    <m/>
    <m/>
    <m/>
    <m/>
    <m/>
    <m/>
    <m/>
    <m/>
    <m/>
    <n v="0"/>
    <n v="1942000"/>
    <m/>
    <m/>
    <m/>
    <m/>
    <m/>
    <m/>
    <m/>
    <m/>
    <m/>
    <n v="7767999963"/>
    <n v="5619662448"/>
    <m/>
    <m/>
    <m/>
    <m/>
    <m/>
    <m/>
    <m/>
    <m/>
    <m/>
    <d v="2017-12-31T00:00:00"/>
    <d v="2016-12-31T00:00:00"/>
    <m/>
    <m/>
    <m/>
    <m/>
    <m/>
    <m/>
    <m/>
    <m/>
    <m/>
    <s v="Indonesia Insider"/>
    <s v="Indonesia Insider"/>
    <m/>
    <s v="Strategic Entities"/>
    <s v="Individual Investor"/>
    <n v="9552565944"/>
    <m/>
    <m/>
    <m/>
    <m/>
    <m/>
    <m/>
    <m/>
    <m/>
    <m/>
    <s v="Low"/>
    <s v="Low"/>
    <m/>
    <m/>
    <s v="Indonesia"/>
  </r>
  <r>
    <n v="686"/>
    <s v="Praude Asset Management Ltd."/>
    <m/>
    <m/>
    <n v="1.2999999999999999E-5"/>
    <n v="1.2999999999999999E-5"/>
    <n v="2.0000000000000002E-5"/>
    <n v="1.1E-5"/>
    <n v="0"/>
    <m/>
    <m/>
    <m/>
    <m/>
    <m/>
    <m/>
    <n v="1220000"/>
    <n v="1220000"/>
    <n v="1840000"/>
    <n v="1000000"/>
    <n v="0"/>
    <m/>
    <m/>
    <m/>
    <m/>
    <m/>
    <m/>
    <n v="0"/>
    <n v="-620000"/>
    <n v="840000"/>
    <n v="1000000"/>
    <n v="0"/>
    <m/>
    <m/>
    <m/>
    <m/>
    <m/>
    <m/>
    <n v="4834250001.8999996"/>
    <n v="4834250001.8999996"/>
    <n v="6439999994.3999996"/>
    <n v="3162500031.5999999"/>
    <n v="0"/>
    <m/>
    <m/>
    <m/>
    <m/>
    <m/>
    <m/>
    <d v="2022-06-30T00:00:00"/>
    <d v="2022-06-30T00:00:00"/>
    <d v="2021-11-30T00:00:00"/>
    <d v="2020-12-31T00:00:00"/>
    <d v="2019-11-30T00:00:00"/>
    <m/>
    <m/>
    <m/>
    <m/>
    <m/>
    <m/>
    <s v="Aggregate MFs"/>
    <s v="Aggregate MFs"/>
    <s v="Aggregate MFs"/>
    <s v="Aggregate MFs"/>
    <s v="Aggregate MFs"/>
    <m/>
    <m/>
    <m/>
    <m/>
    <s v="Investment Managers"/>
    <s v="Investment Advisor"/>
    <n v="7481794835680.7998"/>
    <m/>
    <m/>
    <m/>
    <s v="High"/>
    <s v="Low"/>
    <s v="Low"/>
    <s v="Moderate"/>
    <s v="Low"/>
    <m/>
    <m/>
    <m/>
    <m/>
    <s v="St. Julians"/>
    <s v="Malta"/>
  </r>
  <r>
    <n v="687"/>
    <s v="Principal Asset Management Company (Asia) Ltd."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6-12-31T00:00:00"/>
    <d v="2016-12-31T00:00:00"/>
    <m/>
    <m/>
    <m/>
    <m/>
    <m/>
    <m/>
    <m/>
    <m/>
    <m/>
    <s v="Aggregate MFs"/>
    <s v="Aggregate MFs"/>
    <m/>
    <s v="Investment Managers"/>
    <s v="Investment Advisor"/>
    <n v="1600140258435.6001"/>
    <s v="GARP"/>
    <m/>
    <m/>
    <m/>
    <m/>
    <m/>
    <m/>
    <m/>
    <m/>
    <s v="Moderate"/>
    <s v="Moderate"/>
    <m/>
    <s v="Wanchai (Hong Kong)"/>
    <s v="Hong Kong"/>
  </r>
  <r>
    <n v="688"/>
    <s v="Principal Global Investors (Hong Kong) Limited"/>
    <m/>
    <m/>
    <m/>
    <m/>
    <m/>
    <n v="0"/>
    <n v="0"/>
    <n v="2.1999999999999999E-5"/>
    <m/>
    <m/>
    <m/>
    <m/>
    <m/>
    <m/>
    <m/>
    <m/>
    <n v="0"/>
    <n v="0"/>
    <n v="2011800"/>
    <m/>
    <m/>
    <m/>
    <m/>
    <m/>
    <m/>
    <m/>
    <m/>
    <n v="0"/>
    <n v="-2011800"/>
    <n v="2011800"/>
    <m/>
    <m/>
    <m/>
    <m/>
    <m/>
    <m/>
    <m/>
    <m/>
    <n v="0"/>
    <n v="0"/>
    <n v="7326768593.75"/>
    <m/>
    <m/>
    <m/>
    <m/>
    <m/>
    <m/>
    <m/>
    <m/>
    <d v="2019-12-31T00:00:00"/>
    <d v="2019-12-31T00:00:00"/>
    <d v="2018-12-31T00:00:00"/>
    <m/>
    <m/>
    <m/>
    <m/>
    <m/>
    <m/>
    <m/>
    <m/>
    <s v="Aggregate MFs"/>
    <s v="Aggregate MFs"/>
    <s v="Aggregate MFs"/>
    <m/>
    <m/>
    <m/>
    <s v="Investment Managers"/>
    <s v="Investment Advisor"/>
    <n v="29947068116857.199"/>
    <s v="Core Value"/>
    <m/>
    <m/>
    <m/>
    <m/>
    <m/>
    <s v="Moderate"/>
    <s v="Moderate"/>
    <s v="Moderate"/>
    <m/>
    <m/>
    <m/>
    <s v="Wanchai (Hong Kong)"/>
    <s v="Hong Kong"/>
  </r>
  <r>
    <n v="689"/>
    <s v="Principal Management Corporation_NLE"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20-09-30T00:00:00"/>
    <d v="2020-09-30T00:00:00"/>
    <m/>
    <m/>
    <m/>
    <m/>
    <m/>
    <m/>
    <m/>
    <m/>
    <m/>
    <s v="Aggregate MFs"/>
    <s v="Aggregate MFs"/>
    <m/>
    <m/>
    <m/>
    <m/>
    <m/>
    <s v="Strategic Entities"/>
    <s v="Holding Company"/>
    <n v="142670781319244"/>
    <m/>
    <m/>
    <m/>
    <m/>
    <m/>
    <s v="Low"/>
    <s v="Low"/>
    <m/>
    <m/>
    <m/>
    <m/>
    <m/>
    <s v="Des Moines"/>
    <s v="United States"/>
  </r>
  <r>
    <n v="690"/>
    <s v="Prisma Investment GmbH"/>
    <m/>
    <m/>
    <m/>
    <m/>
    <m/>
    <n v="0"/>
    <n v="0"/>
    <n v="4.3000000000000002E-5"/>
    <n v="0"/>
    <n v="0"/>
    <n v="6.4999999999999994E-5"/>
    <m/>
    <m/>
    <m/>
    <m/>
    <m/>
    <n v="0"/>
    <n v="0"/>
    <n v="4000000"/>
    <n v="0"/>
    <n v="0"/>
    <n v="6000000"/>
    <m/>
    <m/>
    <m/>
    <m/>
    <m/>
    <n v="0"/>
    <n v="-4000000"/>
    <n v="4000000"/>
    <n v="0"/>
    <n v="-6000000"/>
    <n v="6000000"/>
    <m/>
    <m/>
    <m/>
    <m/>
    <m/>
    <n v="0"/>
    <n v="0"/>
    <n v="14567588487.5"/>
    <n v="0"/>
    <n v="0"/>
    <n v="13880034479.25"/>
    <m/>
    <m/>
    <m/>
    <m/>
    <m/>
    <d v="2019-08-31T00:00:00"/>
    <d v="2019-08-31T00:00:00"/>
    <d v="2018-12-31T00:00:00"/>
    <d v="2016-09-30T00:00:00"/>
    <d v="2016-09-30T00:00:00"/>
    <d v="2015-12-31T00:00:00"/>
    <m/>
    <m/>
    <m/>
    <m/>
    <m/>
    <s v="Aggregate MFs"/>
    <s v="Aggregate MFs"/>
    <s v="Aggregate MFs"/>
    <s v="Aggregate MFs"/>
    <s v="Aggregate MFs"/>
    <s v="Aggregate MFs"/>
    <s v="Investment Managers"/>
    <s v="Investment Advisor"/>
    <n v="107570577004.8"/>
    <m/>
    <m/>
    <m/>
    <m/>
    <m/>
    <m/>
    <s v="High"/>
    <s v="High"/>
    <s v="High"/>
    <s v="High"/>
    <s v="High"/>
    <s v="High"/>
    <s v="Frankfurt"/>
    <s v="Germany"/>
  </r>
  <r>
    <n v="691"/>
    <s v="Pro-Financial Asset Management, Inc."/>
    <m/>
    <m/>
    <m/>
    <m/>
    <m/>
    <m/>
    <m/>
    <m/>
    <n v="0"/>
    <n v="0"/>
    <n v="0"/>
    <m/>
    <m/>
    <m/>
    <m/>
    <m/>
    <m/>
    <m/>
    <m/>
    <n v="16856"/>
    <n v="16856"/>
    <n v="16856"/>
    <m/>
    <m/>
    <m/>
    <m/>
    <m/>
    <m/>
    <m/>
    <m/>
    <n v="0"/>
    <n v="0"/>
    <n v="0"/>
    <m/>
    <m/>
    <m/>
    <m/>
    <m/>
    <m/>
    <m/>
    <m/>
    <n v="40138320.799999997"/>
    <n v="40138320.799999997"/>
    <n v="38993629.5"/>
    <m/>
    <m/>
    <m/>
    <m/>
    <m/>
    <m/>
    <m/>
    <m/>
    <d v="2016-06-30T00:00:00"/>
    <d v="2016-06-30T00:00:00"/>
    <d v="2015-12-31T00:00:00"/>
    <m/>
    <m/>
    <m/>
    <m/>
    <m/>
    <m/>
    <m/>
    <m/>
    <s v="Aggregate MFs"/>
    <s v="Aggregate MFs"/>
    <s v="Aggregate MFs"/>
    <s v="Investment Managers"/>
    <s v="Investment Advisor/Hedge Fund"/>
    <n v="126591302088"/>
    <s v="Hedge Fund"/>
    <m/>
    <m/>
    <m/>
    <m/>
    <m/>
    <m/>
    <m/>
    <m/>
    <s v="Low"/>
    <s v="Moderate"/>
    <s v="Low"/>
    <s v="Burlington"/>
    <s v="Canada"/>
  </r>
  <r>
    <n v="692"/>
    <s v="ProFund Advisors LLC"/>
    <m/>
    <m/>
    <m/>
    <m/>
    <m/>
    <m/>
    <m/>
    <n v="9.9999999999999995E-7"/>
    <n v="9.9999999999999995E-7"/>
    <m/>
    <m/>
    <m/>
    <m/>
    <m/>
    <m/>
    <m/>
    <m/>
    <m/>
    <n v="86126"/>
    <n v="86126"/>
    <m/>
    <m/>
    <m/>
    <m/>
    <m/>
    <m/>
    <m/>
    <m/>
    <m/>
    <n v="0"/>
    <n v="86126"/>
    <m/>
    <m/>
    <m/>
    <m/>
    <m/>
    <m/>
    <m/>
    <m/>
    <m/>
    <n v="344504065.10000002"/>
    <n v="344504065.10000002"/>
    <m/>
    <m/>
    <m/>
    <m/>
    <m/>
    <m/>
    <m/>
    <m/>
    <m/>
    <d v="2017-12-31T00:00:00"/>
    <d v="2017-12-31T00:00:00"/>
    <m/>
    <m/>
    <m/>
    <m/>
    <m/>
    <m/>
    <m/>
    <m/>
    <m/>
    <s v="Aggregate MFs"/>
    <s v="Aggregate MFs"/>
    <m/>
    <m/>
    <s v="Investment Managers"/>
    <s v="Investment Advisor"/>
    <n v="47555657658835.203"/>
    <s v="Index"/>
    <m/>
    <m/>
    <m/>
    <m/>
    <m/>
    <m/>
    <m/>
    <s v="Low"/>
    <s v="Low"/>
    <m/>
    <m/>
    <s v="Bethesda"/>
    <s v="United States"/>
  </r>
  <r>
    <n v="693"/>
    <s v="ProShare Advisors LLC"/>
    <m/>
    <m/>
    <n v="9.9999999999999995E-7"/>
    <n v="9.9999999999999995E-7"/>
    <n v="9.9999999999999995E-7"/>
    <n v="9.9999999999999995E-7"/>
    <n v="1.9999999999999999E-6"/>
    <n v="1.9999999999999999E-6"/>
    <m/>
    <m/>
    <m/>
    <m/>
    <m/>
    <n v="62070"/>
    <n v="62070"/>
    <n v="95794"/>
    <n v="91444"/>
    <n v="141316"/>
    <n v="141316"/>
    <m/>
    <m/>
    <m/>
    <m/>
    <m/>
    <n v="0"/>
    <n v="-33724"/>
    <n v="4350"/>
    <n v="-49872"/>
    <n v="0"/>
    <n v="141316"/>
    <m/>
    <m/>
    <m/>
    <m/>
    <m/>
    <n v="263797543.80000001"/>
    <n v="263797543.80000001"/>
    <n v="336122587.5"/>
    <n v="289191708"/>
    <n v="540741759.20000005"/>
    <n v="514658350"/>
    <m/>
    <m/>
    <m/>
    <m/>
    <m/>
    <d v="2022-05-31T00:00:00"/>
    <d v="2022-05-31T00:00:00"/>
    <d v="2021-12-31T00:00:00"/>
    <d v="2020-12-31T00:00:00"/>
    <d v="2019-12-31T00:00:00"/>
    <d v="2018-12-31T00:00:00"/>
    <m/>
    <m/>
    <m/>
    <m/>
    <m/>
    <s v="Aggregate MFs"/>
    <s v="Aggregate MFs"/>
    <s v="Aggregate MFs"/>
    <s v="Aggregate MFs"/>
    <s v="Aggregate MFs"/>
    <s v="Aggregate MFs"/>
    <m/>
    <m/>
    <m/>
    <s v="Investment Managers"/>
    <s v="Investment Advisor"/>
    <n v="841815742970633"/>
    <s v="Index"/>
    <m/>
    <m/>
    <s v="Low"/>
    <s v="Low"/>
    <s v="Low"/>
    <s v="Low"/>
    <s v="Low"/>
    <s v="Low"/>
    <m/>
    <m/>
    <m/>
    <s v="Bethesda"/>
    <s v="United States"/>
  </r>
  <r>
    <n v="694"/>
    <s v="Prudential Assurance Co., Ltd."/>
    <m/>
    <m/>
    <n v="2.869E-3"/>
    <n v="3.202E-3"/>
    <n v="3.8649999999999999E-3"/>
    <n v="3.326E-3"/>
    <m/>
    <m/>
    <m/>
    <m/>
    <m/>
    <m/>
    <m/>
    <n v="265095500"/>
    <n v="295864000"/>
    <n v="357087000"/>
    <n v="307287400"/>
    <m/>
    <m/>
    <m/>
    <m/>
    <m/>
    <m/>
    <m/>
    <n v="-30768500"/>
    <n v="-61223000"/>
    <n v="49799600"/>
    <n v="307287400"/>
    <m/>
    <m/>
    <m/>
    <m/>
    <m/>
    <m/>
    <m/>
    <n v="1603827773803.8999"/>
    <n v="1468225101201.6499"/>
    <n v="1252949193885"/>
    <n v="971796401456.40002"/>
    <m/>
    <m/>
    <m/>
    <m/>
    <m/>
    <m/>
    <m/>
    <d v="2023-12-31T00:00:00"/>
    <d v="2022-12-31T00:00:00"/>
    <d v="2021-12-31T00:00:00"/>
    <d v="2020-12-31T00:00:00"/>
    <m/>
    <m/>
    <m/>
    <m/>
    <m/>
    <m/>
    <m/>
    <s v="Shareholder Report"/>
    <s v="Shareholder Report"/>
    <s v="Shareholder Report"/>
    <s v="Shareholder Report"/>
    <m/>
    <m/>
    <m/>
    <m/>
    <m/>
    <s v="Investment Managers"/>
    <s v="Insurance Company"/>
    <n v="15230475601602"/>
    <m/>
    <m/>
    <m/>
    <s v="Moderate"/>
    <s v="Low"/>
    <s v="Low"/>
    <s v="Moderate"/>
    <m/>
    <m/>
    <m/>
    <m/>
    <m/>
    <s v="London"/>
    <s v="United Kingdom"/>
  </r>
  <r>
    <n v="695"/>
    <s v="Prudential Capital Group"/>
    <m/>
    <m/>
    <n v="9.9999999999999995E-7"/>
    <n v="9.9999999999999995E-7"/>
    <m/>
    <m/>
    <m/>
    <m/>
    <m/>
    <m/>
    <m/>
    <m/>
    <m/>
    <n v="83668"/>
    <n v="83668"/>
    <m/>
    <m/>
    <m/>
    <m/>
    <m/>
    <m/>
    <m/>
    <m/>
    <m/>
    <n v="0"/>
    <n v="83668"/>
    <m/>
    <m/>
    <m/>
    <m/>
    <m/>
    <m/>
    <m/>
    <m/>
    <m/>
    <n v="440302834.39999998"/>
    <n v="440302834.39999998"/>
    <m/>
    <m/>
    <m/>
    <m/>
    <m/>
    <m/>
    <m/>
    <m/>
    <m/>
    <d v="2022-11-30T00:00:00"/>
    <d v="2022-11-30T00:00:00"/>
    <m/>
    <m/>
    <m/>
    <m/>
    <m/>
    <m/>
    <m/>
    <m/>
    <m/>
    <s v="Aggregate MFs"/>
    <s v="Aggregate MFs"/>
    <m/>
    <m/>
    <m/>
    <m/>
    <m/>
    <m/>
    <m/>
    <s v="Investment Managers"/>
    <s v="Investment Advisor"/>
    <n v="188864350704"/>
    <m/>
    <m/>
    <m/>
    <m/>
    <s v="High"/>
    <m/>
    <m/>
    <m/>
    <m/>
    <m/>
    <m/>
    <m/>
    <s v="Atlanta"/>
    <s v="United States"/>
  </r>
  <r>
    <n v="696"/>
    <s v="Prusik Investment Management LLP"/>
    <m/>
    <m/>
    <m/>
    <m/>
    <m/>
    <n v="0"/>
    <n v="0"/>
    <n v="0"/>
    <n v="7.3999999999999996E-5"/>
    <m/>
    <m/>
    <m/>
    <m/>
    <m/>
    <m/>
    <m/>
    <n v="0"/>
    <n v="0"/>
    <n v="0"/>
    <n v="6800000"/>
    <m/>
    <m/>
    <m/>
    <m/>
    <m/>
    <m/>
    <m/>
    <n v="0"/>
    <n v="0"/>
    <n v="-6800000"/>
    <n v="6800000"/>
    <m/>
    <m/>
    <m/>
    <m/>
    <m/>
    <m/>
    <m/>
    <n v="0"/>
    <n v="0"/>
    <n v="0"/>
    <n v="27200000012.099998"/>
    <m/>
    <m/>
    <m/>
    <m/>
    <m/>
    <m/>
    <m/>
    <d v="2019-10-31T00:00:00"/>
    <d v="2019-10-31T00:00:00"/>
    <d v="2018-08-31T00:00:00"/>
    <d v="2017-12-31T00:00:00"/>
    <m/>
    <m/>
    <m/>
    <m/>
    <m/>
    <m/>
    <m/>
    <s v="Aggregate MFs"/>
    <s v="Aggregate MFs"/>
    <s v="Aggregate MFs"/>
    <s v="Aggregate MFs"/>
    <m/>
    <m/>
    <s v="Investment Managers"/>
    <s v="Investment Advisor"/>
    <n v="13907463383044.801"/>
    <s v="GARP"/>
    <m/>
    <m/>
    <m/>
    <m/>
    <m/>
    <s v="Moderate"/>
    <s v="High"/>
    <s v="Moderate"/>
    <s v="High"/>
    <m/>
    <m/>
    <s v="London"/>
    <s v="United Kingdom"/>
  </r>
  <r>
    <n v="697"/>
    <s v="PT AXA Mandiri Financial Services"/>
    <m/>
    <m/>
    <m/>
    <m/>
    <n v="3.6319999999999998E-3"/>
    <m/>
    <n v="4.052E-3"/>
    <m/>
    <m/>
    <m/>
    <m/>
    <m/>
    <m/>
    <m/>
    <m/>
    <n v="335566200"/>
    <m/>
    <n v="374416800"/>
    <m/>
    <m/>
    <m/>
    <m/>
    <m/>
    <m/>
    <m/>
    <m/>
    <n v="335566200"/>
    <m/>
    <n v="374416800"/>
    <m/>
    <m/>
    <m/>
    <m/>
    <m/>
    <m/>
    <m/>
    <m/>
    <n v="1177436870542.5"/>
    <m/>
    <n v="1432695665344"/>
    <m/>
    <m/>
    <m/>
    <m/>
    <m/>
    <m/>
    <m/>
    <m/>
    <d v="2021-12-31T00:00:00"/>
    <m/>
    <d v="2019-12-31T00:00:00"/>
    <m/>
    <m/>
    <m/>
    <m/>
    <m/>
    <m/>
    <m/>
    <m/>
    <s v="Shareholder Report"/>
    <m/>
    <s v="Shareholder Report"/>
    <m/>
    <m/>
    <m/>
    <m/>
    <s v="Investment Managers"/>
    <s v="Insurance Company"/>
    <n v="336907606136.40002"/>
    <m/>
    <m/>
    <m/>
    <m/>
    <m/>
    <s v="Low"/>
    <m/>
    <m/>
    <m/>
    <m/>
    <m/>
    <m/>
    <s v="Jakarta"/>
    <s v="Indonesia"/>
  </r>
  <r>
    <n v="698"/>
    <s v="PT Ciptadana Asset Management"/>
    <m/>
    <m/>
    <m/>
    <m/>
    <m/>
    <m/>
    <m/>
    <m/>
    <m/>
    <n v="7.1000000000000005E-5"/>
    <n v="7.1000000000000005E-5"/>
    <m/>
    <m/>
    <m/>
    <m/>
    <m/>
    <m/>
    <m/>
    <m/>
    <m/>
    <n v="6598200"/>
    <n v="6598200"/>
    <m/>
    <m/>
    <m/>
    <m/>
    <m/>
    <m/>
    <m/>
    <m/>
    <m/>
    <n v="0"/>
    <n v="0"/>
    <m/>
    <m/>
    <m/>
    <m/>
    <m/>
    <m/>
    <m/>
    <m/>
    <m/>
    <n v="13072683802.9"/>
    <n v="13072683802.9"/>
    <m/>
    <m/>
    <m/>
    <m/>
    <m/>
    <m/>
    <m/>
    <m/>
    <m/>
    <d v="2015-09-30T00:00:00"/>
    <d v="2015-09-30T00:00:00"/>
    <m/>
    <m/>
    <m/>
    <m/>
    <m/>
    <m/>
    <m/>
    <m/>
    <m/>
    <s v="Aggregate MFs"/>
    <s v="Aggregate MFs"/>
    <s v="Investment Managers"/>
    <s v="Investment Advisor"/>
    <n v="6633036187.1999998"/>
    <m/>
    <m/>
    <m/>
    <m/>
    <m/>
    <m/>
    <m/>
    <m/>
    <m/>
    <m/>
    <s v="Low"/>
    <s v="Moderate"/>
    <s v="Jakarta"/>
    <s v="Indonesia"/>
  </r>
  <r>
    <n v="699"/>
    <s v="PT Mandiri Manajemen Investasi"/>
    <m/>
    <m/>
    <m/>
    <m/>
    <m/>
    <n v="4.3350000000000003E-3"/>
    <m/>
    <m/>
    <m/>
    <m/>
    <m/>
    <m/>
    <m/>
    <m/>
    <m/>
    <m/>
    <n v="400596800"/>
    <m/>
    <m/>
    <m/>
    <m/>
    <m/>
    <m/>
    <m/>
    <m/>
    <m/>
    <m/>
    <n v="400596800"/>
    <m/>
    <m/>
    <m/>
    <m/>
    <m/>
    <m/>
    <m/>
    <m/>
    <m/>
    <m/>
    <n v="1266887378530.8"/>
    <m/>
    <m/>
    <m/>
    <m/>
    <m/>
    <m/>
    <m/>
    <m/>
    <m/>
    <m/>
    <d v="2020-12-31T00:00:00"/>
    <m/>
    <m/>
    <m/>
    <m/>
    <m/>
    <m/>
    <m/>
    <m/>
    <m/>
    <m/>
    <s v="Shareholder Report"/>
    <m/>
    <m/>
    <m/>
    <m/>
    <m/>
    <s v="Investment Managers"/>
    <s v="Investment Advisor"/>
    <n v="2979408277491.6001"/>
    <m/>
    <m/>
    <m/>
    <m/>
    <m/>
    <m/>
    <s v="Moderate"/>
    <m/>
    <m/>
    <m/>
    <m/>
    <m/>
    <s v="Jakarta"/>
    <s v="Indonesia"/>
  </r>
  <r>
    <n v="700"/>
    <s v="PT Prudential Life Assurance"/>
    <m/>
    <m/>
    <n v="2.5730000000000002E-3"/>
    <n v="3.7330000000000002E-3"/>
    <n v="4.3429999999999996E-3"/>
    <n v="4.6969999999999998E-3"/>
    <n v="6.3429999999999997E-3"/>
    <m/>
    <m/>
    <m/>
    <m/>
    <m/>
    <m/>
    <n v="237775436"/>
    <n v="344883636"/>
    <n v="401304836"/>
    <n v="434012236"/>
    <n v="586100636"/>
    <m/>
    <m/>
    <m/>
    <m/>
    <m/>
    <m/>
    <n v="-107108200"/>
    <n v="-56421200"/>
    <n v="-32707400"/>
    <n v="-152088400"/>
    <n v="586100636"/>
    <m/>
    <m/>
    <m/>
    <m/>
    <m/>
    <m/>
    <n v="1438541386750.45"/>
    <n v="1711485044988.95"/>
    <n v="1408101025177.5"/>
    <n v="1372563694897.2"/>
    <n v="2242698085694.3999"/>
    <m/>
    <m/>
    <m/>
    <m/>
    <m/>
    <m/>
    <d v="2023-12-31T00:00:00"/>
    <d v="2022-12-31T00:00:00"/>
    <d v="2021-12-31T00:00:00"/>
    <d v="2020-12-31T00:00:00"/>
    <d v="2019-12-31T00:00:00"/>
    <m/>
    <m/>
    <m/>
    <m/>
    <m/>
    <m/>
    <s v="Shareholder Report"/>
    <s v="Shareholder Report"/>
    <s v="Shareholder Report"/>
    <s v="Shareholder Report"/>
    <s v="Shareholder Report"/>
    <m/>
    <m/>
    <m/>
    <m/>
    <s v="Strategic Entities"/>
    <s v="Corporation"/>
    <n v="1455243549728.3999"/>
    <m/>
    <m/>
    <m/>
    <s v="Low"/>
    <s v="Low"/>
    <s v="Low"/>
    <s v="Low"/>
    <s v="Low"/>
    <m/>
    <m/>
    <m/>
    <m/>
    <s v="Jakarta"/>
    <s v="Indonesia"/>
  </r>
  <r>
    <n v="701"/>
    <s v="PT Schroder Investment Management Indonesia"/>
    <m/>
    <m/>
    <m/>
    <m/>
    <n v="1.0633999999999999E-2"/>
    <n v="7.3470000000000002E-3"/>
    <n v="3.5739999999999999E-3"/>
    <m/>
    <m/>
    <m/>
    <m/>
    <m/>
    <m/>
    <m/>
    <m/>
    <n v="982572800"/>
    <n v="678836944"/>
    <n v="330202800"/>
    <m/>
    <m/>
    <m/>
    <m/>
    <m/>
    <m/>
    <m/>
    <m/>
    <n v="303735856"/>
    <n v="348634144"/>
    <n v="330202800"/>
    <m/>
    <m/>
    <m/>
    <m/>
    <m/>
    <m/>
    <m/>
    <m/>
    <n v="3447657847087.5"/>
    <n v="2146821832958.3999"/>
    <n v="1263512001120"/>
    <m/>
    <m/>
    <m/>
    <m/>
    <m/>
    <m/>
    <m/>
    <m/>
    <d v="2021-12-31T00:00:00"/>
    <d v="2020-12-31T00:00:00"/>
    <d v="2019-12-31T00:00:00"/>
    <m/>
    <m/>
    <m/>
    <m/>
    <m/>
    <m/>
    <m/>
    <m/>
    <s v="Shareholder Report"/>
    <s v="Shareholder Report"/>
    <s v="Shareholder Report"/>
    <m/>
    <m/>
    <m/>
    <m/>
    <s v="Investment Managers"/>
    <s v="Investment Advisor"/>
    <n v="160147347632.39999"/>
    <m/>
    <m/>
    <m/>
    <m/>
    <m/>
    <s v="Low"/>
    <s v="Moderate"/>
    <m/>
    <m/>
    <m/>
    <m/>
    <m/>
    <s v="Jakarta"/>
    <s v="Indonesia"/>
  </r>
  <r>
    <n v="702"/>
    <s v="Putro (Imam Apriyanto)"/>
    <m/>
    <m/>
    <m/>
    <m/>
    <m/>
    <m/>
    <n v="1.9999999999999999E-6"/>
    <n v="1.9999999999999999E-6"/>
    <m/>
    <m/>
    <m/>
    <m/>
    <m/>
    <m/>
    <m/>
    <m/>
    <m/>
    <n v="228600"/>
    <n v="228600"/>
    <m/>
    <m/>
    <m/>
    <m/>
    <m/>
    <m/>
    <m/>
    <m/>
    <m/>
    <n v="0"/>
    <n v="228600"/>
    <m/>
    <m/>
    <m/>
    <m/>
    <m/>
    <m/>
    <m/>
    <m/>
    <m/>
    <n v="874731618.79999995"/>
    <n v="832537612.5"/>
    <m/>
    <m/>
    <m/>
    <m/>
    <m/>
    <m/>
    <m/>
    <m/>
    <m/>
    <d v="2019-12-31T00:00:00"/>
    <d v="2018-12-31T00:00:00"/>
    <m/>
    <m/>
    <m/>
    <m/>
    <m/>
    <m/>
    <m/>
    <m/>
    <m/>
    <s v="Indonesia Insider"/>
    <s v="Indonesia Insider"/>
    <m/>
    <m/>
    <m/>
    <s v="Strategic Entities"/>
    <s v="Individual Investor"/>
    <n v="1051190446.8"/>
    <m/>
    <m/>
    <m/>
    <m/>
    <m/>
    <m/>
    <m/>
    <s v="High"/>
    <s v="Low"/>
    <m/>
    <m/>
    <m/>
    <m/>
    <s v="Indonesia"/>
  </r>
  <r>
    <n v="703"/>
    <s v="QS Investors, LLC_NLE"/>
    <m/>
    <m/>
    <m/>
    <m/>
    <n v="9.9999999999999995E-7"/>
    <n v="9.9999999999999995E-7"/>
    <n v="3.0000000000000001E-5"/>
    <n v="1.9999999999999999E-6"/>
    <n v="3.0000000000000001E-6"/>
    <n v="1.9999999999999999E-6"/>
    <n v="9.9999999999999995E-7"/>
    <m/>
    <m/>
    <m/>
    <m/>
    <n v="90600"/>
    <n v="90600"/>
    <n v="2800000"/>
    <n v="200800"/>
    <n v="238800"/>
    <n v="204400"/>
    <n v="102800"/>
    <m/>
    <m/>
    <m/>
    <m/>
    <n v="0"/>
    <n v="-2709400"/>
    <n v="2599200"/>
    <n v="-38000"/>
    <n v="34400"/>
    <n v="101600"/>
    <n v="-619200"/>
    <m/>
    <m/>
    <m/>
    <m/>
    <n v="278595062.39999998"/>
    <n v="286522545.30000001"/>
    <n v="10714123569.6"/>
    <n v="731292906.25"/>
    <n v="955199958.14999998"/>
    <n v="591482517"/>
    <n v="237811238.25"/>
    <m/>
    <m/>
    <m/>
    <m/>
    <d v="2021-02-28T00:00:00"/>
    <d v="2020-11-30T00:00:00"/>
    <d v="2019-12-31T00:00:00"/>
    <d v="2018-12-31T00:00:00"/>
    <d v="2017-12-31T00:00:00"/>
    <d v="2016-12-31T00:00:00"/>
    <d v="2015-12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/Hedge Fund"/>
    <n v="758959656879.59998"/>
    <m/>
    <m/>
    <m/>
    <m/>
    <m/>
    <s v="Low"/>
    <s v="Moderate"/>
    <s v="Low"/>
    <s v="Low"/>
    <s v="Moderate"/>
    <s v="Moderate"/>
    <s v="High"/>
    <s v="New York"/>
    <s v="United States"/>
  </r>
  <r>
    <n v="704"/>
    <s v="Quilter Investors Limited"/>
    <m/>
    <m/>
    <m/>
    <m/>
    <m/>
    <m/>
    <m/>
    <m/>
    <m/>
    <m/>
    <n v="9.5000000000000005E-5"/>
    <m/>
    <m/>
    <m/>
    <m/>
    <m/>
    <m/>
    <m/>
    <m/>
    <m/>
    <m/>
    <n v="8750000"/>
    <m/>
    <m/>
    <m/>
    <m/>
    <m/>
    <m/>
    <m/>
    <m/>
    <m/>
    <m/>
    <n v="0"/>
    <m/>
    <m/>
    <m/>
    <m/>
    <m/>
    <m/>
    <m/>
    <m/>
    <m/>
    <m/>
    <n v="23447205239.599998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/Hedge Fund"/>
    <n v="292604415343643"/>
    <s v="Deep Value"/>
    <m/>
    <m/>
    <m/>
    <m/>
    <m/>
    <m/>
    <m/>
    <m/>
    <m/>
    <m/>
    <s v="Low"/>
    <s v="Southampton"/>
    <s v="United Kingdom"/>
  </r>
  <r>
    <n v="705"/>
    <s v="Radin Capital Partners Inc._NLE"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8-11-30T00:00:00"/>
    <d v="2018-11-30T00:00:00"/>
    <m/>
    <m/>
    <m/>
    <m/>
    <m/>
    <m/>
    <m/>
    <m/>
    <m/>
    <s v="Aggregate MFs"/>
    <s v="Aggregate MFs"/>
    <m/>
    <m/>
    <m/>
    <s v="Investment Managers"/>
    <s v="Investment Advisor"/>
    <n v="17460195157.200001"/>
    <m/>
    <m/>
    <m/>
    <m/>
    <m/>
    <m/>
    <m/>
    <s v="Moderate"/>
    <s v="Moderate"/>
    <m/>
    <m/>
    <m/>
    <s v="Toronto"/>
    <s v="Canada"/>
  </r>
  <r>
    <n v="706"/>
    <s v="Raiffeisen Kapitalanlage-Gesellschaft mbH"/>
    <m/>
    <m/>
    <n v="0"/>
    <n v="0"/>
    <n v="1.5899999999999999E-4"/>
    <n v="1.05E-4"/>
    <n v="1.05E-4"/>
    <n v="1.9000000000000001E-4"/>
    <n v="0"/>
    <n v="0"/>
    <n v="0"/>
    <m/>
    <m/>
    <n v="0"/>
    <n v="0"/>
    <n v="14689200"/>
    <n v="9689200"/>
    <n v="9689200"/>
    <n v="17568000"/>
    <n v="0"/>
    <n v="0"/>
    <n v="0"/>
    <m/>
    <m/>
    <n v="0"/>
    <n v="-14689200"/>
    <n v="5000000"/>
    <n v="0"/>
    <n v="-7878800"/>
    <n v="17568000"/>
    <n v="0"/>
    <n v="0"/>
    <n v="-15664400"/>
    <m/>
    <m/>
    <n v="0"/>
    <n v="0"/>
    <n v="51541560727.5"/>
    <n v="30642095016"/>
    <n v="37075459288"/>
    <n v="63980848575"/>
    <n v="0"/>
    <n v="0"/>
    <n v="0"/>
    <m/>
    <m/>
    <d v="2022-04-30T00:00:00"/>
    <d v="2022-04-30T00:00:00"/>
    <d v="2021-12-31T00:00:00"/>
    <d v="2020-12-31T00:00:00"/>
    <d v="2019-12-31T00:00:00"/>
    <d v="2018-12-31T00:00:00"/>
    <d v="2016-09-30T00:00:00"/>
    <d v="2016-09-30T00:00:00"/>
    <d v="2015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292115319439524"/>
    <s v="Core Value"/>
    <m/>
    <m/>
    <s v="Low"/>
    <s v="Low"/>
    <s v="Low"/>
    <s v="Moderate"/>
    <s v="Low"/>
    <s v="Low"/>
    <s v="Moderate"/>
    <s v="High"/>
    <s v="High"/>
    <s v="Vienna"/>
    <s v="Austria"/>
  </r>
  <r>
    <n v="707"/>
    <s v="RBC Global Asset Management (UK) Limited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6-30T00:00:00"/>
    <d v="2015-06-30T00:00:00"/>
    <m/>
    <m/>
    <m/>
    <m/>
    <m/>
    <m/>
    <m/>
    <m/>
    <m/>
    <s v="Aggregate MFs"/>
    <s v="Aggregate MFs"/>
    <s v="Investment Managers"/>
    <s v="Investment Advisor"/>
    <n v="869449254180290"/>
    <s v="Core Value"/>
    <m/>
    <m/>
    <m/>
    <m/>
    <m/>
    <m/>
    <m/>
    <m/>
    <m/>
    <s v="Moderate"/>
    <s v="Low"/>
    <s v="London"/>
    <s v="United Kingdom"/>
  </r>
  <r>
    <n v="708"/>
    <s v="RBC Indigo Asset Management Inc._NLE"/>
    <m/>
    <m/>
    <n v="3.9999999999999998E-6"/>
    <n v="3.9999999999999998E-6"/>
    <n v="3.9999999999999998E-6"/>
    <m/>
    <m/>
    <m/>
    <m/>
    <m/>
    <m/>
    <m/>
    <m/>
    <n v="407600"/>
    <n v="407600"/>
    <n v="377200"/>
    <m/>
    <m/>
    <m/>
    <m/>
    <m/>
    <m/>
    <m/>
    <m/>
    <n v="0"/>
    <n v="30400"/>
    <n v="377200"/>
    <m/>
    <m/>
    <m/>
    <m/>
    <m/>
    <m/>
    <m/>
    <m/>
    <n v="1686445058.4000001"/>
    <n v="1686445058.4000001"/>
    <n v="1323521760"/>
    <m/>
    <m/>
    <m/>
    <m/>
    <m/>
    <m/>
    <m/>
    <m/>
    <d v="2022-07-31T00:00:00"/>
    <d v="2022-07-31T00:00:00"/>
    <d v="2021-12-31T00:00:00"/>
    <m/>
    <m/>
    <m/>
    <m/>
    <m/>
    <m/>
    <m/>
    <m/>
    <s v="Aggregate MFs"/>
    <s v="Aggregate MFs"/>
    <s v="Aggregate MFs"/>
    <m/>
    <m/>
    <m/>
    <m/>
    <m/>
    <m/>
    <s v="Investment Managers"/>
    <s v="Investment Advisor"/>
    <n v="26072995854972"/>
    <m/>
    <m/>
    <m/>
    <s v="Low"/>
    <s v="Low"/>
    <s v="Low"/>
    <m/>
    <m/>
    <m/>
    <m/>
    <m/>
    <m/>
    <s v="Vancouver"/>
    <s v="Canada"/>
  </r>
  <r>
    <n v="709"/>
    <s v="Resona Bank, Ltd."/>
    <m/>
    <m/>
    <m/>
    <m/>
    <m/>
    <m/>
    <n v="1.9999999999999999E-6"/>
    <n v="9.9999999999999995E-7"/>
    <n v="0"/>
    <m/>
    <m/>
    <m/>
    <m/>
    <m/>
    <m/>
    <m/>
    <m/>
    <n v="202022"/>
    <n v="107486"/>
    <n v="3284"/>
    <m/>
    <m/>
    <m/>
    <m/>
    <m/>
    <m/>
    <m/>
    <m/>
    <n v="94536"/>
    <n v="104202"/>
    <n v="3284"/>
    <m/>
    <m/>
    <m/>
    <m/>
    <m/>
    <m/>
    <m/>
    <m/>
    <n v="752531908.70000005"/>
    <n v="378888086.39999998"/>
    <n v="10344555.76"/>
    <m/>
    <m/>
    <m/>
    <m/>
    <m/>
    <m/>
    <m/>
    <m/>
    <d v="2019-01-31T00:00:00"/>
    <d v="2018-05-31T00:00:00"/>
    <d v="2017-05-31T00:00:00"/>
    <m/>
    <m/>
    <m/>
    <m/>
    <m/>
    <m/>
    <m/>
    <m/>
    <s v="Aggregate MFs"/>
    <s v="Aggregate MFs"/>
    <s v="Aggregate MFs"/>
    <m/>
    <m/>
    <s v="Investment Managers"/>
    <s v="Bank and Trust"/>
    <n v="48005778376729.203"/>
    <s v="Index"/>
    <m/>
    <m/>
    <m/>
    <m/>
    <m/>
    <m/>
    <s v="Low"/>
    <s v="Low"/>
    <s v="Low"/>
    <m/>
    <m/>
    <s v="Koto-ku (Tokyo)"/>
    <s v="Japan"/>
  </r>
  <r>
    <n v="710"/>
    <s v="Ringturm Kapitalanlagegesellschaft mbH_NLE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0-31T00:00:00"/>
    <m/>
    <m/>
    <m/>
    <m/>
    <m/>
    <m/>
    <m/>
    <m/>
    <m/>
    <m/>
    <s v="Aggregate MFs"/>
    <s v="Investment Managers"/>
    <s v="Investment Advisor"/>
    <n v="18805899749478"/>
    <m/>
    <m/>
    <m/>
    <m/>
    <m/>
    <m/>
    <m/>
    <m/>
    <m/>
    <m/>
    <m/>
    <s v="Low"/>
    <s v="Vienna"/>
    <s v="Austria"/>
  </r>
  <r>
    <n v="711"/>
    <s v="Riverfront Investment Group, LLC"/>
    <m/>
    <m/>
    <n v="0"/>
    <n v="0"/>
    <n v="0"/>
    <n v="0"/>
    <n v="1.8E-5"/>
    <m/>
    <m/>
    <m/>
    <m/>
    <m/>
    <m/>
    <n v="0"/>
    <n v="0"/>
    <n v="0"/>
    <n v="0"/>
    <n v="1661666"/>
    <m/>
    <m/>
    <m/>
    <m/>
    <m/>
    <m/>
    <n v="0"/>
    <n v="0"/>
    <n v="0"/>
    <n v="-1661666"/>
    <n v="1661666"/>
    <m/>
    <m/>
    <m/>
    <m/>
    <m/>
    <m/>
    <n v="0"/>
    <n v="0"/>
    <n v="0"/>
    <n v="0"/>
    <n v="6358319597.1999998"/>
    <m/>
    <m/>
    <m/>
    <m/>
    <m/>
    <m/>
    <d v="2022-10-31T00:00:00"/>
    <d v="2022-10-31T00:00:00"/>
    <d v="2020-06-30T00:00:00"/>
    <d v="2020-06-30T00:00:00"/>
    <d v="2019-12-31T00:00:00"/>
    <m/>
    <m/>
    <m/>
    <m/>
    <m/>
    <m/>
    <s v="Aggregate MFs"/>
    <s v="Aggregate MFs"/>
    <s v="Aggregate MFs"/>
    <s v="Aggregate MFs"/>
    <s v="Aggregate MFs"/>
    <m/>
    <m/>
    <m/>
    <m/>
    <s v="Investment Managers"/>
    <s v="Investment Advisor"/>
    <n v="90193310853105.594"/>
    <s v="Core Growth"/>
    <m/>
    <m/>
    <s v="Low"/>
    <s v="Moderate"/>
    <s v="Low"/>
    <s v="Low"/>
    <s v="Low"/>
    <m/>
    <m/>
    <m/>
    <m/>
    <s v="Richmond"/>
    <s v="United States"/>
  </r>
  <r>
    <n v="712"/>
    <s v="Royal London Asset Management (CIS) Limited_NLE"/>
    <m/>
    <m/>
    <m/>
    <n v="0"/>
    <n v="0"/>
    <n v="2.6499999999999999E-4"/>
    <n v="2.2699999999999999E-4"/>
    <m/>
    <m/>
    <m/>
    <m/>
    <m/>
    <m/>
    <m/>
    <n v="0"/>
    <n v="0"/>
    <n v="24452400"/>
    <n v="20950800"/>
    <m/>
    <m/>
    <m/>
    <m/>
    <m/>
    <m/>
    <m/>
    <n v="0"/>
    <n v="-24452400"/>
    <n v="3501600"/>
    <n v="20950800"/>
    <m/>
    <m/>
    <m/>
    <m/>
    <m/>
    <m/>
    <m/>
    <n v="0"/>
    <n v="0"/>
    <n v="77330714947.199997"/>
    <n v="80167664281.600006"/>
    <m/>
    <m/>
    <m/>
    <m/>
    <m/>
    <m/>
    <m/>
    <d v="2021-06-30T00:00:00"/>
    <d v="2021-06-30T00:00:00"/>
    <d v="2020-12-31T00:00:00"/>
    <d v="2019-12-31T00:00:00"/>
    <m/>
    <m/>
    <m/>
    <m/>
    <m/>
    <m/>
    <m/>
    <s v="Aggregate MFs"/>
    <s v="Aggregate MFs"/>
    <s v="Aggregate MFs"/>
    <s v="Aggregate MFs"/>
    <m/>
    <m/>
    <m/>
    <m/>
    <s v="Investment Managers"/>
    <s v="Investment Advisor"/>
    <n v="484789980300"/>
    <m/>
    <m/>
    <m/>
    <m/>
    <s v="Moderate"/>
    <s v="Moderate"/>
    <s v="High"/>
    <s v="High"/>
    <m/>
    <m/>
    <m/>
    <m/>
    <s v="London"/>
    <s v="United Kingdom"/>
  </r>
  <r>
    <n v="713"/>
    <s v="Royal London Asset Management Ltd."/>
    <m/>
    <m/>
    <m/>
    <n v="0"/>
    <n v="0"/>
    <n v="2.6499999999999999E-4"/>
    <n v="2.2699999999999999E-4"/>
    <m/>
    <m/>
    <m/>
    <m/>
    <m/>
    <m/>
    <m/>
    <n v="0"/>
    <n v="0"/>
    <n v="24452400"/>
    <n v="20950800"/>
    <m/>
    <m/>
    <m/>
    <m/>
    <m/>
    <m/>
    <m/>
    <n v="0"/>
    <n v="-24452400"/>
    <n v="3501600"/>
    <n v="20950800"/>
    <m/>
    <m/>
    <m/>
    <m/>
    <m/>
    <m/>
    <m/>
    <n v="0"/>
    <n v="0"/>
    <n v="77330714947.199997"/>
    <n v="80167664281.600006"/>
    <m/>
    <m/>
    <m/>
    <m/>
    <m/>
    <m/>
    <m/>
    <d v="2021-06-30T00:00:00"/>
    <d v="2021-06-30T00:00:00"/>
    <d v="2020-12-31T00:00:00"/>
    <d v="2019-12-31T00:00:00"/>
    <m/>
    <m/>
    <m/>
    <m/>
    <m/>
    <m/>
    <m/>
    <s v="Aggregate MFs"/>
    <s v="Aggregate MFs"/>
    <s v="Aggregate MFs"/>
    <s v="Aggregate MFs"/>
    <m/>
    <m/>
    <m/>
    <m/>
    <s v="Investment Managers"/>
    <s v="Investment Advisor/Hedge Fund"/>
    <n v="3426588824903590"/>
    <s v="Deep Value"/>
    <m/>
    <m/>
    <m/>
    <s v="Moderate"/>
    <s v="Moderate"/>
    <s v="Moderate"/>
    <s v="Moderate"/>
    <m/>
    <m/>
    <m/>
    <m/>
    <s v="London"/>
    <s v="United Kingdom"/>
  </r>
  <r>
    <n v="714"/>
    <s v="Russell Investments Japan Co., Ltd."/>
    <m/>
    <m/>
    <m/>
    <n v="0"/>
    <n v="0"/>
    <n v="9.9999999999999995E-7"/>
    <m/>
    <m/>
    <m/>
    <m/>
    <m/>
    <m/>
    <m/>
    <m/>
    <n v="0"/>
    <n v="0"/>
    <n v="48992"/>
    <m/>
    <m/>
    <m/>
    <m/>
    <m/>
    <m/>
    <m/>
    <m/>
    <n v="0"/>
    <n v="-48992"/>
    <n v="48992"/>
    <m/>
    <m/>
    <m/>
    <m/>
    <m/>
    <m/>
    <m/>
    <m/>
    <n v="0"/>
    <n v="0"/>
    <n v="154937156.40000001"/>
    <m/>
    <m/>
    <m/>
    <m/>
    <m/>
    <m/>
    <m/>
    <m/>
    <d v="2021-12-31T00:00:00"/>
    <d v="2021-12-31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"/>
    <n v="937415705931.59998"/>
    <m/>
    <m/>
    <m/>
    <m/>
    <s v="Low"/>
    <s v="Moderate"/>
    <s v="High"/>
    <m/>
    <m/>
    <m/>
    <m/>
    <m/>
    <s v="Minato-ku (Tokyo)"/>
    <s v="Japan"/>
  </r>
  <r>
    <n v="715"/>
    <s v="Salient Partners, L.P._NLE"/>
    <m/>
    <m/>
    <m/>
    <m/>
    <m/>
    <m/>
    <n v="3.4E-5"/>
    <n v="3.4E-5"/>
    <n v="4.5000000000000003E-5"/>
    <n v="7.6000000000000004E-5"/>
    <n v="1.64E-4"/>
    <m/>
    <m/>
    <m/>
    <m/>
    <m/>
    <m/>
    <n v="3180600"/>
    <n v="3180600"/>
    <n v="4180600"/>
    <n v="7033000"/>
    <n v="15118600"/>
    <m/>
    <m/>
    <m/>
    <m/>
    <m/>
    <m/>
    <n v="0"/>
    <n v="-1000000"/>
    <n v="-2852400"/>
    <n v="-8085600"/>
    <n v="696000"/>
    <m/>
    <m/>
    <m/>
    <m/>
    <m/>
    <m/>
    <n v="10893554976.75"/>
    <n v="10893554976.75"/>
    <n v="16722399980.700001"/>
    <n v="20351743796.400002"/>
    <n v="34974448157.099998"/>
    <m/>
    <m/>
    <m/>
    <m/>
    <m/>
    <m/>
    <d v="2018-06-30T00:00:00"/>
    <d v="2018-06-30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11844607945.200001"/>
    <m/>
    <m/>
    <m/>
    <m/>
    <m/>
    <m/>
    <m/>
    <s v="Low"/>
    <s v="Low"/>
    <s v="Low"/>
    <s v="Low"/>
    <s v="Low"/>
    <s v="Houston"/>
    <s v="United States"/>
  </r>
  <r>
    <n v="716"/>
    <s v="Sally (Kartini)"/>
    <m/>
    <m/>
    <m/>
    <m/>
    <m/>
    <m/>
    <m/>
    <m/>
    <n v="7.9999999999999996E-6"/>
    <n v="7.9999999999999996E-6"/>
    <m/>
    <m/>
    <m/>
    <m/>
    <m/>
    <m/>
    <m/>
    <m/>
    <m/>
    <n v="720000"/>
    <n v="720000"/>
    <m/>
    <m/>
    <m/>
    <m/>
    <m/>
    <m/>
    <m/>
    <m/>
    <m/>
    <n v="0"/>
    <n v="720000"/>
    <m/>
    <m/>
    <m/>
    <m/>
    <m/>
    <m/>
    <m/>
    <m/>
    <m/>
    <n v="2879999935.8499999"/>
    <n v="2083499998.2"/>
    <m/>
    <m/>
    <m/>
    <m/>
    <m/>
    <m/>
    <m/>
    <m/>
    <m/>
    <d v="2017-12-31T00:00:00"/>
    <d v="2016-12-31T00:00:00"/>
    <m/>
    <m/>
    <m/>
    <m/>
    <m/>
    <m/>
    <m/>
    <m/>
    <m/>
    <s v="Indonesia Insider"/>
    <s v="Indonesia Insider"/>
    <m/>
    <s v="Strategic Entities"/>
    <s v="Individual Investor"/>
    <n v="3541631040"/>
    <m/>
    <m/>
    <m/>
    <m/>
    <m/>
    <m/>
    <m/>
    <m/>
    <m/>
    <s v="Low"/>
    <s v="Low"/>
    <m/>
    <m/>
    <s v="Indonesia"/>
  </r>
  <r>
    <n v="717"/>
    <s v="Samarang Asset Management S.A."/>
    <m/>
    <n v="0"/>
    <n v="0"/>
    <n v="8.7000000000000001E-5"/>
    <m/>
    <m/>
    <m/>
    <m/>
    <m/>
    <m/>
    <m/>
    <m/>
    <n v="0"/>
    <n v="0"/>
    <n v="8000000"/>
    <m/>
    <m/>
    <m/>
    <m/>
    <m/>
    <m/>
    <m/>
    <m/>
    <n v="0"/>
    <n v="-8000000"/>
    <n v="8000000"/>
    <m/>
    <m/>
    <m/>
    <m/>
    <m/>
    <m/>
    <m/>
    <m/>
    <n v="0"/>
    <n v="0"/>
    <n v="31700000000.25"/>
    <m/>
    <m/>
    <m/>
    <m/>
    <m/>
    <m/>
    <m/>
    <m/>
    <d v="2023-06-30T00:00:00"/>
    <d v="2023-06-30T00:00:00"/>
    <d v="2022-06-30T00:00:00"/>
    <m/>
    <m/>
    <m/>
    <m/>
    <m/>
    <m/>
    <m/>
    <m/>
    <s v="Aggregate MFs"/>
    <s v="Aggregate MFs"/>
    <s v="Aggregate MFs"/>
    <m/>
    <m/>
    <m/>
    <m/>
    <m/>
    <m/>
    <m/>
    <s v="Investment Managers"/>
    <s v="Investment Advisor"/>
    <n v="5498879610385.2002"/>
    <m/>
    <m/>
    <s v="Low"/>
    <s v="Low"/>
    <s v="Low"/>
    <m/>
    <m/>
    <m/>
    <m/>
    <m/>
    <m/>
    <m/>
    <s v="Luxembourg"/>
    <s v="Luxembourg"/>
  </r>
  <r>
    <n v="718"/>
    <s v="Samsung Asset Management (Hong Kong) Limited"/>
    <m/>
    <m/>
    <m/>
    <m/>
    <m/>
    <n v="0"/>
    <n v="0"/>
    <n v="5.3000000000000001E-5"/>
    <m/>
    <m/>
    <m/>
    <m/>
    <m/>
    <m/>
    <m/>
    <m/>
    <n v="0"/>
    <n v="0"/>
    <n v="4875200"/>
    <m/>
    <m/>
    <m/>
    <m/>
    <m/>
    <m/>
    <m/>
    <m/>
    <n v="0"/>
    <n v="-4875200"/>
    <n v="4875200"/>
    <m/>
    <m/>
    <m/>
    <m/>
    <m/>
    <m/>
    <m/>
    <m/>
    <n v="0"/>
    <n v="0"/>
    <n v="16392860055"/>
    <m/>
    <m/>
    <m/>
    <m/>
    <m/>
    <m/>
    <m/>
    <m/>
    <d v="2019-09-30T00:00:00"/>
    <d v="2019-09-30T00:00:00"/>
    <d v="2018-09-30T00:00:00"/>
    <m/>
    <m/>
    <m/>
    <m/>
    <m/>
    <m/>
    <m/>
    <m/>
    <s v="Aggregate MFs"/>
    <s v="Aggregate MFs"/>
    <s v="Aggregate MFs"/>
    <m/>
    <m/>
    <m/>
    <s v="Investment Managers"/>
    <s v="Investment Advisor/Hedge Fund"/>
    <n v="873232683057.59998"/>
    <m/>
    <m/>
    <m/>
    <m/>
    <m/>
    <m/>
    <s v="Low"/>
    <s v="Low"/>
    <m/>
    <m/>
    <m/>
    <m/>
    <s v="Central (Hong Kong)"/>
    <s v="Hong Kong"/>
  </r>
  <r>
    <n v="719"/>
    <s v="Santander Asset Management UK Limited"/>
    <m/>
    <m/>
    <m/>
    <m/>
    <m/>
    <m/>
    <m/>
    <n v="0"/>
    <n v="0"/>
    <n v="3.9999999999999998E-6"/>
    <n v="0"/>
    <m/>
    <m/>
    <m/>
    <m/>
    <m/>
    <m/>
    <m/>
    <n v="0"/>
    <n v="0"/>
    <n v="364400"/>
    <n v="0"/>
    <m/>
    <m/>
    <m/>
    <m/>
    <m/>
    <m/>
    <m/>
    <n v="0"/>
    <n v="-364400"/>
    <n v="364400"/>
    <n v="0"/>
    <m/>
    <m/>
    <m/>
    <m/>
    <m/>
    <m/>
    <m/>
    <n v="0"/>
    <n v="0"/>
    <n v="1054482516.6"/>
    <n v="0"/>
    <m/>
    <m/>
    <m/>
    <m/>
    <m/>
    <m/>
    <m/>
    <d v="2017-03-31T00:00:00"/>
    <d v="2017-03-31T00:00:00"/>
    <d v="2016-12-31T00:00:00"/>
    <d v="2015-10-31T00:00:00"/>
    <m/>
    <m/>
    <m/>
    <m/>
    <m/>
    <m/>
    <m/>
    <s v="Aggregate MFs"/>
    <s v="Aggregate MFs"/>
    <s v="Aggregate MFs"/>
    <s v="Aggregate MFs"/>
    <s v="Investment Managers"/>
    <s v="Investment Advisor"/>
    <n v="100099830298057"/>
    <s v="Core Growth"/>
    <m/>
    <m/>
    <m/>
    <m/>
    <m/>
    <m/>
    <m/>
    <s v="Moderate"/>
    <s v="Moderate"/>
    <s v="Moderate"/>
    <s v="Moderate"/>
    <s v="Glasgow"/>
    <s v="United Kingdom"/>
  </r>
  <r>
    <n v="720"/>
    <s v="Sarasin &amp; Partners LLP"/>
    <m/>
    <m/>
    <m/>
    <m/>
    <m/>
    <m/>
    <n v="2.1999999999999999E-5"/>
    <n v="2.1999999999999999E-5"/>
    <n v="2.6999999999999999E-5"/>
    <m/>
    <m/>
    <m/>
    <m/>
    <m/>
    <m/>
    <m/>
    <m/>
    <n v="2036600"/>
    <n v="2036600"/>
    <n v="2500000"/>
    <m/>
    <m/>
    <m/>
    <m/>
    <m/>
    <m/>
    <m/>
    <m/>
    <n v="0"/>
    <n v="-463400"/>
    <n v="2500000"/>
    <m/>
    <m/>
    <m/>
    <m/>
    <m/>
    <m/>
    <m/>
    <m/>
    <n v="7417087725"/>
    <n v="7417087725"/>
    <n v="9999999984.5"/>
    <m/>
    <m/>
    <m/>
    <m/>
    <m/>
    <m/>
    <m/>
    <m/>
    <d v="2018-12-31T00:00:00"/>
    <d v="2018-12-31T00:00:00"/>
    <d v="2017-12-31T00:00:00"/>
    <m/>
    <m/>
    <m/>
    <m/>
    <m/>
    <m/>
    <m/>
    <m/>
    <s v="Aggregate MFs"/>
    <s v="Aggregate MFs"/>
    <s v="Aggregate MFs"/>
    <m/>
    <m/>
    <s v="Investment Managers"/>
    <s v="Investment Advisor"/>
    <n v="247860214986922"/>
    <s v="Core Growth"/>
    <m/>
    <m/>
    <m/>
    <m/>
    <m/>
    <m/>
    <s v="Low"/>
    <s v="Low"/>
    <s v="Low"/>
    <m/>
    <m/>
    <s v="London"/>
    <s v="United Kingdom"/>
  </r>
  <r>
    <n v="721"/>
    <s v="Saudi Central Bank"/>
    <m/>
    <m/>
    <m/>
    <m/>
    <m/>
    <m/>
    <n v="4.7410000000000004E-3"/>
    <m/>
    <m/>
    <m/>
    <m/>
    <m/>
    <m/>
    <m/>
    <m/>
    <m/>
    <m/>
    <n v="438075440"/>
    <m/>
    <m/>
    <m/>
    <m/>
    <m/>
    <m/>
    <m/>
    <m/>
    <m/>
    <m/>
    <n v="438075440"/>
    <m/>
    <m/>
    <m/>
    <m/>
    <m/>
    <m/>
    <m/>
    <m/>
    <m/>
    <m/>
    <n v="1676283713600"/>
    <m/>
    <m/>
    <m/>
    <m/>
    <m/>
    <m/>
    <m/>
    <m/>
    <m/>
    <m/>
    <d v="2019-12-31T00:00:00"/>
    <m/>
    <m/>
    <m/>
    <m/>
    <m/>
    <m/>
    <m/>
    <m/>
    <m/>
    <m/>
    <s v="Shareholder Report"/>
    <m/>
    <m/>
    <m/>
    <m/>
    <s v="Investment Managers"/>
    <s v="Sovereign Wealth Fund"/>
    <n v="80047544473768.797"/>
    <m/>
    <m/>
    <m/>
    <m/>
    <m/>
    <m/>
    <m/>
    <s v="Low"/>
    <m/>
    <m/>
    <m/>
    <m/>
    <s v="Riyadh"/>
    <s v="Saudi Arabia"/>
  </r>
  <r>
    <n v="722"/>
    <s v="Schroder Investment Management (Australia) Ltd."/>
    <m/>
    <m/>
    <m/>
    <n v="6.0999999999999999E-5"/>
    <n v="6.0999999999999999E-5"/>
    <m/>
    <m/>
    <m/>
    <m/>
    <m/>
    <m/>
    <m/>
    <m/>
    <m/>
    <n v="5680592"/>
    <n v="5680592"/>
    <m/>
    <m/>
    <m/>
    <m/>
    <m/>
    <m/>
    <m/>
    <m/>
    <m/>
    <n v="0"/>
    <n v="5680592"/>
    <m/>
    <m/>
    <m/>
    <m/>
    <m/>
    <m/>
    <m/>
    <m/>
    <m/>
    <n v="17467820469.900002"/>
    <n v="17467820469.900002"/>
    <m/>
    <m/>
    <m/>
    <m/>
    <m/>
    <m/>
    <m/>
    <m/>
    <m/>
    <d v="2021-09-30T00:00:00"/>
    <d v="2021-09-30T00:00:00"/>
    <m/>
    <m/>
    <m/>
    <m/>
    <m/>
    <m/>
    <m/>
    <m/>
    <m/>
    <s v="Aggregate MFs"/>
    <s v="Aggregate MFs"/>
    <m/>
    <m/>
    <m/>
    <m/>
    <m/>
    <m/>
    <s v="Investment Managers"/>
    <s v="Investment Advisor"/>
    <n v="15249317040037.199"/>
    <s v="Core Growth"/>
    <m/>
    <m/>
    <m/>
    <s v="Low"/>
    <s v="Moderate"/>
    <m/>
    <m/>
    <m/>
    <m/>
    <m/>
    <m/>
    <s v="Sydney"/>
    <s v="Australia"/>
  </r>
  <r>
    <n v="723"/>
    <s v="Schroder Investment Trust Management Company (Korea) Ltd."/>
    <m/>
    <m/>
    <m/>
    <m/>
    <m/>
    <m/>
    <n v="0"/>
    <n v="0"/>
    <n v="0"/>
    <n v="0"/>
    <n v="9.0000000000000002E-6"/>
    <m/>
    <m/>
    <m/>
    <m/>
    <m/>
    <m/>
    <n v="0"/>
    <n v="0"/>
    <n v="0"/>
    <n v="0"/>
    <n v="827092"/>
    <m/>
    <m/>
    <m/>
    <m/>
    <m/>
    <m/>
    <n v="0"/>
    <n v="0"/>
    <n v="0"/>
    <n v="-827092"/>
    <n v="0"/>
    <m/>
    <m/>
    <m/>
    <m/>
    <m/>
    <m/>
    <n v="0"/>
    <n v="0"/>
    <n v="0"/>
    <n v="0"/>
    <n v="1913344215"/>
    <m/>
    <m/>
    <m/>
    <m/>
    <m/>
    <m/>
    <d v="2018-09-30T00:00:00"/>
    <d v="2018-09-30T00:00:00"/>
    <d v="2016-09-30T00:00:00"/>
    <d v="2016-09-30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4321072495053.6001"/>
    <s v="Aggressive Growth"/>
    <m/>
    <m/>
    <m/>
    <m/>
    <m/>
    <m/>
    <s v="Low"/>
    <s v="Moderate"/>
    <s v="High"/>
    <s v="Moderate"/>
    <s v="Moderate"/>
    <s v="Seoul"/>
    <s v="South Korea"/>
  </r>
  <r>
    <n v="724"/>
    <s v="Scottish Mutual Investment Managers Ltd._NLE"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6-06-30T00:00:00"/>
    <d v="2016-06-30T00:00:00"/>
    <m/>
    <m/>
    <m/>
    <m/>
    <m/>
    <m/>
    <m/>
    <m/>
    <m/>
    <s v="Aggregate MFs"/>
    <s v="Aggregate MFs"/>
    <m/>
    <s v="Investment Managers"/>
    <s v="Investment Advisor"/>
    <n v="656352562486.80005"/>
    <m/>
    <m/>
    <m/>
    <m/>
    <m/>
    <m/>
    <m/>
    <m/>
    <m/>
    <m/>
    <s v="Low"/>
    <m/>
    <s v="Glasgow"/>
    <s v="United Kingdom"/>
  </r>
  <r>
    <n v="725"/>
    <s v="SEI Investments Canada"/>
    <m/>
    <m/>
    <n v="0"/>
    <n v="0"/>
    <n v="3.8999999999999999E-5"/>
    <n v="0"/>
    <m/>
    <m/>
    <m/>
    <m/>
    <m/>
    <m/>
    <m/>
    <n v="0"/>
    <n v="0"/>
    <n v="3565000"/>
    <n v="0"/>
    <m/>
    <m/>
    <m/>
    <m/>
    <m/>
    <m/>
    <m/>
    <n v="0"/>
    <n v="-3565000"/>
    <n v="3565000"/>
    <n v="0"/>
    <m/>
    <m/>
    <m/>
    <m/>
    <m/>
    <m/>
    <m/>
    <n v="0"/>
    <n v="0"/>
    <n v="12508895242.5"/>
    <n v="0"/>
    <m/>
    <m/>
    <m/>
    <m/>
    <m/>
    <m/>
    <m/>
    <d v="2022-06-30T00:00:00"/>
    <d v="2022-06-30T00:00:00"/>
    <d v="2021-12-31T00:00:00"/>
    <d v="2020-09-30T00:00:00"/>
    <m/>
    <m/>
    <m/>
    <m/>
    <m/>
    <m/>
    <m/>
    <s v="Aggregate MFs"/>
    <s v="Aggregate MFs"/>
    <s v="Aggregate MFs"/>
    <s v="Aggregate MFs"/>
    <m/>
    <m/>
    <m/>
    <m/>
    <m/>
    <s v="Investment Managers"/>
    <s v="Investment Advisor"/>
    <n v="21542647708226.398"/>
    <m/>
    <m/>
    <m/>
    <s v="Low"/>
    <s v="Moderate"/>
    <s v="Low"/>
    <s v="Low"/>
    <m/>
    <m/>
    <m/>
    <m/>
    <m/>
    <s v="Toronto"/>
    <s v="Canada"/>
  </r>
  <r>
    <n v="726"/>
    <s v="Sella SGR S.p.A."/>
    <m/>
    <m/>
    <m/>
    <m/>
    <m/>
    <m/>
    <m/>
    <m/>
    <m/>
    <n v="7.9999999999999996E-6"/>
    <n v="7.9999999999999996E-6"/>
    <m/>
    <m/>
    <m/>
    <m/>
    <m/>
    <m/>
    <m/>
    <m/>
    <m/>
    <n v="720000"/>
    <n v="720000"/>
    <m/>
    <m/>
    <m/>
    <m/>
    <m/>
    <m/>
    <m/>
    <m/>
    <m/>
    <n v="0"/>
    <n v="0"/>
    <m/>
    <m/>
    <m/>
    <m/>
    <m/>
    <m/>
    <m/>
    <m/>
    <m/>
    <n v="1718999942.76"/>
    <n v="1665604192.6500001"/>
    <m/>
    <m/>
    <m/>
    <m/>
    <m/>
    <m/>
    <m/>
    <m/>
    <m/>
    <d v="2016-02-29T00:00:00"/>
    <d v="2015-12-31T00:00:00"/>
    <m/>
    <m/>
    <m/>
    <m/>
    <m/>
    <m/>
    <m/>
    <m/>
    <m/>
    <s v="Aggregate MFs"/>
    <s v="Aggregate MFs"/>
    <s v="Investment Managers"/>
    <s v="Investment Advisor"/>
    <n v="18557643948760.801"/>
    <s v="GARP"/>
    <m/>
    <m/>
    <m/>
    <m/>
    <m/>
    <m/>
    <m/>
    <m/>
    <m/>
    <s v="Low"/>
    <s v="Moderate"/>
    <s v="Milan"/>
    <s v="Italy"/>
  </r>
  <r>
    <n v="727"/>
    <s v="Sempione SIM SpA"/>
    <m/>
    <n v="3.9999999999999998E-6"/>
    <n v="3.9999999999999998E-6"/>
    <n v="1.9999999999999999E-6"/>
    <m/>
    <m/>
    <m/>
    <m/>
    <m/>
    <m/>
    <m/>
    <m/>
    <n v="400000"/>
    <n v="400000"/>
    <n v="180000"/>
    <m/>
    <m/>
    <m/>
    <m/>
    <m/>
    <m/>
    <m/>
    <m/>
    <n v="0"/>
    <n v="220000"/>
    <n v="180000"/>
    <m/>
    <m/>
    <m/>
    <m/>
    <m/>
    <m/>
    <m/>
    <m/>
    <n v="2065000064.9000001"/>
    <n v="2065000064.9000001"/>
    <n v="848250065.25"/>
    <m/>
    <m/>
    <m/>
    <m/>
    <m/>
    <m/>
    <m/>
    <m/>
    <d v="2023-03-31T00:00:00"/>
    <d v="2023-03-31T00:00:00"/>
    <d v="2022-09-30T00:00:00"/>
    <m/>
    <m/>
    <m/>
    <m/>
    <m/>
    <m/>
    <m/>
    <m/>
    <s v="Aggregate MFs"/>
    <s v="Aggregate MFs"/>
    <s v="Aggregate MFs"/>
    <m/>
    <m/>
    <m/>
    <m/>
    <m/>
    <m/>
    <m/>
    <s v="Investment Managers"/>
    <s v="Investment Advisor"/>
    <n v="6352542138333.5996"/>
    <m/>
    <m/>
    <s v="Low"/>
    <s v="Low"/>
    <m/>
    <m/>
    <m/>
    <m/>
    <m/>
    <m/>
    <m/>
    <m/>
    <s v="Milan"/>
    <s v="Italy"/>
  </r>
  <r>
    <n v="728"/>
    <s v="Senhouse Capital LLP_NLE"/>
    <m/>
    <m/>
    <m/>
    <m/>
    <m/>
    <m/>
    <m/>
    <m/>
    <n v="0"/>
    <n v="0"/>
    <n v="3.6999999999999998E-5"/>
    <m/>
    <m/>
    <m/>
    <m/>
    <m/>
    <m/>
    <m/>
    <m/>
    <n v="0"/>
    <n v="0"/>
    <n v="3400000"/>
    <m/>
    <m/>
    <m/>
    <m/>
    <m/>
    <m/>
    <m/>
    <m/>
    <n v="0"/>
    <n v="-3400000"/>
    <n v="0"/>
    <m/>
    <m/>
    <m/>
    <m/>
    <m/>
    <m/>
    <m/>
    <m/>
    <n v="0"/>
    <n v="0"/>
    <n v="7865352940.5"/>
    <m/>
    <m/>
    <m/>
    <m/>
    <m/>
    <m/>
    <m/>
    <m/>
    <d v="2016-10-31T00:00:00"/>
    <d v="2016-10-31T00:00:00"/>
    <d v="2015-12-31T00:00:00"/>
    <m/>
    <m/>
    <m/>
    <m/>
    <m/>
    <m/>
    <m/>
    <m/>
    <s v="Aggregate MFs"/>
    <s v="Aggregate MFs"/>
    <s v="Aggregate MFs"/>
    <s v="Investment Managers"/>
    <s v="Investment Advisor"/>
    <n v="366091765300.79999"/>
    <m/>
    <m/>
    <m/>
    <m/>
    <m/>
    <m/>
    <m/>
    <m/>
    <m/>
    <s v="Low"/>
    <s v="Moderate"/>
    <s v="Low"/>
    <s v="London"/>
    <s v="United Kingdom"/>
  </r>
  <r>
    <n v="729"/>
    <s v="Sensible Asset Management Hong Kong Limited"/>
    <m/>
    <m/>
    <m/>
    <m/>
    <m/>
    <m/>
    <m/>
    <n v="0"/>
    <n v="0"/>
    <n v="3.0000000000000001E-6"/>
    <n v="5.0000000000000004E-6"/>
    <m/>
    <m/>
    <m/>
    <m/>
    <m/>
    <m/>
    <m/>
    <n v="0"/>
    <n v="0"/>
    <n v="302400"/>
    <n v="469600"/>
    <m/>
    <m/>
    <m/>
    <m/>
    <m/>
    <m/>
    <m/>
    <n v="0"/>
    <n v="-302400"/>
    <n v="-167200"/>
    <n v="0"/>
    <m/>
    <m/>
    <m/>
    <m/>
    <m/>
    <m/>
    <m/>
    <n v="0"/>
    <n v="0"/>
    <n v="875070063.89999998"/>
    <n v="1179870025.4000001"/>
    <m/>
    <m/>
    <m/>
    <m/>
    <m/>
    <m/>
    <m/>
    <d v="2017-06-30T00:00:00"/>
    <d v="2017-06-30T00:00:00"/>
    <d v="2016-12-31T00:00:00"/>
    <d v="2015-06-30T00:00:00"/>
    <m/>
    <m/>
    <m/>
    <m/>
    <m/>
    <m/>
    <m/>
    <s v="Aggregate MFs"/>
    <s v="Aggregate MFs"/>
    <s v="Aggregate MFs"/>
    <s v="Aggregate MFs"/>
    <s v="Investment Managers"/>
    <s v="Investment Advisor"/>
    <n v="165129419270.39999"/>
    <m/>
    <m/>
    <m/>
    <m/>
    <m/>
    <m/>
    <m/>
    <m/>
    <s v="Moderate"/>
    <s v="Moderate"/>
    <s v="Moderate"/>
    <s v="Moderate"/>
    <s v="Central (Hong Kong)"/>
    <s v="Hong Kong"/>
  </r>
  <r>
    <n v="730"/>
    <s v="Shinko Asset Management Co., Ltd._NLE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n v="0"/>
    <n v="0"/>
    <m/>
    <m/>
    <m/>
    <m/>
    <m/>
    <m/>
    <m/>
    <m/>
    <m/>
    <d v="2015-04-30T00:00:00"/>
    <d v="2015-04-30T00:00:00"/>
    <m/>
    <m/>
    <m/>
    <m/>
    <m/>
    <m/>
    <m/>
    <m/>
    <m/>
    <s v="Aggregate MFs"/>
    <s v="Aggregate MFs"/>
    <s v="Investment Managers"/>
    <s v="Investment Advisor"/>
    <n v="4081131318051.6001"/>
    <m/>
    <m/>
    <m/>
    <m/>
    <m/>
    <m/>
    <m/>
    <m/>
    <m/>
    <m/>
    <s v="Low"/>
    <s v="Low"/>
    <s v="Chuo-ku (Tokyo)"/>
    <s v="Japan"/>
  </r>
  <r>
    <n v="731"/>
    <s v="Shânti Asset Management_NLE"/>
    <m/>
    <m/>
    <m/>
    <m/>
    <m/>
    <m/>
    <m/>
    <m/>
    <m/>
    <m/>
    <n v="9.9999999999999995E-7"/>
    <m/>
    <m/>
    <m/>
    <m/>
    <m/>
    <m/>
    <m/>
    <m/>
    <m/>
    <m/>
    <n v="101324"/>
    <m/>
    <m/>
    <m/>
    <m/>
    <m/>
    <m/>
    <m/>
    <m/>
    <m/>
    <m/>
    <n v="0"/>
    <m/>
    <m/>
    <m/>
    <m/>
    <m/>
    <m/>
    <m/>
    <m/>
    <m/>
    <m/>
    <n v="239377934.40000001"/>
    <m/>
    <m/>
    <m/>
    <m/>
    <m/>
    <m/>
    <m/>
    <m/>
    <m/>
    <m/>
    <d v="2014-03-31T00:00:00"/>
    <m/>
    <m/>
    <m/>
    <m/>
    <m/>
    <m/>
    <m/>
    <m/>
    <m/>
    <m/>
    <s v="Aggregate MFs"/>
    <s v="Investment Managers"/>
    <s v="Investment Advisor"/>
    <n v="2536694400"/>
    <m/>
    <m/>
    <m/>
    <m/>
    <m/>
    <m/>
    <m/>
    <m/>
    <m/>
    <m/>
    <m/>
    <m/>
    <s v="Paris"/>
    <s v="France"/>
  </r>
  <r>
    <n v="732"/>
    <s v="Simatupang (Donsuwan)"/>
    <m/>
    <m/>
    <m/>
    <m/>
    <m/>
    <n v="2.5000000000000001E-5"/>
    <n v="6.9999999999999999E-6"/>
    <m/>
    <m/>
    <m/>
    <m/>
    <m/>
    <m/>
    <m/>
    <m/>
    <m/>
    <n v="2270200"/>
    <n v="690200"/>
    <m/>
    <m/>
    <m/>
    <m/>
    <m/>
    <m/>
    <m/>
    <m/>
    <m/>
    <n v="1580000"/>
    <n v="690200"/>
    <m/>
    <m/>
    <m/>
    <m/>
    <m/>
    <m/>
    <m/>
    <m/>
    <m/>
    <n v="5630095956.8000002"/>
    <n v="2641031435.1999998"/>
    <m/>
    <m/>
    <m/>
    <m/>
    <m/>
    <m/>
    <m/>
    <m/>
    <m/>
    <d v="2020-09-30T00:00:00"/>
    <d v="2019-12-31T00:00:00"/>
    <m/>
    <m/>
    <m/>
    <m/>
    <m/>
    <m/>
    <m/>
    <m/>
    <m/>
    <s v="Indonesia Insider"/>
    <s v="Indonesia Insider"/>
    <m/>
    <m/>
    <m/>
    <m/>
    <s v="Strategic Entities"/>
    <s v="Individual Investor"/>
    <n v="6328167153.6000004"/>
    <m/>
    <m/>
    <m/>
    <m/>
    <m/>
    <m/>
    <s v="Moderate"/>
    <s v="Low"/>
    <m/>
    <m/>
    <m/>
    <m/>
    <m/>
    <s v="Indonesia"/>
  </r>
  <r>
    <n v="733"/>
    <s v="SinoPac Securities Investment Trust Co., Ltd."/>
    <m/>
    <m/>
    <m/>
    <m/>
    <n v="3.9999999999999998E-6"/>
    <n v="3.9999999999999998E-6"/>
    <n v="5.0000000000000004E-6"/>
    <n v="6.9999999999999999E-6"/>
    <n v="1.0000000000000001E-5"/>
    <n v="6.0000000000000002E-6"/>
    <n v="6.0000000000000002E-6"/>
    <m/>
    <m/>
    <m/>
    <m/>
    <n v="401694"/>
    <n v="401694"/>
    <n v="466018"/>
    <n v="602946"/>
    <n v="896446"/>
    <n v="597548"/>
    <n v="510436"/>
    <m/>
    <m/>
    <m/>
    <m/>
    <n v="0"/>
    <n v="-64324"/>
    <n v="-136928"/>
    <n v="-293500"/>
    <n v="298898"/>
    <n v="87112"/>
    <n v="0"/>
    <m/>
    <m/>
    <m/>
    <m/>
    <n v="939963950"/>
    <n v="939963950"/>
    <n v="1783205101.2"/>
    <n v="2195867356.25"/>
    <n v="3585784037.1999998"/>
    <n v="1729154541.3"/>
    <n v="1215475790.5"/>
    <m/>
    <m/>
    <m/>
    <m/>
    <d v="2020-03-31T00:00:00"/>
    <d v="2020-03-31T00:00:00"/>
    <d v="2019-12-31T00:00:00"/>
    <d v="2018-12-31T00:00:00"/>
    <d v="2017-12-31T00:00:00"/>
    <d v="2016-12-31T00:00:00"/>
    <d v="2015-07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17185885417492.801"/>
    <s v="Core Growth"/>
    <m/>
    <m/>
    <m/>
    <m/>
    <s v="High"/>
    <s v="High"/>
    <s v="High"/>
    <s v="Moderate"/>
    <s v="High"/>
    <s v="High"/>
    <s v="High"/>
    <s v="Taipei"/>
    <s v="Taiwan"/>
  </r>
  <r>
    <n v="734"/>
    <s v="Sjunde AP-fonden"/>
    <m/>
    <m/>
    <m/>
    <m/>
    <m/>
    <m/>
    <n v="6.3699999999999998E-4"/>
    <n v="6.3699999999999998E-4"/>
    <n v="6.0099999999999997E-4"/>
    <n v="3.68E-4"/>
    <m/>
    <m/>
    <m/>
    <m/>
    <m/>
    <m/>
    <m/>
    <n v="58876400"/>
    <n v="58876400"/>
    <n v="55540400"/>
    <n v="33958000"/>
    <m/>
    <m/>
    <m/>
    <m/>
    <m/>
    <m/>
    <m/>
    <n v="0"/>
    <n v="3336000"/>
    <n v="21582400"/>
    <n v="33958000"/>
    <m/>
    <m/>
    <m/>
    <m/>
    <m/>
    <m/>
    <m/>
    <n v="201651669855"/>
    <n v="201651669855"/>
    <n v="222161600043.5"/>
    <n v="98265962529.600006"/>
    <m/>
    <m/>
    <m/>
    <m/>
    <m/>
    <m/>
    <m/>
    <d v="2018-06-30T00:00:00"/>
    <d v="2018-06-30T00:00:00"/>
    <d v="2017-12-31T00:00:00"/>
    <d v="2016-12-31T00:00:00"/>
    <m/>
    <m/>
    <m/>
    <m/>
    <m/>
    <m/>
    <m/>
    <s v="Aggregate MFs"/>
    <s v="Aggregate MFs"/>
    <s v="Aggregate MFs"/>
    <s v="Aggregate MFs"/>
    <m/>
    <s v="Investment Managers"/>
    <s v="Pension Fund"/>
    <n v="58639750055437.203"/>
    <s v="Growth"/>
    <m/>
    <m/>
    <m/>
    <m/>
    <m/>
    <m/>
    <m/>
    <s v="Low"/>
    <s v="Low"/>
    <s v="High"/>
    <m/>
    <s v="Stockholm"/>
    <s v="Sweden"/>
  </r>
  <r>
    <n v="735"/>
    <s v="Skandia Fonder AB"/>
    <m/>
    <m/>
    <m/>
    <n v="1.7E-5"/>
    <n v="1.7E-5"/>
    <n v="2.0000000000000002E-5"/>
    <n v="2.1999999999999999E-5"/>
    <n v="2.4000000000000001E-5"/>
    <n v="3.8000000000000002E-5"/>
    <n v="2.4000000000000001E-5"/>
    <m/>
    <m/>
    <m/>
    <m/>
    <n v="1531600"/>
    <n v="1564400"/>
    <n v="1884200"/>
    <n v="1987600"/>
    <n v="2193200"/>
    <n v="3521200"/>
    <n v="2214000"/>
    <m/>
    <m/>
    <m/>
    <m/>
    <n v="-32800"/>
    <n v="-319800"/>
    <n v="-103400"/>
    <n v="-205600"/>
    <n v="-1328000"/>
    <n v="1307200"/>
    <n v="2214000"/>
    <m/>
    <m/>
    <m/>
    <m/>
    <n v="5724355025.1999998"/>
    <n v="5489176950"/>
    <n v="5958782528.3999996"/>
    <n v="7605497142.3999996"/>
    <n v="7987408806.25"/>
    <n v="14084799948"/>
    <n v="6406762501.1999998"/>
    <m/>
    <m/>
    <m/>
    <m/>
    <d v="2022-01-31T00:00:00"/>
    <d v="2021-12-31T00:00:00"/>
    <d v="2020-12-31T00:00:00"/>
    <d v="2019-12-31T00:00:00"/>
    <d v="2018-12-31T00:00:00"/>
    <d v="2017-12-31T00:00:00"/>
    <d v="2016-12-31T00:00:00"/>
    <m/>
    <m/>
    <m/>
    <m/>
    <s v="Aggregate MFs"/>
    <s v="Aggregate MFs"/>
    <s v="Aggregate MFs"/>
    <s v="Aggregate MFs"/>
    <s v="Aggregate MFs"/>
    <s v="Aggregate MFs"/>
    <s v="Aggregate MFs"/>
    <m/>
    <s v="Investment Managers"/>
    <s v="Investment Advisor"/>
    <n v="101464291762672"/>
    <m/>
    <m/>
    <m/>
    <m/>
    <s v="Low"/>
    <s v="Low"/>
    <s v="Moderate"/>
    <s v="Low"/>
    <s v="Low"/>
    <s v="Low"/>
    <s v="Moderate"/>
    <m/>
    <s v="Stockholm"/>
    <s v="Sweden"/>
  </r>
  <r>
    <n v="736"/>
    <s v="SPX Capital"/>
    <m/>
    <n v="0"/>
    <n v="1.2E-4"/>
    <m/>
    <m/>
    <m/>
    <m/>
    <m/>
    <m/>
    <m/>
    <m/>
    <m/>
    <n v="0"/>
    <n v="11056120"/>
    <m/>
    <m/>
    <m/>
    <m/>
    <m/>
    <m/>
    <m/>
    <m/>
    <m/>
    <n v="-11056120"/>
    <n v="11056120"/>
    <m/>
    <m/>
    <m/>
    <m/>
    <m/>
    <m/>
    <m/>
    <m/>
    <m/>
    <n v="0"/>
    <n v="66889525974.050003"/>
    <m/>
    <m/>
    <m/>
    <m/>
    <m/>
    <m/>
    <m/>
    <m/>
    <m/>
    <d v="2024-01-31T00:00:00"/>
    <d v="2023-12-31T00:00:00"/>
    <m/>
    <m/>
    <m/>
    <m/>
    <m/>
    <m/>
    <m/>
    <m/>
    <m/>
    <s v="Aggregate MFs"/>
    <s v="Aggregate MFs"/>
    <m/>
    <m/>
    <m/>
    <m/>
    <m/>
    <m/>
    <m/>
    <m/>
    <s v="Investment Managers"/>
    <s v="Investment Advisor/Hedge Fund"/>
    <n v="31696684787334"/>
    <m/>
    <m/>
    <s v="High"/>
    <s v="High"/>
    <m/>
    <m/>
    <m/>
    <m/>
    <m/>
    <m/>
    <m/>
    <m/>
    <s v="Rio de Janeiro"/>
    <s v="Brazil"/>
  </r>
  <r>
    <n v="737"/>
    <s v="St. James's Place Wealth Management Plc"/>
    <m/>
    <m/>
    <m/>
    <m/>
    <m/>
    <m/>
    <m/>
    <m/>
    <n v="1.5300000000000001E-4"/>
    <n v="1.5300000000000001E-4"/>
    <n v="1.3200000000000001E-4"/>
    <m/>
    <m/>
    <m/>
    <m/>
    <m/>
    <m/>
    <m/>
    <m/>
    <n v="14152716"/>
    <n v="14152716"/>
    <n v="12157600"/>
    <m/>
    <m/>
    <m/>
    <m/>
    <m/>
    <m/>
    <m/>
    <m/>
    <n v="0"/>
    <n v="1995116"/>
    <n v="0"/>
    <m/>
    <m/>
    <m/>
    <m/>
    <m/>
    <m/>
    <m/>
    <m/>
    <n v="39627604826.099998"/>
    <n v="39627604826.099998"/>
    <n v="26442779987.5"/>
    <m/>
    <m/>
    <m/>
    <m/>
    <m/>
    <m/>
    <m/>
    <m/>
    <d v="2016-09-30T00:00:00"/>
    <d v="2016-09-30T00:00:00"/>
    <d v="2015-10-31T00:00:00"/>
    <m/>
    <m/>
    <m/>
    <m/>
    <m/>
    <m/>
    <m/>
    <m/>
    <s v="Aggregate MFs"/>
    <s v="Aggregate MFs"/>
    <s v="Aggregate MFs"/>
    <s v="Investment Managers"/>
    <s v="Investment Advisor/Hedge Fund"/>
    <n v="84313928224.800003"/>
    <s v="GARP"/>
    <m/>
    <m/>
    <m/>
    <m/>
    <m/>
    <m/>
    <m/>
    <m/>
    <s v="Low"/>
    <s v="Low"/>
    <s v="Low"/>
    <s v="Gloucester"/>
    <s v="United Kingdom"/>
  </r>
  <r>
    <n v="738"/>
    <s v="STANLIB Asset Management Ltd."/>
    <m/>
    <m/>
    <m/>
    <m/>
    <m/>
    <m/>
    <m/>
    <m/>
    <m/>
    <m/>
    <n v="7.3999999999999996E-5"/>
    <m/>
    <m/>
    <m/>
    <m/>
    <m/>
    <m/>
    <m/>
    <m/>
    <m/>
    <m/>
    <n v="6800800"/>
    <m/>
    <m/>
    <m/>
    <m/>
    <m/>
    <m/>
    <m/>
    <m/>
    <m/>
    <m/>
    <n v="0"/>
    <m/>
    <m/>
    <m/>
    <m/>
    <m/>
    <m/>
    <m/>
    <m/>
    <m/>
    <m/>
    <n v="17427049955.25"/>
    <m/>
    <m/>
    <m/>
    <m/>
    <m/>
    <m/>
    <m/>
    <m/>
    <m/>
    <m/>
    <d v="2014-07-31T00:00:00"/>
    <m/>
    <m/>
    <m/>
    <m/>
    <m/>
    <m/>
    <m/>
    <m/>
    <m/>
    <m/>
    <s v="Aggregate MFs"/>
    <s v="Investment Managers"/>
    <s v="Investment Advisor"/>
    <n v="31370668428897.602"/>
    <s v="GARP"/>
    <m/>
    <m/>
    <m/>
    <m/>
    <m/>
    <m/>
    <m/>
    <m/>
    <m/>
    <m/>
    <s v="Low"/>
    <s v="Johannesburg"/>
    <s v="South Africa"/>
  </r>
  <r>
    <n v="739"/>
    <s v="State of Wisconsin Investment Board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Pension Fund"/>
    <n v="685122728061906"/>
    <s v="Core Growth"/>
    <m/>
    <m/>
    <m/>
    <m/>
    <m/>
    <m/>
    <m/>
    <m/>
    <m/>
    <m/>
    <s v="Low"/>
    <s v="Madison"/>
    <s v="United States"/>
  </r>
  <r>
    <n v="740"/>
    <s v="State Street Investment Management (Canada)"/>
    <m/>
    <n v="3.9999999999999998E-6"/>
    <n v="3.9999999999999998E-6"/>
    <n v="5.3000000000000001E-5"/>
    <n v="5.5000000000000002E-5"/>
    <n v="4.1999999999999998E-5"/>
    <m/>
    <m/>
    <m/>
    <m/>
    <m/>
    <m/>
    <n v="383200"/>
    <n v="383200"/>
    <n v="4895600"/>
    <n v="5074400"/>
    <n v="3843000"/>
    <m/>
    <m/>
    <m/>
    <m/>
    <m/>
    <m/>
    <n v="0"/>
    <n v="-4512400"/>
    <n v="-178800"/>
    <n v="1231400"/>
    <n v="3843000"/>
    <m/>
    <m/>
    <m/>
    <m/>
    <m/>
    <m/>
    <n v="2299107393"/>
    <n v="2299107393"/>
    <n v="24294414986.049999"/>
    <n v="17805087862.5"/>
    <n v="12153487460.4"/>
    <m/>
    <m/>
    <m/>
    <m/>
    <m/>
    <m/>
    <d v="2023-09-30T00:00:00"/>
    <d v="2023-09-30T00:00:00"/>
    <d v="2022-12-31T00:00:00"/>
    <d v="2021-12-31T00:00:00"/>
    <d v="2020-12-31T00:00:00"/>
    <m/>
    <m/>
    <m/>
    <m/>
    <m/>
    <m/>
    <s v="Aggregate MFs"/>
    <s v="Aggregate MFs"/>
    <s v="Aggregate MFs"/>
    <s v="Aggregate MFs"/>
    <s v="Aggregate MFs"/>
    <m/>
    <m/>
    <m/>
    <m/>
    <m/>
    <s v="Investment Managers"/>
    <s v="Investment Advisor/Hedge Fund"/>
    <n v="157877611614722"/>
    <s v="Index"/>
    <m/>
    <s v="Low"/>
    <s v="Low"/>
    <s v="Low"/>
    <s v="Low"/>
    <s v="Low"/>
    <m/>
    <m/>
    <m/>
    <m/>
    <m/>
    <s v="Montreal"/>
    <s v="Canada"/>
  </r>
  <r>
    <n v="741"/>
    <s v="State Street Investment Management France S.A."/>
    <m/>
    <m/>
    <m/>
    <m/>
    <m/>
    <m/>
    <n v="1.5E-5"/>
    <n v="1.5E-5"/>
    <n v="6.7000000000000002E-5"/>
    <n v="4.3999999999999999E-5"/>
    <n v="2.5999999999999998E-5"/>
    <m/>
    <m/>
    <m/>
    <m/>
    <m/>
    <m/>
    <n v="1425200"/>
    <n v="1425200"/>
    <n v="6227200"/>
    <n v="4036800"/>
    <n v="2412400"/>
    <m/>
    <m/>
    <m/>
    <m/>
    <m/>
    <m/>
    <n v="0"/>
    <n v="-4802000"/>
    <n v="2190400"/>
    <n v="1624400"/>
    <n v="0"/>
    <m/>
    <m/>
    <m/>
    <m/>
    <m/>
    <m/>
    <n v="5190431706.25"/>
    <n v="5190431706.25"/>
    <n v="24908800024.549999"/>
    <n v="11681490038.4"/>
    <n v="5580699136.0500002"/>
    <m/>
    <m/>
    <m/>
    <m/>
    <m/>
    <m/>
    <d v="2018-12-31T00:00:00"/>
    <d v="2018-12-31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16345527207490.801"/>
    <s v="Index"/>
    <m/>
    <m/>
    <m/>
    <m/>
    <m/>
    <m/>
    <s v="Low"/>
    <s v="Low"/>
    <s v="Moderate"/>
    <s v="Moderate"/>
    <s v="Low"/>
    <s v="La Défense"/>
    <s v="France"/>
  </r>
  <r>
    <n v="742"/>
    <s v="Stichting Depositary APG Emerging Markets Equity Pool"/>
    <m/>
    <m/>
    <n v="7.0870000000000004E-3"/>
    <n v="7.2849999999999998E-3"/>
    <n v="8.8450000000000004E-3"/>
    <n v="7.5570000000000003E-3"/>
    <n v="8.4379999999999993E-3"/>
    <m/>
    <m/>
    <m/>
    <m/>
    <m/>
    <m/>
    <n v="654860090"/>
    <n v="673175894"/>
    <n v="817271910"/>
    <n v="698270400"/>
    <n v="779684514"/>
    <m/>
    <m/>
    <m/>
    <m/>
    <m/>
    <m/>
    <n v="-18315804"/>
    <n v="-144096016"/>
    <n v="119001510"/>
    <n v="-81414114"/>
    <n v="779684514"/>
    <m/>
    <m/>
    <m/>
    <m/>
    <m/>
    <m/>
    <n v="3961903541427.3501"/>
    <n v="3340635376532.2998"/>
    <n v="2867649006472.5"/>
    <n v="2208280137523.2002"/>
    <n v="2983441510882.7998"/>
    <m/>
    <m/>
    <m/>
    <m/>
    <m/>
    <m/>
    <d v="2023-12-31T00:00:00"/>
    <d v="2022-12-31T00:00:00"/>
    <d v="2021-12-31T00:00:00"/>
    <d v="2020-12-31T00:00:00"/>
    <d v="2019-12-31T00:00:00"/>
    <m/>
    <m/>
    <m/>
    <m/>
    <m/>
    <m/>
    <s v="Shareholder Report"/>
    <s v="Shareholder Report"/>
    <s v="Shareholder Report"/>
    <s v="Shareholder Report"/>
    <s v="Shareholder Report"/>
    <m/>
    <m/>
    <m/>
    <m/>
    <s v="Strategic Entities"/>
    <s v="Corporation"/>
    <n v="3493390945606.7998"/>
    <m/>
    <m/>
    <m/>
    <s v="Low"/>
    <s v="Low"/>
    <s v="Low"/>
    <s v="Low"/>
    <s v="High"/>
    <m/>
    <m/>
    <m/>
    <m/>
    <s v="Heerlen"/>
    <s v="Netherlands"/>
  </r>
  <r>
    <n v="743"/>
    <s v="Stonehage Fleming Investment Management Limited"/>
    <m/>
    <m/>
    <m/>
    <m/>
    <m/>
    <m/>
    <n v="0"/>
    <n v="0"/>
    <n v="0"/>
    <n v="0"/>
    <n v="7.4999999999999993E-5"/>
    <m/>
    <m/>
    <m/>
    <m/>
    <m/>
    <m/>
    <n v="0"/>
    <n v="0"/>
    <n v="0"/>
    <n v="0"/>
    <n v="6935056"/>
    <m/>
    <m/>
    <m/>
    <m/>
    <m/>
    <m/>
    <n v="0"/>
    <n v="0"/>
    <n v="0"/>
    <n v="-6935056"/>
    <n v="0"/>
    <m/>
    <m/>
    <m/>
    <m/>
    <m/>
    <m/>
    <n v="0"/>
    <n v="0"/>
    <n v="0"/>
    <n v="0"/>
    <n v="16043136013.5"/>
    <m/>
    <m/>
    <m/>
    <m/>
    <m/>
    <m/>
    <d v="2018-11-30T00:00:00"/>
    <d v="2018-11-30T00:00:00"/>
    <d v="2016-06-30T00:00:00"/>
    <d v="2016-06-30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"/>
    <n v="12734805989530.801"/>
    <s v="Growth"/>
    <m/>
    <m/>
    <m/>
    <m/>
    <m/>
    <m/>
    <s v="Low"/>
    <s v="Low"/>
    <s v="Moderate"/>
    <s v="Low"/>
    <s v="Moderate"/>
    <s v="London"/>
    <s v="United Kingdom"/>
  </r>
  <r>
    <n v="744"/>
    <s v="Sumitomo Mitsui Trust Bank, Limited"/>
    <m/>
    <m/>
    <m/>
    <m/>
    <m/>
    <m/>
    <m/>
    <m/>
    <m/>
    <m/>
    <n v="1.9000000000000001E-5"/>
    <m/>
    <m/>
    <m/>
    <m/>
    <m/>
    <m/>
    <m/>
    <m/>
    <m/>
    <m/>
    <n v="1720800"/>
    <m/>
    <m/>
    <m/>
    <m/>
    <m/>
    <m/>
    <m/>
    <m/>
    <m/>
    <m/>
    <n v="0"/>
    <m/>
    <m/>
    <m/>
    <m/>
    <m/>
    <m/>
    <m/>
    <m/>
    <m/>
    <m/>
    <n v="4463325058.8000002"/>
    <m/>
    <m/>
    <m/>
    <m/>
    <m/>
    <m/>
    <m/>
    <m/>
    <m/>
    <m/>
    <d v="2014-08-31T00:00:00"/>
    <m/>
    <m/>
    <m/>
    <m/>
    <m/>
    <m/>
    <m/>
    <m/>
    <m/>
    <m/>
    <s v="Aggregate MFs"/>
    <s v="Investment Managers"/>
    <s v="Bank and Trust"/>
    <n v="2846348364214920"/>
    <s v="Core Growth"/>
    <m/>
    <m/>
    <m/>
    <m/>
    <m/>
    <m/>
    <m/>
    <m/>
    <m/>
    <m/>
    <s v="Low"/>
    <s v="Chiyoda-ku (Tokyo)"/>
    <s v="Japan"/>
  </r>
  <r>
    <n v="745"/>
    <s v="Sunbridge Capital Partners, LLC"/>
    <m/>
    <m/>
    <n v="0"/>
    <n v="0"/>
    <n v="2.7E-4"/>
    <m/>
    <m/>
    <m/>
    <m/>
    <m/>
    <m/>
    <m/>
    <m/>
    <n v="0"/>
    <n v="0"/>
    <n v="24991000"/>
    <m/>
    <m/>
    <m/>
    <m/>
    <m/>
    <m/>
    <m/>
    <m/>
    <n v="0"/>
    <n v="-24991000"/>
    <n v="24991000"/>
    <m/>
    <m/>
    <m/>
    <m/>
    <m/>
    <m/>
    <m/>
    <m/>
    <n v="0"/>
    <n v="0"/>
    <n v="87688583685"/>
    <m/>
    <m/>
    <m/>
    <m/>
    <m/>
    <m/>
    <m/>
    <m/>
    <d v="2022-12-31T00:00:00"/>
    <d v="2022-12-31T00:00:00"/>
    <d v="2021-12-31T00:00:00"/>
    <m/>
    <m/>
    <m/>
    <m/>
    <m/>
    <m/>
    <m/>
    <m/>
    <s v="Aggregate MFs"/>
    <s v="Aggregate MFs"/>
    <s v="Aggregate MFs"/>
    <m/>
    <m/>
    <m/>
    <m/>
    <m/>
    <m/>
    <s v="Investment Managers"/>
    <s v="Investment Advisor"/>
    <n v="436080892678.79999"/>
    <m/>
    <m/>
    <m/>
    <s v="Low"/>
    <s v="High"/>
    <s v="High"/>
    <m/>
    <m/>
    <m/>
    <m/>
    <m/>
    <m/>
    <s v="Miami"/>
    <s v="United States"/>
  </r>
  <r>
    <n v="746"/>
    <s v="Swisscanto Fondsleitung AG"/>
    <m/>
    <m/>
    <m/>
    <m/>
    <m/>
    <n v="0"/>
    <n v="0"/>
    <n v="0"/>
    <n v="9.9999999999999995E-7"/>
    <n v="1.9000000000000001E-5"/>
    <n v="1.9000000000000001E-5"/>
    <m/>
    <m/>
    <m/>
    <m/>
    <m/>
    <n v="0"/>
    <n v="0"/>
    <n v="29962"/>
    <n v="50264"/>
    <n v="1732120"/>
    <n v="1732120"/>
    <m/>
    <m/>
    <m/>
    <m/>
    <m/>
    <n v="0"/>
    <n v="-29962"/>
    <n v="-20302"/>
    <n v="-1681856"/>
    <n v="0"/>
    <n v="0"/>
    <m/>
    <m/>
    <m/>
    <m/>
    <m/>
    <n v="0"/>
    <n v="0"/>
    <n v="109118468.75"/>
    <n v="201055953.55000001"/>
    <n v="4655072462.3999996"/>
    <n v="4655072462.3999996"/>
    <m/>
    <m/>
    <m/>
    <m/>
    <m/>
    <d v="2019-12-31T00:00:00"/>
    <d v="2019-12-31T00:00:00"/>
    <d v="2018-12-31T00:00:00"/>
    <d v="2017-12-31T00:00:00"/>
    <d v="2015-04-30T00:00:00"/>
    <d v="2015-04-30T00:00:00"/>
    <m/>
    <m/>
    <m/>
    <m/>
    <m/>
    <s v="Aggregate MFs"/>
    <s v="Aggregate MFs"/>
    <s v="Aggregate MFs"/>
    <s v="Aggregate MFs"/>
    <s v="Aggregate MFs"/>
    <s v="Aggregate MFs"/>
    <s v="Investment Managers"/>
    <s v="Investment Advisor"/>
    <n v="68614195472895.602"/>
    <s v="GARP"/>
    <m/>
    <m/>
    <m/>
    <m/>
    <m/>
    <s v="Low"/>
    <s v="High"/>
    <s v="Low"/>
    <s v="Low"/>
    <s v="Low"/>
    <s v="Moderate"/>
    <s v="Zurich"/>
    <s v="Switzerland"/>
  </r>
  <r>
    <n v="747"/>
    <s v="Sydbank"/>
    <m/>
    <m/>
    <n v="0"/>
    <n v="4.8999999999999998E-5"/>
    <m/>
    <m/>
    <m/>
    <m/>
    <m/>
    <m/>
    <m/>
    <m/>
    <m/>
    <n v="0"/>
    <n v="4509000"/>
    <m/>
    <m/>
    <m/>
    <m/>
    <m/>
    <m/>
    <m/>
    <m/>
    <m/>
    <n v="-4509000"/>
    <n v="4509000"/>
    <m/>
    <m/>
    <m/>
    <m/>
    <m/>
    <m/>
    <m/>
    <m/>
    <m/>
    <n v="0"/>
    <n v="22375912465.5"/>
    <m/>
    <m/>
    <m/>
    <m/>
    <m/>
    <m/>
    <m/>
    <m/>
    <m/>
    <d v="2023-01-31T00:00:00"/>
    <d v="2022-12-31T00:00:00"/>
    <m/>
    <m/>
    <m/>
    <m/>
    <m/>
    <m/>
    <m/>
    <m/>
    <m/>
    <s v="Aggregate MFs"/>
    <s v="Aggregate MFs"/>
    <m/>
    <m/>
    <m/>
    <m/>
    <m/>
    <m/>
    <m/>
    <s v="Investment Managers"/>
    <s v="Bank and Trust"/>
    <n v="83699481729368.406"/>
    <s v="Core Growth"/>
    <m/>
    <m/>
    <s v="Moderate"/>
    <s v="Moderate"/>
    <m/>
    <m/>
    <m/>
    <m/>
    <m/>
    <m/>
    <m/>
    <s v="sAabenraa"/>
    <s v="Denmark"/>
  </r>
  <r>
    <n v="748"/>
    <s v="Sydinvest"/>
    <m/>
    <m/>
    <n v="0"/>
    <n v="1.4E-5"/>
    <n v="5.1599999999999997E-4"/>
    <n v="4.0700000000000003E-4"/>
    <n v="2.2699999999999999E-4"/>
    <n v="0"/>
    <n v="0"/>
    <n v="3.0000000000000001E-6"/>
    <n v="2.5000000000000001E-5"/>
    <m/>
    <m/>
    <n v="0"/>
    <n v="1292400"/>
    <n v="47716798"/>
    <n v="37577402"/>
    <n v="21007440"/>
    <n v="0"/>
    <n v="0"/>
    <n v="272800"/>
    <n v="2340800"/>
    <m/>
    <m/>
    <n v="-1292400"/>
    <n v="-46424398"/>
    <n v="10139396"/>
    <n v="16569962"/>
    <n v="21007440"/>
    <n v="0"/>
    <n v="-272800"/>
    <n v="-2068000"/>
    <n v="183196"/>
    <m/>
    <m/>
    <n v="0"/>
    <n v="6413535058.1499996"/>
    <n v="167429011987.5"/>
    <n v="118838533741.2"/>
    <n v="80384395762.399994"/>
    <n v="0"/>
    <n v="0"/>
    <n v="789415007.39999998"/>
    <n v="5415064090.0500002"/>
    <m/>
    <m/>
    <d v="2023-01-31T00:00:00"/>
    <d v="2022-12-31T00:00:00"/>
    <d v="2021-12-31T00:00:00"/>
    <d v="2020-12-31T00:00:00"/>
    <d v="2019-12-31T00:00:00"/>
    <d v="2018-10-31T00:00:00"/>
    <d v="2017-12-31T00:00:00"/>
    <d v="2016-12-31T00:00:00"/>
    <d v="2015-12-31T00:00:00"/>
    <m/>
    <m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13385814804103.199"/>
    <s v="Core Growth"/>
    <m/>
    <m/>
    <s v="High"/>
    <s v="High"/>
    <s v="High"/>
    <s v="High"/>
    <s v="High"/>
    <s v="High"/>
    <s v="High"/>
    <s v="High"/>
    <s v="Moderate"/>
    <s v="Aabenraa"/>
    <s v="Denmark"/>
  </r>
  <r>
    <n v="749"/>
    <s v="Symmetry Partners, LLC."/>
    <m/>
    <n v="1.2999999999999999E-5"/>
    <n v="1.2999999999999999E-5"/>
    <m/>
    <m/>
    <n v="1.0000000000000001E-5"/>
    <n v="1.0000000000000001E-5"/>
    <m/>
    <m/>
    <m/>
    <m/>
    <m/>
    <n v="1171000"/>
    <n v="1171000"/>
    <m/>
    <m/>
    <n v="928400"/>
    <n v="928400"/>
    <m/>
    <m/>
    <m/>
    <m/>
    <m/>
    <n v="0"/>
    <n v="1171000"/>
    <m/>
    <m/>
    <n v="0"/>
    <n v="928400"/>
    <m/>
    <m/>
    <m/>
    <m/>
    <m/>
    <n v="7025716932"/>
    <n v="7025716932"/>
    <m/>
    <m/>
    <n v="3237795019.8000002"/>
    <n v="3237795019.8000002"/>
    <m/>
    <m/>
    <m/>
    <m/>
    <m/>
    <d v="2023-09-30T00:00:00"/>
    <d v="2023-09-30T00:00:00"/>
    <m/>
    <m/>
    <d v="2019-09-30T00:00:00"/>
    <d v="2019-09-30T00:00:00"/>
    <m/>
    <m/>
    <m/>
    <m/>
    <m/>
    <s v="Aggregate MFs"/>
    <s v="Aggregate MFs"/>
    <m/>
    <m/>
    <s v="Aggregate MFs"/>
    <s v="Aggregate MFs"/>
    <m/>
    <m/>
    <m/>
    <m/>
    <s v="Investment Managers"/>
    <s v="Investment Advisor"/>
    <n v="15739684584154.801"/>
    <m/>
    <m/>
    <s v="High"/>
    <s v="Low"/>
    <m/>
    <m/>
    <s v="Low"/>
    <s v="High"/>
    <m/>
    <m/>
    <m/>
    <m/>
    <s v="Hartford"/>
    <s v="United States"/>
  </r>
  <r>
    <n v="750"/>
    <s v="T&amp;D Asset Management Co., Ltd."/>
    <m/>
    <m/>
    <m/>
    <n v="1.9999999999999999E-6"/>
    <n v="1.9999999999999999E-6"/>
    <n v="5.0000000000000004E-6"/>
    <n v="9.0000000000000002E-6"/>
    <n v="3.0000000000000001E-6"/>
    <n v="3.0000000000000001E-6"/>
    <n v="0"/>
    <n v="0"/>
    <m/>
    <m/>
    <m/>
    <n v="158804"/>
    <n v="158804"/>
    <n v="506596"/>
    <n v="812406"/>
    <n v="273600"/>
    <n v="273600"/>
    <n v="0"/>
    <n v="0"/>
    <m/>
    <m/>
    <m/>
    <n v="0"/>
    <n v="-347792"/>
    <n v="-305810"/>
    <n v="538806"/>
    <n v="0"/>
    <n v="273600"/>
    <n v="0"/>
    <n v="0"/>
    <m/>
    <m/>
    <m/>
    <n v="490307312"/>
    <n v="490307312"/>
    <n v="1129709030.25"/>
    <n v="3117607997.5999999"/>
    <n v="800279953.03999996"/>
    <n v="800279953.03999996"/>
    <n v="0"/>
    <n v="0"/>
    <m/>
    <m/>
    <m/>
    <d v="2021-04-30T00:00:00"/>
    <d v="2021-04-30T00:00:00"/>
    <d v="2020-04-30T00:00:00"/>
    <d v="2019-05-31T00:00:00"/>
    <d v="2017-04-27T00:00:00"/>
    <d v="2017-04-27T00:00:00"/>
    <d v="2015-04-27T00:00:00"/>
    <d v="2015-04-27T00:00:00"/>
    <m/>
    <m/>
    <m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"/>
    <n v="602587514830.80005"/>
    <s v="GARP"/>
    <m/>
    <m/>
    <m/>
    <s v="Low"/>
    <s v="Low"/>
    <s v="Low"/>
    <s v="Moderate"/>
    <s v="Moderate"/>
    <s v="Moderate"/>
    <s v="Moderate"/>
    <s v="Low"/>
    <s v="Minato-ku (Tokyo)"/>
    <s v="Japan"/>
  </r>
  <r>
    <n v="751"/>
    <s v="T. Rowe Price Hong Kong Limited"/>
    <m/>
    <n v="5.7000000000000003E-5"/>
    <n v="5.7000000000000003E-5"/>
    <m/>
    <m/>
    <m/>
    <m/>
    <m/>
    <m/>
    <n v="5.8E-4"/>
    <n v="5.8E-4"/>
    <m/>
    <n v="5296300"/>
    <n v="5296300"/>
    <m/>
    <m/>
    <m/>
    <m/>
    <m/>
    <m/>
    <n v="53569200"/>
    <n v="53569200"/>
    <m/>
    <n v="0"/>
    <n v="5296300"/>
    <m/>
    <m/>
    <m/>
    <m/>
    <m/>
    <m/>
    <n v="0"/>
    <n v="0"/>
    <m/>
    <n v="31776519906"/>
    <n v="31776519906"/>
    <m/>
    <m/>
    <m/>
    <m/>
    <m/>
    <m/>
    <n v="106133977500.39999"/>
    <n v="106133977500.39999"/>
    <m/>
    <d v="2023-09-30T00:00:00"/>
    <d v="2023-09-30T00:00:00"/>
    <m/>
    <m/>
    <m/>
    <m/>
    <m/>
    <m/>
    <d v="2015-09-30T00:00:00"/>
    <d v="2015-09-30T00:00:00"/>
    <m/>
    <s v="Aggregate MFs"/>
    <s v="Aggregate MFs"/>
    <m/>
    <m/>
    <m/>
    <m/>
    <m/>
    <m/>
    <s v="Aggregate MFs"/>
    <s v="Aggregate MFs"/>
    <s v="Investment Managers"/>
    <s v="Investment Advisor"/>
    <n v="187568917172756"/>
    <s v="Core Growth"/>
    <m/>
    <s v="Low"/>
    <s v="Low"/>
    <m/>
    <m/>
    <m/>
    <m/>
    <m/>
    <m/>
    <s v="Moderate"/>
    <s v="Moderate"/>
    <s v="Central (Hong Kong)"/>
    <s v="Hong Kong"/>
  </r>
  <r>
    <n v="752"/>
    <s v="TA Investment Management Bhd."/>
    <m/>
    <m/>
    <m/>
    <m/>
    <n v="9.0000000000000002E-6"/>
    <n v="9.0000000000000002E-6"/>
    <m/>
    <m/>
    <m/>
    <m/>
    <n v="1.1E-5"/>
    <m/>
    <m/>
    <m/>
    <m/>
    <n v="845860"/>
    <n v="845860"/>
    <m/>
    <m/>
    <m/>
    <m/>
    <n v="1040000"/>
    <m/>
    <m/>
    <m/>
    <m/>
    <n v="0"/>
    <n v="845860"/>
    <m/>
    <m/>
    <m/>
    <m/>
    <n v="0"/>
    <m/>
    <m/>
    <m/>
    <m/>
    <n v="2675032292.5"/>
    <n v="2675032292.5"/>
    <m/>
    <m/>
    <m/>
    <m/>
    <n v="2690999992"/>
    <m/>
    <m/>
    <m/>
    <m/>
    <d v="2020-11-30T00:00:00"/>
    <d v="2020-11-30T00:00:00"/>
    <m/>
    <m/>
    <m/>
    <m/>
    <d v="2014-10-31T00:00:00"/>
    <m/>
    <m/>
    <m/>
    <m/>
    <s v="Aggregate MFs"/>
    <s v="Aggregate MFs"/>
    <m/>
    <m/>
    <m/>
    <m/>
    <s v="Aggregate MFs"/>
    <s v="Investment Managers"/>
    <s v="Investment Advisor"/>
    <n v="11245992090657.6"/>
    <s v="Core Value"/>
    <m/>
    <m/>
    <m/>
    <m/>
    <s v="Moderate"/>
    <s v="High"/>
    <m/>
    <m/>
    <m/>
    <m/>
    <s v="Moderate"/>
    <s v="Kuala Lumpur"/>
    <s v="Malaysia"/>
  </r>
  <r>
    <n v="753"/>
    <s v="Tardi"/>
    <m/>
    <m/>
    <m/>
    <m/>
    <m/>
    <m/>
    <m/>
    <m/>
    <n v="2.0000000000000002E-5"/>
    <n v="2.0000000000000002E-5"/>
    <m/>
    <m/>
    <m/>
    <m/>
    <m/>
    <m/>
    <m/>
    <m/>
    <m/>
    <n v="1850000"/>
    <n v="1850000"/>
    <m/>
    <m/>
    <m/>
    <m/>
    <m/>
    <m/>
    <m/>
    <m/>
    <m/>
    <n v="0"/>
    <n v="1850000"/>
    <m/>
    <m/>
    <m/>
    <m/>
    <m/>
    <m/>
    <m/>
    <m/>
    <m/>
    <n v="7399999961.3999996"/>
    <n v="5353437461.6999998"/>
    <m/>
    <m/>
    <m/>
    <m/>
    <m/>
    <m/>
    <m/>
    <m/>
    <m/>
    <d v="2017-12-31T00:00:00"/>
    <d v="2016-12-31T00:00:00"/>
    <m/>
    <m/>
    <m/>
    <m/>
    <m/>
    <m/>
    <m/>
    <m/>
    <m/>
    <s v="Indonesia Insider"/>
    <s v="Indonesia Insider"/>
    <m/>
    <s v="Strategic Entities"/>
    <s v="Individual Investor"/>
    <n v="9100024200"/>
    <m/>
    <m/>
    <m/>
    <m/>
    <m/>
    <m/>
    <m/>
    <m/>
    <m/>
    <s v="Low"/>
    <s v="Low"/>
    <m/>
    <m/>
    <s v="Indonesia"/>
  </r>
  <r>
    <n v="754"/>
    <s v="TCW Asset Management Company LLC"/>
    <m/>
    <m/>
    <n v="0"/>
    <n v="0"/>
    <n v="0"/>
    <n v="0"/>
    <n v="1.2999999999999999E-5"/>
    <m/>
    <n v="0"/>
    <n v="0"/>
    <n v="9.0000000000000002E-6"/>
    <m/>
    <m/>
    <n v="0"/>
    <n v="0"/>
    <n v="0"/>
    <n v="0"/>
    <n v="1238800"/>
    <m/>
    <n v="0"/>
    <n v="0"/>
    <n v="800000"/>
    <m/>
    <m/>
    <n v="0"/>
    <n v="0"/>
    <n v="0"/>
    <n v="-1238800"/>
    <n v="1238800"/>
    <m/>
    <n v="0"/>
    <n v="-800000"/>
    <n v="0"/>
    <m/>
    <m/>
    <n v="0"/>
    <n v="0"/>
    <n v="0"/>
    <n v="0"/>
    <n v="4740234446"/>
    <m/>
    <n v="0"/>
    <n v="0"/>
    <n v="1850671263.9000001"/>
    <m/>
    <m/>
    <d v="2022-07-31T00:00:00"/>
    <d v="2022-07-31T00:00:00"/>
    <d v="2020-08-31T00:00:00"/>
    <d v="2020-08-31T00:00:00"/>
    <d v="2019-12-31T00:00:00"/>
    <m/>
    <d v="2016-04-30T00:00:00"/>
    <d v="2016-04-30T00:00:00"/>
    <d v="2015-12-31T00:00:00"/>
    <m/>
    <m/>
    <s v="Aggregate MFs"/>
    <s v="Aggregate MFs"/>
    <s v="Aggregate MFs"/>
    <s v="Aggregate MFs"/>
    <s v="Aggregate MFs"/>
    <m/>
    <s v="Aggregate MFs"/>
    <s v="Aggregate MFs"/>
    <s v="Aggregate MFs"/>
    <s v="Investment Managers"/>
    <s v="Investment Advisor/Hedge Fund"/>
    <n v="222065201842685"/>
    <s v="Core Growth"/>
    <m/>
    <m/>
    <s v="Low"/>
    <s v="Low"/>
    <s v="Moderate"/>
    <s v="Low"/>
    <s v="Low"/>
    <m/>
    <s v="Moderate"/>
    <s v="Low"/>
    <s v="Moderate"/>
    <s v="Los Angeles"/>
    <s v="United States"/>
  </r>
  <r>
    <n v="755"/>
    <s v="Templeton Asset Management Ltd."/>
    <m/>
    <m/>
    <m/>
    <m/>
    <m/>
    <m/>
    <m/>
    <n v="3.0000000000000001E-6"/>
    <n v="3.0000000000000001E-6"/>
    <n v="3.0000000000000001E-6"/>
    <m/>
    <m/>
    <m/>
    <m/>
    <m/>
    <m/>
    <m/>
    <m/>
    <n v="246000"/>
    <n v="246000"/>
    <n v="306000"/>
    <m/>
    <m/>
    <m/>
    <m/>
    <m/>
    <m/>
    <m/>
    <m/>
    <n v="0"/>
    <n v="-60000"/>
    <n v="306000"/>
    <m/>
    <m/>
    <m/>
    <m/>
    <m/>
    <m/>
    <m/>
    <m/>
    <n v="827175054.29999995"/>
    <n v="827175054.29999995"/>
    <n v="885487492.5"/>
    <m/>
    <m/>
    <m/>
    <m/>
    <m/>
    <m/>
    <m/>
    <m/>
    <d v="2017-09-30T00:00:00"/>
    <d v="2017-09-30T00:00:00"/>
    <d v="2016-12-31T00:00:00"/>
    <m/>
    <m/>
    <m/>
    <m/>
    <m/>
    <m/>
    <m/>
    <m/>
    <s v="Aggregate MFs"/>
    <s v="Aggregate MFs"/>
    <s v="Aggregate MFs"/>
    <m/>
    <s v="Investment Managers"/>
    <s v="Investment Advisor"/>
    <n v="281825045362273"/>
    <s v="Core Value"/>
    <m/>
    <m/>
    <m/>
    <m/>
    <m/>
    <m/>
    <m/>
    <s v="Low"/>
    <s v="Low"/>
    <s v="Low"/>
    <m/>
    <s v="Singapore"/>
    <s v="Singapore"/>
  </r>
  <r>
    <n v="756"/>
    <s v="Thames River Capital LLP_NLE"/>
    <m/>
    <m/>
    <m/>
    <m/>
    <m/>
    <m/>
    <m/>
    <m/>
    <m/>
    <n v="9.6000000000000002E-5"/>
    <n v="9.6000000000000002E-5"/>
    <m/>
    <m/>
    <m/>
    <m/>
    <m/>
    <m/>
    <m/>
    <m/>
    <m/>
    <n v="8869600"/>
    <n v="8869600"/>
    <m/>
    <m/>
    <m/>
    <m/>
    <m/>
    <m/>
    <m/>
    <m/>
    <m/>
    <n v="0"/>
    <n v="0"/>
    <m/>
    <m/>
    <m/>
    <m/>
    <m/>
    <m/>
    <m/>
    <m/>
    <m/>
    <n v="17572895034.75"/>
    <n v="17572895034.75"/>
    <m/>
    <m/>
    <m/>
    <m/>
    <m/>
    <m/>
    <m/>
    <m/>
    <m/>
    <d v="2015-09-30T00:00:00"/>
    <d v="2015-09-30T00:00:00"/>
    <m/>
    <m/>
    <m/>
    <m/>
    <m/>
    <m/>
    <m/>
    <m/>
    <m/>
    <s v="Aggregate MFs"/>
    <s v="Aggregate MFs"/>
    <s v="Investment Managers"/>
    <s v="Investment Advisor/Hedge Fund"/>
    <n v="26195778037.200001"/>
    <m/>
    <m/>
    <m/>
    <m/>
    <m/>
    <m/>
    <m/>
    <m/>
    <m/>
    <m/>
    <s v="Low"/>
    <s v="Low"/>
    <s v="London"/>
    <s v="United Kingdom"/>
  </r>
  <r>
    <n v="757"/>
    <s v="The Capital Group Companies, Inc."/>
    <m/>
    <m/>
    <m/>
    <m/>
    <n v="4.614E-3"/>
    <n v="9.7310000000000001E-3"/>
    <m/>
    <m/>
    <m/>
    <m/>
    <m/>
    <m/>
    <m/>
    <m/>
    <m/>
    <n v="426311600"/>
    <n v="899122200"/>
    <m/>
    <m/>
    <m/>
    <m/>
    <m/>
    <m/>
    <m/>
    <m/>
    <m/>
    <n v="-472810600"/>
    <n v="899122200"/>
    <m/>
    <m/>
    <m/>
    <m/>
    <m/>
    <m/>
    <m/>
    <m/>
    <m/>
    <n v="1495844921662.5"/>
    <n v="2843473954417.2002"/>
    <m/>
    <m/>
    <m/>
    <m/>
    <m/>
    <m/>
    <m/>
    <m/>
    <m/>
    <d v="2021-12-31T00:00:00"/>
    <d v="2020-12-31T00:00:00"/>
    <m/>
    <m/>
    <m/>
    <m/>
    <m/>
    <m/>
    <m/>
    <m/>
    <m/>
    <s v="Shareholder Report"/>
    <s v="Shareholder Report"/>
    <m/>
    <m/>
    <m/>
    <m/>
    <m/>
    <s v="Strategic Entities"/>
    <s v="Holding Company"/>
    <n v="9169456110460.8008"/>
    <m/>
    <m/>
    <m/>
    <m/>
    <m/>
    <s v="Low"/>
    <s v="Moderate"/>
    <m/>
    <m/>
    <m/>
    <m/>
    <m/>
    <s v="Los Angeles"/>
    <s v="United States"/>
  </r>
  <r>
    <n v="758"/>
    <s v="THEAM_NLE"/>
    <m/>
    <m/>
    <m/>
    <m/>
    <m/>
    <m/>
    <m/>
    <n v="1.2400000000000001E-4"/>
    <n v="1.2400000000000001E-4"/>
    <n v="1.06E-4"/>
    <n v="1.95E-4"/>
    <m/>
    <m/>
    <m/>
    <m/>
    <m/>
    <m/>
    <m/>
    <n v="11411996"/>
    <n v="11411996"/>
    <n v="9832628"/>
    <n v="18053444"/>
    <m/>
    <m/>
    <m/>
    <m/>
    <m/>
    <m/>
    <m/>
    <n v="0"/>
    <n v="1579368"/>
    <n v="-8220816"/>
    <n v="183004"/>
    <m/>
    <m/>
    <m/>
    <m/>
    <m/>
    <m/>
    <m/>
    <n v="38943436365.559998"/>
    <n v="38943436365.559998"/>
    <n v="28453167267"/>
    <n v="41763737518.650002"/>
    <m/>
    <m/>
    <m/>
    <m/>
    <m/>
    <m/>
    <m/>
    <d v="2017-07-31T00:00:00"/>
    <d v="2017-07-31T00:00:00"/>
    <d v="2016-12-31T00:00:00"/>
    <d v="2015-12-31T00:00:00"/>
    <m/>
    <m/>
    <m/>
    <m/>
    <m/>
    <m/>
    <m/>
    <s v="Aggregate MFs"/>
    <s v="Aggregate MFs"/>
    <s v="Aggregate MFs"/>
    <s v="Aggregate MFs"/>
    <s v="Investment Managers"/>
    <s v="Investment Advisor"/>
    <n v="1608960223100.3999"/>
    <m/>
    <m/>
    <m/>
    <m/>
    <m/>
    <m/>
    <m/>
    <m/>
    <s v="Low"/>
    <s v="Low"/>
    <s v="High"/>
    <s v="High"/>
    <s v="Paris"/>
    <s v="France"/>
  </r>
  <r>
    <n v="759"/>
    <s v="Thomas White International, Ltd._NLE"/>
    <m/>
    <m/>
    <m/>
    <m/>
    <n v="1.9999999999999999E-6"/>
    <n v="1.9999999999999999E-6"/>
    <n v="1.5999999999999999E-5"/>
    <m/>
    <n v="0"/>
    <n v="0"/>
    <n v="2.03E-4"/>
    <m/>
    <m/>
    <m/>
    <m/>
    <n v="208800"/>
    <n v="208800"/>
    <n v="1472600"/>
    <m/>
    <n v="0"/>
    <n v="0"/>
    <n v="18727600"/>
    <m/>
    <m/>
    <m/>
    <m/>
    <n v="0"/>
    <n v="-1263800"/>
    <n v="1472600"/>
    <m/>
    <n v="0"/>
    <n v="-18727600"/>
    <n v="-3542400"/>
    <m/>
    <m/>
    <m/>
    <m/>
    <n v="488592011"/>
    <n v="488592011"/>
    <n v="5634863738.8000002"/>
    <m/>
    <n v="0"/>
    <n v="0"/>
    <n v="43323289019.400002"/>
    <m/>
    <m/>
    <m/>
    <m/>
    <d v="2020-03-31T00:00:00"/>
    <d v="2020-03-31T00:00:00"/>
    <d v="2019-12-31T00:00:00"/>
    <m/>
    <d v="2016-10-31T00:00:00"/>
    <d v="2016-10-31T00:00:00"/>
    <d v="2015-12-31T00:00:00"/>
    <m/>
    <m/>
    <m/>
    <m/>
    <s v="Aggregate MFs"/>
    <s v="Aggregate MFs"/>
    <s v="Aggregate MFs"/>
    <m/>
    <s v="Aggregate MFs"/>
    <s v="Aggregate MFs"/>
    <s v="Aggregate MFs"/>
    <s v="Investment Managers"/>
    <s v="Investment Advisor"/>
    <n v="167825440363.20001"/>
    <m/>
    <m/>
    <m/>
    <m/>
    <m/>
    <s v="Moderate"/>
    <s v="Low"/>
    <s v="Low"/>
    <m/>
    <s v="Moderate"/>
    <s v="Moderate"/>
    <s v="Moderate"/>
    <s v="Chicago"/>
    <s v="United States"/>
  </r>
  <r>
    <n v="760"/>
    <s v="Thornburg Investment Management, Inc."/>
    <m/>
    <m/>
    <m/>
    <m/>
    <m/>
    <m/>
    <m/>
    <m/>
    <n v="1.9000000000000001E-5"/>
    <n v="1.9000000000000001E-5"/>
    <n v="9.0000000000000002E-6"/>
    <m/>
    <m/>
    <m/>
    <m/>
    <m/>
    <m/>
    <m/>
    <m/>
    <n v="1733600"/>
    <n v="1733600"/>
    <n v="853368"/>
    <m/>
    <m/>
    <m/>
    <m/>
    <m/>
    <m/>
    <m/>
    <m/>
    <n v="0"/>
    <n v="880232"/>
    <n v="-156743868"/>
    <m/>
    <m/>
    <m/>
    <m/>
    <m/>
    <m/>
    <m/>
    <m/>
    <n v="4128135039.5999999"/>
    <n v="4128135039.5999999"/>
    <n v="1974129586.05"/>
    <m/>
    <m/>
    <m/>
    <m/>
    <m/>
    <m/>
    <m/>
    <m/>
    <d v="2016-06-30T00:00:00"/>
    <d v="2016-06-30T00:00:00"/>
    <d v="2015-12-31T00:00:00"/>
    <m/>
    <m/>
    <m/>
    <m/>
    <m/>
    <m/>
    <m/>
    <m/>
    <s v="Aggregate MFs"/>
    <s v="Aggregate MFs"/>
    <s v="Aggregate MFs"/>
    <s v="Investment Managers"/>
    <s v="Investment Advisor"/>
    <n v="371151577039166"/>
    <s v="Core Value"/>
    <m/>
    <m/>
    <m/>
    <m/>
    <m/>
    <m/>
    <m/>
    <m/>
    <s v="Moderate"/>
    <s v="Moderate"/>
    <s v="Moderate"/>
    <s v="Santa Fe"/>
    <s v="United States"/>
  </r>
  <r>
    <n v="761"/>
    <s v="TIFF Advisory Services, Inc."/>
    <m/>
    <m/>
    <m/>
    <m/>
    <m/>
    <m/>
    <m/>
    <m/>
    <n v="0"/>
    <n v="0"/>
    <n v="1.03E-4"/>
    <m/>
    <m/>
    <m/>
    <m/>
    <m/>
    <m/>
    <m/>
    <m/>
    <n v="0"/>
    <n v="0"/>
    <n v="9506800"/>
    <m/>
    <m/>
    <m/>
    <m/>
    <m/>
    <m/>
    <m/>
    <m/>
    <n v="0"/>
    <n v="-9506800"/>
    <n v="0"/>
    <m/>
    <m/>
    <m/>
    <m/>
    <m/>
    <m/>
    <m/>
    <m/>
    <n v="0"/>
    <n v="0"/>
    <n v="21992451977.099998"/>
    <m/>
    <m/>
    <m/>
    <m/>
    <m/>
    <m/>
    <m/>
    <m/>
    <d v="2016-12-31T00:00:00"/>
    <d v="2016-12-31T00:00:00"/>
    <d v="2015-12-31T00:00:00"/>
    <m/>
    <m/>
    <m/>
    <m/>
    <m/>
    <m/>
    <m/>
    <m/>
    <s v="Aggregate MFs"/>
    <s v="Aggregate MFs"/>
    <s v="Aggregate MFs"/>
    <s v="Investment Managers"/>
    <s v="Investment Advisor"/>
    <n v="7051327245387.5996"/>
    <s v="Deep Value"/>
    <m/>
    <m/>
    <m/>
    <m/>
    <m/>
    <m/>
    <m/>
    <m/>
    <s v="Moderate"/>
    <s v="Low"/>
    <s v="Moderate"/>
    <s v="Radnor"/>
    <s v="United States"/>
  </r>
  <r>
    <n v="762"/>
    <s v="Tokio Marine Asset Management International Pte. Ltd."/>
    <m/>
    <m/>
    <m/>
    <m/>
    <m/>
    <m/>
    <m/>
    <m/>
    <m/>
    <m/>
    <n v="5.5999999999999999E-5"/>
    <m/>
    <m/>
    <m/>
    <m/>
    <m/>
    <m/>
    <m/>
    <m/>
    <m/>
    <m/>
    <n v="5160800"/>
    <m/>
    <m/>
    <m/>
    <m/>
    <m/>
    <m/>
    <m/>
    <m/>
    <m/>
    <m/>
    <n v="0"/>
    <m/>
    <m/>
    <m/>
    <m/>
    <m/>
    <m/>
    <m/>
    <m/>
    <m/>
    <m/>
    <n v="13829295650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/Hedge Fund"/>
    <n v="907624069006.80005"/>
    <s v="GARP"/>
    <m/>
    <m/>
    <m/>
    <m/>
    <m/>
    <m/>
    <m/>
    <m/>
    <m/>
    <m/>
    <s v="Low"/>
    <s v="Singapore"/>
    <s v="Singapore"/>
  </r>
  <r>
    <n v="763"/>
    <s v="Tredje AP Fonden"/>
    <m/>
    <m/>
    <m/>
    <m/>
    <m/>
    <n v="0"/>
    <n v="0"/>
    <n v="1.8200000000000001E-4"/>
    <n v="2.2100000000000001E-4"/>
    <m/>
    <m/>
    <m/>
    <m/>
    <m/>
    <m/>
    <m/>
    <n v="0"/>
    <n v="0"/>
    <n v="16800800"/>
    <n v="20393600"/>
    <m/>
    <m/>
    <m/>
    <m/>
    <m/>
    <m/>
    <m/>
    <n v="0"/>
    <n v="-16800800"/>
    <n v="-3592800"/>
    <n v="20393600"/>
    <m/>
    <m/>
    <m/>
    <m/>
    <m/>
    <m/>
    <m/>
    <n v="0"/>
    <n v="0"/>
    <n v="57542739990"/>
    <n v="65004600050"/>
    <m/>
    <m/>
    <m/>
    <m/>
    <m/>
    <m/>
    <m/>
    <d v="2019-06-30T00:00:00"/>
    <d v="2019-06-30T00:00:00"/>
    <d v="2018-06-30T00:00:00"/>
    <d v="2017-06-30T00:00:00"/>
    <m/>
    <m/>
    <m/>
    <m/>
    <m/>
    <m/>
    <m/>
    <s v="Aggregate MFs"/>
    <s v="Aggregate MFs"/>
    <s v="Aggregate MFs"/>
    <s v="Aggregate MFs"/>
    <m/>
    <m/>
    <s v="Investment Managers"/>
    <s v="Pension Fund"/>
    <n v="428717216033636"/>
    <s v="Core Growth"/>
    <m/>
    <m/>
    <m/>
    <m/>
    <m/>
    <s v="Low"/>
    <s v="Moderate"/>
    <s v="Low"/>
    <s v="Moderate"/>
    <m/>
    <m/>
    <s v="Stockholm"/>
    <s v="Sweden"/>
  </r>
  <r>
    <n v="764"/>
    <s v="Trilogy Global Advisors, LP"/>
    <m/>
    <m/>
    <n v="2.23E-4"/>
    <n v="2.23E-4"/>
    <n v="2.61E-4"/>
    <n v="3.1500000000000001E-4"/>
    <n v="3.3799999999999998E-4"/>
    <n v="3.8999999999999999E-4"/>
    <n v="8.5000000000000006E-5"/>
    <n v="5.3000000000000001E-5"/>
    <n v="7.8999999999999996E-5"/>
    <m/>
    <m/>
    <n v="20566600"/>
    <n v="20566600"/>
    <n v="24091200"/>
    <n v="29110800"/>
    <n v="31185000"/>
    <n v="36026000"/>
    <n v="7864000"/>
    <n v="4865972"/>
    <n v="7285572"/>
    <m/>
    <m/>
    <n v="0"/>
    <n v="-3524600"/>
    <n v="-5019600"/>
    <n v="-2074200"/>
    <n v="-4841000"/>
    <n v="28162000"/>
    <n v="2998028"/>
    <n v="-2419600"/>
    <n v="0"/>
    <m/>
    <m/>
    <n v="108488814991.45"/>
    <n v="108488814991.45"/>
    <n v="84531359670"/>
    <n v="92062904918.399994"/>
    <n v="119328551235.60001"/>
    <n v="131202985518.75"/>
    <n v="31456000042.400002"/>
    <n v="14080906526.4"/>
    <n v="15481840540.200001"/>
    <m/>
    <m/>
    <d v="2022-10-31T00:00:00"/>
    <d v="2022-10-31T00:00:00"/>
    <d v="2021-12-31T00:00:00"/>
    <d v="2020-12-31T00:00:00"/>
    <d v="2019-12-31T00:00:00"/>
    <d v="2018-12-31T00:00:00"/>
    <d v="2017-12-31T00:00:00"/>
    <d v="2016-12-31T00:00:00"/>
    <d v="2015-11-30T00:00:00"/>
    <m/>
    <m/>
    <s v="Aggregate MFs"/>
    <s v="Aggregate MFs"/>
    <s v="Aggregate MFs"/>
    <s v="Aggregate MFs"/>
    <s v="Aggregate MFs"/>
    <s v="Aggregate MFs"/>
    <s v="Aggregate MFs"/>
    <s v="Aggregate MFs"/>
    <s v="Aggregate MFs"/>
    <s v="Investment Managers"/>
    <s v="Investment Advisor/Hedge Fund"/>
    <n v="296478145922.40002"/>
    <s v="Growth"/>
    <m/>
    <m/>
    <s v="Low"/>
    <s v="Low"/>
    <s v="Low"/>
    <s v="Low"/>
    <s v="Low"/>
    <s v="High"/>
    <s v="Moderate"/>
    <s v="Moderate"/>
    <s v="Moderate"/>
    <s v="New York"/>
    <s v="United States"/>
  </r>
  <r>
    <n v="765"/>
    <s v="Tumilaar (Royke)"/>
    <m/>
    <m/>
    <m/>
    <m/>
    <m/>
    <n v="1.7E-5"/>
    <n v="1.7E-5"/>
    <n v="6.9999999999999999E-6"/>
    <n v="1.9999999999999999E-6"/>
    <n v="1.9999999999999999E-6"/>
    <m/>
    <m/>
    <m/>
    <m/>
    <m/>
    <m/>
    <n v="1572200"/>
    <n v="1572200"/>
    <n v="688400"/>
    <n v="204000"/>
    <n v="204000"/>
    <m/>
    <m/>
    <m/>
    <m/>
    <m/>
    <m/>
    <n v="0"/>
    <n v="883800"/>
    <n v="484400"/>
    <n v="0"/>
    <n v="204000"/>
    <m/>
    <m/>
    <m/>
    <m/>
    <m/>
    <m/>
    <n v="3891195057.5999999"/>
    <n v="6015980362.3999996"/>
    <n v="2507081937.5"/>
    <n v="815999997.64999998"/>
    <n v="590325039.89999998"/>
    <m/>
    <m/>
    <m/>
    <m/>
    <m/>
    <m/>
    <d v="2020-06-30T00:00:00"/>
    <d v="2019-12-31T00:00:00"/>
    <d v="2018-12-31T00:00:00"/>
    <d v="2017-12-31T00:00:00"/>
    <d v="2016-12-31T00:00:00"/>
    <m/>
    <m/>
    <m/>
    <m/>
    <m/>
    <m/>
    <s v="Indonesia Insider"/>
    <s v="Indonesia Insider"/>
    <s v="Indonesia Insider"/>
    <s v="Indonesia Insider"/>
    <s v="Indonesia Insider"/>
    <m/>
    <s v="Strategic Entities"/>
    <s v="Individual Investor"/>
    <n v="25359978098.400002"/>
    <m/>
    <m/>
    <m/>
    <m/>
    <m/>
    <m/>
    <s v="Low"/>
    <s v="Low"/>
    <s v="Moderate"/>
    <s v="Low"/>
    <s v="Low"/>
    <m/>
    <m/>
    <s v="Indonesia"/>
  </r>
  <r>
    <n v="766"/>
    <s v="U.S. Global Investors, Inc."/>
    <m/>
    <m/>
    <m/>
    <m/>
    <n v="0"/>
    <n v="0"/>
    <n v="1.9999999999999999E-6"/>
    <n v="0"/>
    <n v="0"/>
    <n v="3.9999999999999998E-6"/>
    <m/>
    <m/>
    <m/>
    <m/>
    <m/>
    <n v="0"/>
    <n v="0"/>
    <n v="138600"/>
    <n v="0"/>
    <n v="0"/>
    <n v="376000"/>
    <m/>
    <m/>
    <m/>
    <m/>
    <m/>
    <n v="0"/>
    <n v="-138600"/>
    <n v="138600"/>
    <n v="0"/>
    <n v="-376000"/>
    <n v="376000"/>
    <m/>
    <m/>
    <m/>
    <m/>
    <m/>
    <n v="0"/>
    <n v="0"/>
    <n v="530349109.19999999"/>
    <n v="0"/>
    <n v="0"/>
    <n v="1088050026"/>
    <m/>
    <m/>
    <m/>
    <m/>
    <m/>
    <d v="2020-09-30T00:00:00"/>
    <d v="2020-09-30T00:00:00"/>
    <d v="2019-12-31T00:00:00"/>
    <d v="2017-09-30T00:00:00"/>
    <d v="2017-09-30T00:00:00"/>
    <d v="2016-12-31T00:00:00"/>
    <m/>
    <m/>
    <m/>
    <m/>
    <m/>
    <s v="Aggregate MFs"/>
    <s v="Aggregate MFs"/>
    <s v="Aggregate MFs"/>
    <s v="Aggregate MFs"/>
    <s v="Aggregate MFs"/>
    <s v="Aggregate MFs"/>
    <m/>
    <s v="Investment Managers"/>
    <s v="Investment Advisor"/>
    <n v="20615425734595.199"/>
    <s v="Growth"/>
    <m/>
    <m/>
    <m/>
    <m/>
    <s v="Moderate"/>
    <s v="High"/>
    <s v="Moderate"/>
    <s v="Moderate"/>
    <s v="High"/>
    <s v="High"/>
    <m/>
    <s v="San Antonio"/>
    <s v="United States"/>
  </r>
  <r>
    <n v="767"/>
    <s v="UBS Asset Management (Europe) S.A."/>
    <m/>
    <m/>
    <m/>
    <m/>
    <m/>
    <m/>
    <n v="1.3100000000000001E-4"/>
    <n v="1.3100000000000001E-4"/>
    <n v="8.8999999999999995E-5"/>
    <n v="7.7000000000000001E-5"/>
    <n v="5.3000000000000001E-5"/>
    <m/>
    <m/>
    <m/>
    <m/>
    <m/>
    <m/>
    <n v="12081168"/>
    <n v="12081168"/>
    <n v="8215568"/>
    <n v="7097168"/>
    <n v="4857968"/>
    <m/>
    <m/>
    <m/>
    <m/>
    <m/>
    <m/>
    <n v="0"/>
    <n v="3865600"/>
    <n v="1118400"/>
    <n v="2239200"/>
    <n v="0"/>
    <m/>
    <m/>
    <m/>
    <m/>
    <m/>
    <m/>
    <n v="44700321523"/>
    <n v="44700321523"/>
    <n v="32862272062.150002"/>
    <n v="20537429901.599998"/>
    <n v="10323181943.4"/>
    <m/>
    <m/>
    <m/>
    <m/>
    <m/>
    <m/>
    <d v="2018-11-30T00:00:00"/>
    <d v="2018-11-30T00:00:00"/>
    <d v="2017-12-31T00:00:00"/>
    <d v="2016-12-31T00:00:00"/>
    <d v="2015-11-30T00:00:00"/>
    <m/>
    <m/>
    <m/>
    <m/>
    <m/>
    <m/>
    <s v="Aggregate MFs"/>
    <s v="Aggregate MFs"/>
    <s v="Aggregate MFs"/>
    <s v="Aggregate MFs"/>
    <s v="Aggregate MFs"/>
    <s v="Investment Managers"/>
    <s v="Investment Advisor"/>
    <n v="1839790341248.3999"/>
    <s v="Core Value"/>
    <m/>
    <m/>
    <m/>
    <m/>
    <m/>
    <m/>
    <s v="Low"/>
    <s v="Moderate"/>
    <s v="Moderate"/>
    <s v="Moderate"/>
    <s v="High"/>
    <s v="Luxembourg"/>
    <s v="Luxembourg"/>
  </r>
  <r>
    <n v="768"/>
    <s v="Uni-President Assets Management Corp."/>
    <m/>
    <m/>
    <m/>
    <m/>
    <m/>
    <m/>
    <m/>
    <m/>
    <n v="0"/>
    <n v="0"/>
    <n v="0"/>
    <m/>
    <m/>
    <m/>
    <m/>
    <m/>
    <m/>
    <m/>
    <m/>
    <n v="0"/>
    <n v="0"/>
    <n v="0"/>
    <m/>
    <m/>
    <m/>
    <m/>
    <m/>
    <m/>
    <m/>
    <m/>
    <n v="0"/>
    <n v="0"/>
    <n v="0"/>
    <m/>
    <m/>
    <m/>
    <m/>
    <m/>
    <m/>
    <m/>
    <m/>
    <n v="0"/>
    <n v="0"/>
    <n v="0"/>
    <m/>
    <m/>
    <m/>
    <m/>
    <m/>
    <m/>
    <m/>
    <m/>
    <d v="2016-12-31T00:00:00"/>
    <d v="2016-12-31T00:00:00"/>
    <d v="2014-12-31T00:00:00"/>
    <m/>
    <m/>
    <m/>
    <m/>
    <m/>
    <m/>
    <m/>
    <m/>
    <s v="Aggregate MFs"/>
    <s v="Aggregate MFs"/>
    <s v="Aggregate MFs"/>
    <s v="Investment Managers"/>
    <s v="Investment Advisor"/>
    <n v="95322826013968.797"/>
    <s v="Deep Value"/>
    <m/>
    <m/>
    <m/>
    <m/>
    <m/>
    <m/>
    <m/>
    <m/>
    <s v="High"/>
    <s v="Moderate"/>
    <s v="Moderate"/>
    <s v="Taipei"/>
    <s v="Taiwan"/>
  </r>
  <r>
    <n v="769"/>
    <s v="Union Bancaire Privée, UBP SA"/>
    <m/>
    <m/>
    <m/>
    <m/>
    <m/>
    <m/>
    <m/>
    <n v="3.9999999999999998E-6"/>
    <n v="3.9999999999999998E-6"/>
    <m/>
    <m/>
    <m/>
    <m/>
    <m/>
    <m/>
    <m/>
    <m/>
    <m/>
    <n v="400000"/>
    <n v="400000"/>
    <m/>
    <m/>
    <m/>
    <m/>
    <m/>
    <m/>
    <m/>
    <m/>
    <m/>
    <n v="0"/>
    <n v="400000"/>
    <m/>
    <m/>
    <m/>
    <m/>
    <m/>
    <m/>
    <m/>
    <m/>
    <m/>
    <n v="1660000023.5999999"/>
    <n v="1600000024.6500001"/>
    <m/>
    <m/>
    <m/>
    <m/>
    <m/>
    <m/>
    <m/>
    <m/>
    <m/>
    <d v="2018-02-28T00:00:00"/>
    <d v="2017-12-31T00:00:00"/>
    <m/>
    <m/>
    <m/>
    <m/>
    <m/>
    <m/>
    <m/>
    <m/>
    <m/>
    <s v="Aggregate MFs"/>
    <s v="Aggregate MFs"/>
    <m/>
    <m/>
    <s v="Investment Managers"/>
    <s v="Investment Advisor/Hedge Fund"/>
    <n v="184225383679613"/>
    <s v="Core Growth"/>
    <m/>
    <m/>
    <m/>
    <m/>
    <m/>
    <m/>
    <m/>
    <s v="Low"/>
    <s v="High"/>
    <m/>
    <m/>
    <s v="Geneva"/>
    <s v="Switzerland"/>
  </r>
  <r>
    <n v="770"/>
    <s v="Union Investment Austria GmbH"/>
    <m/>
    <m/>
    <m/>
    <m/>
    <m/>
    <m/>
    <m/>
    <m/>
    <n v="3.4999999999999997E-5"/>
    <n v="3.4999999999999997E-5"/>
    <n v="3.0000000000000001E-6"/>
    <m/>
    <m/>
    <m/>
    <m/>
    <m/>
    <m/>
    <m/>
    <m/>
    <n v="3200000"/>
    <n v="3200000"/>
    <n v="240000"/>
    <m/>
    <m/>
    <m/>
    <m/>
    <m/>
    <m/>
    <m/>
    <m/>
    <n v="0"/>
    <n v="2960000"/>
    <n v="0"/>
    <m/>
    <m/>
    <m/>
    <m/>
    <m/>
    <m/>
    <m/>
    <m/>
    <n v="9259999992"/>
    <n v="9259999992"/>
    <n v="555201351.60000002"/>
    <m/>
    <m/>
    <m/>
    <m/>
    <m/>
    <m/>
    <m/>
    <m/>
    <d v="2016-12-31T00:00:00"/>
    <d v="2016-12-31T00:00:00"/>
    <d v="2015-12-31T00:00:00"/>
    <m/>
    <m/>
    <m/>
    <m/>
    <m/>
    <m/>
    <m/>
    <m/>
    <s v="Aggregate MFs"/>
    <s v="Aggregate MFs"/>
    <s v="Aggregate MFs"/>
    <s v="Investment Managers"/>
    <s v="Investment Advisor"/>
    <n v="182399706789.60001"/>
    <s v="Core Value"/>
    <m/>
    <m/>
    <m/>
    <m/>
    <m/>
    <m/>
    <m/>
    <m/>
    <s v="Low"/>
    <s v="Low"/>
    <m/>
    <s v="Vienna"/>
    <s v="Austria"/>
  </r>
  <r>
    <n v="771"/>
    <s v="Vaughan Nelson Investment Management, L.P."/>
    <m/>
    <m/>
    <m/>
    <m/>
    <n v="0"/>
    <n v="0"/>
    <n v="1.2999999999999999E-5"/>
    <n v="1.4E-5"/>
    <n v="6.9999999999999999E-6"/>
    <m/>
    <m/>
    <m/>
    <m/>
    <m/>
    <m/>
    <n v="0"/>
    <n v="0"/>
    <n v="1169600"/>
    <n v="1293800"/>
    <n v="658400"/>
    <m/>
    <m/>
    <m/>
    <m/>
    <m/>
    <m/>
    <n v="0"/>
    <n v="-1169600"/>
    <n v="-124200"/>
    <n v="635400"/>
    <n v="658400"/>
    <m/>
    <m/>
    <m/>
    <m/>
    <m/>
    <m/>
    <n v="0"/>
    <n v="0"/>
    <n v="4108220062.8800001"/>
    <n v="4431264968"/>
    <n v="2320860037.1999998"/>
    <m/>
    <m/>
    <m/>
    <m/>
    <m/>
    <m/>
    <d v="2020-04-30T00:00:00"/>
    <d v="2020-04-30T00:00:00"/>
    <d v="2019-10-31T00:00:00"/>
    <d v="2018-10-31T00:00:00"/>
    <d v="2017-10-31T00:00:00"/>
    <m/>
    <m/>
    <m/>
    <m/>
    <m/>
    <m/>
    <s v="Aggregate MFs"/>
    <s v="Aggregate MFs"/>
    <s v="Aggregate MFs"/>
    <s v="Aggregate MFs"/>
    <s v="Aggregate MFs"/>
    <m/>
    <m/>
    <s v="Investment Managers"/>
    <s v="Investment Advisor"/>
    <n v="276945420320870"/>
    <s v="Core Growth"/>
    <m/>
    <m/>
    <m/>
    <m/>
    <s v="Moderate"/>
    <s v="Moderate"/>
    <s v="Low"/>
    <s v="Moderate"/>
    <s v="Moderate"/>
    <m/>
    <m/>
    <s v="Houston"/>
    <s v="United States"/>
  </r>
  <r>
    <n v="772"/>
    <s v="Velanne Asset Management Limited_NLE"/>
    <m/>
    <m/>
    <m/>
    <m/>
    <m/>
    <m/>
    <n v="0"/>
    <n v="0"/>
    <n v="1.21E-4"/>
    <n v="1.21E-4"/>
    <n v="1.21E-4"/>
    <m/>
    <m/>
    <m/>
    <m/>
    <m/>
    <m/>
    <n v="0"/>
    <n v="0"/>
    <n v="11187600"/>
    <n v="11187600"/>
    <n v="11187600"/>
    <m/>
    <m/>
    <m/>
    <m/>
    <m/>
    <m/>
    <n v="0"/>
    <n v="-11187600"/>
    <n v="0"/>
    <n v="0"/>
    <n v="0"/>
    <m/>
    <m/>
    <m/>
    <m/>
    <m/>
    <m/>
    <n v="0"/>
    <n v="0"/>
    <n v="44750399996.400002"/>
    <n v="32374117508.400002"/>
    <n v="25880712350.25"/>
    <m/>
    <m/>
    <m/>
    <m/>
    <m/>
    <m/>
    <d v="2018-12-31T00:00:00"/>
    <d v="2018-12-31T00:00:00"/>
    <d v="2017-12-31T00:00:00"/>
    <d v="2016-12-31T00:00:00"/>
    <d v="2015-12-31T00:00:00"/>
    <m/>
    <m/>
    <m/>
    <m/>
    <m/>
    <m/>
    <s v="Aggregate MFs"/>
    <s v="Aggregate MFs"/>
    <s v="Aggregate MFs"/>
    <s v="Aggregate MFs"/>
    <s v="Aggregate MFs"/>
    <s v="Investment Managers"/>
    <s v="Investment Advisor/Hedge Fund"/>
    <n v="0"/>
    <m/>
    <m/>
    <m/>
    <m/>
    <m/>
    <m/>
    <m/>
    <s v="Low"/>
    <s v="High"/>
    <s v="Low"/>
    <s v="Low"/>
    <s v="Low"/>
    <s v="London"/>
    <s v="United Kingdom"/>
  </r>
  <r>
    <n v="773"/>
    <s v="W1M Investment Management Limited"/>
    <m/>
    <m/>
    <m/>
    <n v="0"/>
    <n v="0"/>
    <n v="1.8E-5"/>
    <n v="1.2E-5"/>
    <m/>
    <n v="0"/>
    <n v="0"/>
    <m/>
    <m/>
    <m/>
    <m/>
    <n v="0"/>
    <n v="0"/>
    <n v="1699600"/>
    <n v="1118200"/>
    <m/>
    <n v="0"/>
    <n v="0"/>
    <m/>
    <m/>
    <m/>
    <m/>
    <n v="0"/>
    <n v="-1699600"/>
    <n v="581400"/>
    <n v="1118200"/>
    <m/>
    <n v="0"/>
    <n v="0"/>
    <m/>
    <m/>
    <m/>
    <m/>
    <n v="0"/>
    <n v="0"/>
    <n v="5374985007.6000004"/>
    <n v="4278761783.1999998"/>
    <m/>
    <n v="0"/>
    <n v="0"/>
    <m/>
    <m/>
    <m/>
    <m/>
    <d v="2021-11-30T00:00:00"/>
    <d v="2021-11-30T00:00:00"/>
    <d v="2020-12-31T00:00:00"/>
    <d v="2019-12-31T00:00:00"/>
    <m/>
    <d v="2016-11-30T00:00:00"/>
    <d v="2016-11-30T00:00:00"/>
    <m/>
    <m/>
    <m/>
    <m/>
    <s v="Aggregate MFs"/>
    <s v="Aggregate MFs"/>
    <s v="Aggregate MFs"/>
    <s v="Aggregate MFs"/>
    <m/>
    <s v="Aggregate MFs"/>
    <s v="Aggregate MFs"/>
    <m/>
    <s v="Investment Managers"/>
    <s v="Investment Advisor/Hedge Fund"/>
    <n v="229467317592217"/>
    <s v="Income Value"/>
    <m/>
    <m/>
    <m/>
    <s v="Moderate"/>
    <s v="Low"/>
    <s v="Low"/>
    <s v="Low"/>
    <m/>
    <s v="Low"/>
    <s v="High"/>
    <m/>
    <s v="London"/>
    <s v="United Kingdom"/>
  </r>
  <r>
    <n v="774"/>
    <s v="Wallberg Invest S.A."/>
    <m/>
    <m/>
    <m/>
    <m/>
    <m/>
    <m/>
    <m/>
    <m/>
    <m/>
    <m/>
    <n v="6.9999999999999994E-5"/>
    <m/>
    <m/>
    <m/>
    <m/>
    <m/>
    <m/>
    <m/>
    <m/>
    <m/>
    <m/>
    <n v="6451600"/>
    <m/>
    <m/>
    <m/>
    <m/>
    <m/>
    <m/>
    <m/>
    <m/>
    <m/>
    <m/>
    <n v="0"/>
    <m/>
    <m/>
    <m/>
    <m/>
    <m/>
    <m/>
    <m/>
    <m/>
    <m/>
    <m/>
    <n v="17288227291.200001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"/>
    <n v="432867906344.40002"/>
    <m/>
    <m/>
    <m/>
    <m/>
    <m/>
    <m/>
    <m/>
    <m/>
    <m/>
    <m/>
    <m/>
    <s v="Low"/>
    <s v="Luxembourg"/>
    <s v="Luxembourg"/>
  </r>
  <r>
    <n v="775"/>
    <s v="Walter Scott &amp; Partners Ltd.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n v="0"/>
    <m/>
    <m/>
    <m/>
    <m/>
    <m/>
    <m/>
    <m/>
    <m/>
    <m/>
    <m/>
    <d v="2014-12-31T00:00:00"/>
    <m/>
    <m/>
    <m/>
    <m/>
    <m/>
    <m/>
    <m/>
    <m/>
    <m/>
    <m/>
    <s v="Aggregate MFs"/>
    <s v="Investment Managers"/>
    <s v="Investment Advisor/Hedge Fund"/>
    <n v="690491351435099"/>
    <s v="Core Growth"/>
    <m/>
    <m/>
    <m/>
    <m/>
    <m/>
    <m/>
    <m/>
    <m/>
    <m/>
    <m/>
    <s v="Low"/>
    <s v="Edinburgh"/>
    <s v="United Kingdom"/>
  </r>
  <r>
    <n v="776"/>
    <s v="Wellington Management Japan Pte Ltd"/>
    <m/>
    <n v="6.9999999999999994E-5"/>
    <n v="6.9999999999999994E-5"/>
    <m/>
    <n v="0"/>
    <n v="0"/>
    <n v="2.0000000000000002E-5"/>
    <n v="0"/>
    <n v="3.19E-4"/>
    <m/>
    <m/>
    <m/>
    <n v="6424300"/>
    <n v="6424300"/>
    <m/>
    <n v="0"/>
    <n v="0"/>
    <n v="1806800"/>
    <n v="0"/>
    <n v="29478000"/>
    <m/>
    <m/>
    <m/>
    <n v="0"/>
    <n v="6424300"/>
    <m/>
    <n v="0"/>
    <n v="-1806800"/>
    <n v="1806800"/>
    <n v="-29478000"/>
    <n v="29478000"/>
    <m/>
    <m/>
    <m/>
    <n v="36457902517.199997"/>
    <n v="36457902517.199997"/>
    <m/>
    <n v="0"/>
    <n v="0"/>
    <n v="6913670889.1999998"/>
    <n v="0"/>
    <n v="117911999999.55"/>
    <m/>
    <m/>
    <m/>
    <d v="2023-10-31T00:00:00"/>
    <d v="2023-10-31T00:00:00"/>
    <m/>
    <d v="2020-12-31T00:00:00"/>
    <d v="2020-12-31T00:00:00"/>
    <d v="2019-12-31T00:00:00"/>
    <d v="2018-12-31T00:00:00"/>
    <d v="2017-12-31T00:00:00"/>
    <m/>
    <m/>
    <m/>
    <s v="Aggregate MFs"/>
    <s v="Aggregate MFs"/>
    <m/>
    <s v="Aggregate MFs"/>
    <s v="Aggregate MFs"/>
    <s v="Aggregate MFs"/>
    <s v="Aggregate MFs"/>
    <s v="Aggregate MFs"/>
    <m/>
    <m/>
    <s v="Investment Managers"/>
    <s v="Investment Advisor"/>
    <n v="9561509937141.5996"/>
    <s v="GARP"/>
    <m/>
    <s v="Low"/>
    <s v="Low"/>
    <m/>
    <s v="Moderate"/>
    <s v="Moderate"/>
    <s v="High"/>
    <s v="Moderate"/>
    <s v="Moderate"/>
    <m/>
    <m/>
    <s v="Tokyo"/>
    <s v="Japan"/>
  </r>
  <r>
    <n v="777"/>
    <s v="Westwood International Advisors, Inc."/>
    <m/>
    <m/>
    <m/>
    <m/>
    <n v="0"/>
    <n v="0"/>
    <n v="1.2899999999999999E-4"/>
    <n v="1.8100000000000001E-4"/>
    <n v="5.7799999999999995E-4"/>
    <n v="5.1000000000000004E-4"/>
    <n v="5.1800000000000001E-4"/>
    <m/>
    <m/>
    <m/>
    <m/>
    <n v="0"/>
    <n v="0"/>
    <n v="11884792"/>
    <n v="16685814"/>
    <n v="53398692"/>
    <n v="47146972"/>
    <n v="47871664"/>
    <m/>
    <m/>
    <m/>
    <m/>
    <n v="0"/>
    <n v="-11884792"/>
    <n v="-4801022"/>
    <n v="-36712878"/>
    <n v="6251720"/>
    <n v="-724692"/>
    <n v="11798688"/>
    <m/>
    <m/>
    <m/>
    <m/>
    <n v="0"/>
    <n v="0"/>
    <n v="45476832160.400002"/>
    <n v="60768017818.75"/>
    <n v="213594768082.5"/>
    <n v="136431550315.5"/>
    <n v="110743391183.85001"/>
    <m/>
    <m/>
    <m/>
    <m/>
    <d v="2020-06-30T00:00:00"/>
    <d v="2020-06-30T00:00:00"/>
    <d v="2019-12-31T00:00:00"/>
    <d v="2018-12-31T00:00:00"/>
    <d v="2017-12-31T00:00:00"/>
    <d v="2016-12-31T00:00:00"/>
    <d v="2015-12-31T00:00:00"/>
    <m/>
    <m/>
    <m/>
    <m/>
    <s v="Aggregate MFs"/>
    <s v="Aggregate MFs"/>
    <s v="Aggregate MFs"/>
    <s v="Aggregate MFs"/>
    <s v="Aggregate MFs"/>
    <s v="Aggregate MFs"/>
    <s v="Aggregate MFs"/>
    <s v="Investment Managers"/>
    <s v="Investment Advisor"/>
    <n v="83726266971.600006"/>
    <m/>
    <m/>
    <m/>
    <m/>
    <m/>
    <m/>
    <s v="High"/>
    <s v="Moderate"/>
    <s v="Moderate"/>
    <s v="Low"/>
    <s v="Low"/>
    <s v="Low"/>
    <s v="Toronto"/>
    <s v="Canada"/>
  </r>
  <r>
    <n v="778"/>
    <s v="Widyopramono (R.)"/>
    <m/>
    <m/>
    <m/>
    <m/>
    <m/>
    <m/>
    <n v="5.0000000000000004E-6"/>
    <n v="9.9999999999999995E-7"/>
    <m/>
    <m/>
    <m/>
    <m/>
    <m/>
    <m/>
    <m/>
    <m/>
    <m/>
    <n v="499800"/>
    <n v="78800"/>
    <m/>
    <m/>
    <m/>
    <m/>
    <m/>
    <m/>
    <m/>
    <m/>
    <m/>
    <n v="421000"/>
    <n v="78800"/>
    <m/>
    <m/>
    <m/>
    <m/>
    <m/>
    <m/>
    <m/>
    <m/>
    <m/>
    <n v="1912471068"/>
    <n v="286981493.75"/>
    <m/>
    <m/>
    <m/>
    <m/>
    <m/>
    <m/>
    <m/>
    <m/>
    <m/>
    <d v="2019-12-31T00:00:00"/>
    <d v="2018-12-31T00:00:00"/>
    <m/>
    <m/>
    <m/>
    <m/>
    <m/>
    <m/>
    <m/>
    <m/>
    <m/>
    <s v="Indonesia Insider"/>
    <s v="Indonesia Insider"/>
    <m/>
    <m/>
    <m/>
    <s v="Strategic Entities"/>
    <s v="Individual Investor"/>
    <n v="2298272148"/>
    <m/>
    <m/>
    <m/>
    <m/>
    <m/>
    <m/>
    <m/>
    <s v="Moderate"/>
    <s v="Low"/>
    <m/>
    <m/>
    <m/>
    <m/>
    <s v="Indonesia"/>
  </r>
  <r>
    <n v="779"/>
    <s v="William Blair &amp; Company, L.L.C. (Research)"/>
    <m/>
    <m/>
    <m/>
    <m/>
    <m/>
    <m/>
    <m/>
    <n v="4.6999999999999997E-5"/>
    <n v="4.6999999999999997E-5"/>
    <n v="5.5000000000000002E-5"/>
    <n v="1.0399999999999999E-4"/>
    <m/>
    <m/>
    <m/>
    <m/>
    <m/>
    <m/>
    <m/>
    <n v="4313200"/>
    <n v="4313200"/>
    <n v="5087200"/>
    <n v="9634800"/>
    <m/>
    <m/>
    <m/>
    <m/>
    <m/>
    <m/>
    <m/>
    <n v="0"/>
    <n v="-774000"/>
    <n v="-4547600"/>
    <n v="0"/>
    <m/>
    <m/>
    <m/>
    <m/>
    <m/>
    <m/>
    <m/>
    <n v="12616109966.57"/>
    <n v="12616109966.57"/>
    <n v="14721084979.200001"/>
    <n v="22288559428.950001"/>
    <m/>
    <m/>
    <m/>
    <m/>
    <m/>
    <m/>
    <m/>
    <d v="2017-04-30T00:00:00"/>
    <d v="2017-04-30T00:00:00"/>
    <d v="2016-12-31T00:00:00"/>
    <d v="2015-12-31T00:00:00"/>
    <m/>
    <m/>
    <m/>
    <m/>
    <m/>
    <m/>
    <m/>
    <s v="Aggregate MFs"/>
    <s v="Aggregate MFs"/>
    <s v="Aggregate MFs"/>
    <s v="Aggregate MFs"/>
    <s v="Brokerage Firms"/>
    <s v="Research Firm"/>
    <n v="600466647760747"/>
    <s v="Broker-Dealer"/>
    <m/>
    <m/>
    <m/>
    <m/>
    <m/>
    <m/>
    <m/>
    <s v="Low"/>
    <s v="Low"/>
    <s v="Moderate"/>
    <s v="High"/>
    <s v="Chicago"/>
    <s v="United States"/>
  </r>
  <r>
    <n v="780"/>
    <s v="Wilmington Trust Investment Advisors, Inc."/>
    <m/>
    <n v="0"/>
    <n v="0"/>
    <n v="3.0000000000000001E-6"/>
    <n v="5.0000000000000004E-6"/>
    <n v="1.9999999999999999E-6"/>
    <m/>
    <m/>
    <n v="1.9999999999999999E-6"/>
    <n v="1.9999999999999999E-6"/>
    <n v="9.9999999999999995E-7"/>
    <m/>
    <n v="0"/>
    <n v="0"/>
    <n v="304948"/>
    <n v="448214"/>
    <n v="156502"/>
    <m/>
    <m/>
    <n v="222400"/>
    <n v="222400"/>
    <n v="116400"/>
    <m/>
    <n v="0"/>
    <n v="-304948"/>
    <n v="-143266"/>
    <n v="291712"/>
    <n v="156502"/>
    <m/>
    <m/>
    <n v="0"/>
    <n v="106000"/>
    <n v="0"/>
    <m/>
    <n v="0"/>
    <n v="0"/>
    <n v="1513304478.95"/>
    <n v="1572696262.5"/>
    <n v="494937518.39999998"/>
    <m/>
    <m/>
    <n v="622720002.05999994"/>
    <n v="622720002.05999994"/>
    <n v="269272605.89999998"/>
    <m/>
    <d v="2023-08-31T00:00:00"/>
    <d v="2023-08-31T00:00:00"/>
    <d v="2022-12-31T00:00:00"/>
    <d v="2021-12-31T00:00:00"/>
    <d v="2020-12-31T00:00:00"/>
    <m/>
    <m/>
    <d v="2016-09-30T00:00:00"/>
    <d v="2016-09-30T00:00:00"/>
    <d v="2015-12-31T00:00:00"/>
    <m/>
    <s v="Aggregate MFs"/>
    <s v="Aggregate MFs"/>
    <s v="Aggregate MFs"/>
    <s v="Aggregate MFs"/>
    <s v="Aggregate MFs"/>
    <m/>
    <m/>
    <s v="Aggregate MFs"/>
    <s v="Aggregate MFs"/>
    <s v="Aggregate MFs"/>
    <s v="Investment Managers"/>
    <s v="Investment Advisor"/>
    <n v="100479256913210"/>
    <s v="Core Value"/>
    <m/>
    <s v="Low"/>
    <s v="Low"/>
    <s v="Moderate"/>
    <s v="Moderate"/>
    <s v="High"/>
    <m/>
    <m/>
    <s v="Low"/>
    <s v="Low"/>
    <s v="Low"/>
    <s v="Baltimore"/>
    <s v="United States"/>
  </r>
  <r>
    <n v="781"/>
    <s v="Wirjoatmodjo (Kartika)"/>
    <m/>
    <m/>
    <m/>
    <m/>
    <m/>
    <m/>
    <n v="1.7E-5"/>
    <n v="6.0000000000000002E-6"/>
    <m/>
    <m/>
    <m/>
    <m/>
    <m/>
    <m/>
    <m/>
    <m/>
    <m/>
    <n v="1578000"/>
    <n v="538200"/>
    <m/>
    <m/>
    <m/>
    <m/>
    <m/>
    <m/>
    <m/>
    <m/>
    <m/>
    <n v="1039800"/>
    <n v="538200"/>
    <m/>
    <m/>
    <m/>
    <m/>
    <m/>
    <m/>
    <m/>
    <m/>
    <m/>
    <n v="6038173927.1999998"/>
    <n v="1960069056.25"/>
    <m/>
    <m/>
    <m/>
    <m/>
    <m/>
    <m/>
    <m/>
    <m/>
    <m/>
    <d v="2019-12-31T00:00:00"/>
    <d v="2018-12-31T00:00:00"/>
    <m/>
    <m/>
    <m/>
    <m/>
    <m/>
    <m/>
    <m/>
    <m/>
    <m/>
    <s v="Indonesia Insider"/>
    <s v="Indonesia Insider"/>
    <m/>
    <m/>
    <m/>
    <s v="Strategic Entities"/>
    <s v="Individual Investor"/>
    <n v="6462066187.1999998"/>
    <m/>
    <m/>
    <m/>
    <m/>
    <m/>
    <m/>
    <m/>
    <s v="Moderate"/>
    <s v="Low"/>
    <m/>
    <m/>
    <m/>
    <m/>
    <s v="Indonesia"/>
  </r>
  <r>
    <n v="782"/>
    <s v="WisdomTree Asset Management, Inc."/>
    <m/>
    <m/>
    <m/>
    <n v="0"/>
    <n v="0"/>
    <n v="1.2E-5"/>
    <m/>
    <m/>
    <m/>
    <m/>
    <m/>
    <m/>
    <m/>
    <m/>
    <n v="0"/>
    <n v="0"/>
    <n v="1129952"/>
    <m/>
    <m/>
    <m/>
    <m/>
    <m/>
    <m/>
    <m/>
    <m/>
    <n v="0"/>
    <n v="-1129952"/>
    <n v="1129952"/>
    <m/>
    <m/>
    <m/>
    <m/>
    <m/>
    <m/>
    <m/>
    <m/>
    <n v="0"/>
    <n v="0"/>
    <n v="3573473155.1999998"/>
    <m/>
    <m/>
    <m/>
    <m/>
    <m/>
    <m/>
    <m/>
    <m/>
    <d v="2021-10-31T00:00:00"/>
    <d v="2021-10-31T00:00:00"/>
    <d v="2020-12-31T00:00:00"/>
    <m/>
    <m/>
    <m/>
    <m/>
    <m/>
    <m/>
    <m/>
    <m/>
    <s v="Aggregate MFs"/>
    <s v="Aggregate MFs"/>
    <s v="Aggregate MFs"/>
    <m/>
    <m/>
    <m/>
    <m/>
    <m/>
    <s v="Investment Managers"/>
    <s v="Investment Advisor/Hedge Fund"/>
    <n v="59504205979.199997"/>
    <s v="Growth"/>
    <m/>
    <m/>
    <m/>
    <s v="Low"/>
    <s v="Low"/>
    <s v="Moderate"/>
    <m/>
    <m/>
    <m/>
    <m/>
    <m/>
    <s v="New York"/>
    <s v="United States"/>
  </r>
  <r>
    <n v="783"/>
    <s v="Xact Kapitalforvaltning AB_NLE"/>
    <m/>
    <m/>
    <m/>
    <m/>
    <m/>
    <m/>
    <n v="6.4999999999999994E-5"/>
    <n v="6.4999999999999994E-5"/>
    <n v="2.9E-5"/>
    <m/>
    <m/>
    <m/>
    <m/>
    <m/>
    <m/>
    <m/>
    <m/>
    <n v="6015600"/>
    <n v="6015600"/>
    <n v="2695600"/>
    <m/>
    <m/>
    <m/>
    <m/>
    <m/>
    <m/>
    <m/>
    <m/>
    <n v="0"/>
    <n v="3320000"/>
    <n v="2695600"/>
    <m/>
    <m/>
    <m/>
    <m/>
    <m/>
    <m/>
    <m/>
    <m/>
    <n v="21908196325"/>
    <n v="21908196325"/>
    <n v="10782400019.75"/>
    <m/>
    <m/>
    <m/>
    <m/>
    <m/>
    <m/>
    <m/>
    <m/>
    <d v="2018-12-31T00:00:00"/>
    <d v="2018-12-31T00:00:00"/>
    <d v="2017-12-31T00:00:00"/>
    <m/>
    <m/>
    <m/>
    <m/>
    <m/>
    <m/>
    <m/>
    <m/>
    <s v="Aggregate MFs"/>
    <s v="Aggregate MFs"/>
    <s v="Aggregate MFs"/>
    <m/>
    <m/>
    <s v="Investment Managers"/>
    <s v="Investment Advisor"/>
    <n v="4592858958753.5996"/>
    <m/>
    <m/>
    <m/>
    <m/>
    <m/>
    <m/>
    <m/>
    <s v="Low"/>
    <s v="Low"/>
    <s v="Low"/>
    <m/>
    <m/>
    <s v="Stockholm"/>
    <s v="Sweden"/>
  </r>
  <r>
    <n v="784"/>
    <s v="York Capital Management L P."/>
    <m/>
    <m/>
    <m/>
    <m/>
    <m/>
    <m/>
    <m/>
    <m/>
    <n v="0"/>
    <n v="0"/>
    <n v="4.1E-5"/>
    <m/>
    <m/>
    <m/>
    <m/>
    <m/>
    <m/>
    <m/>
    <m/>
    <n v="0"/>
    <n v="0"/>
    <n v="3809000"/>
    <m/>
    <m/>
    <m/>
    <m/>
    <m/>
    <m/>
    <m/>
    <m/>
    <n v="0"/>
    <n v="-3809000"/>
    <n v="0"/>
    <m/>
    <m/>
    <m/>
    <m/>
    <m/>
    <m/>
    <m/>
    <m/>
    <n v="0"/>
    <n v="0"/>
    <n v="7546581241.1499996"/>
    <m/>
    <m/>
    <m/>
    <m/>
    <m/>
    <m/>
    <m/>
    <m/>
    <d v="2016-09-30T00:00:00"/>
    <d v="2016-09-30T00:00:00"/>
    <d v="2015-09-30T00:00:00"/>
    <m/>
    <m/>
    <m/>
    <m/>
    <m/>
    <m/>
    <m/>
    <m/>
    <s v="Aggregate MFs"/>
    <s v="Aggregate MFs"/>
    <s v="Aggregate MFs"/>
    <s v="Investment Managers"/>
    <s v="Investment Advisor/Hedge Fund"/>
    <n v="604332032662.80005"/>
    <s v="Hedge Fund"/>
    <m/>
    <m/>
    <m/>
    <m/>
    <m/>
    <m/>
    <m/>
    <m/>
    <s v="High"/>
    <s v="High"/>
    <s v="High"/>
    <s v="New York"/>
    <s v="United States"/>
  </r>
  <r>
    <n v="785"/>
    <s v="Zantke &amp; Cie. Asset Management GmbH"/>
    <m/>
    <m/>
    <n v="0"/>
    <n v="0"/>
    <n v="0"/>
    <m/>
    <m/>
    <m/>
    <m/>
    <m/>
    <m/>
    <m/>
    <m/>
    <n v="0"/>
    <n v="0"/>
    <n v="4824"/>
    <m/>
    <m/>
    <m/>
    <m/>
    <m/>
    <m/>
    <m/>
    <m/>
    <n v="0"/>
    <n v="-4824"/>
    <n v="4824"/>
    <m/>
    <m/>
    <m/>
    <m/>
    <m/>
    <m/>
    <m/>
    <m/>
    <n v="0"/>
    <n v="0"/>
    <n v="16926435"/>
    <m/>
    <m/>
    <m/>
    <m/>
    <m/>
    <m/>
    <m/>
    <m/>
    <d v="2022-06-30T00:00:00"/>
    <d v="2022-06-30T00:00:00"/>
    <d v="2021-12-31T00:00:00"/>
    <m/>
    <m/>
    <m/>
    <m/>
    <m/>
    <m/>
    <m/>
    <m/>
    <s v="Aggregate MFs"/>
    <s v="Aggregate MFs"/>
    <s v="Aggregate MFs"/>
    <m/>
    <m/>
    <m/>
    <m/>
    <m/>
    <m/>
    <s v="Investment Managers"/>
    <s v="Investment Advisor"/>
    <n v="948037601488.80005"/>
    <m/>
    <m/>
    <m/>
    <s v="Low"/>
    <s v="Low"/>
    <s v="Moderate"/>
    <m/>
    <m/>
    <m/>
    <m/>
    <m/>
    <m/>
    <s v="Stuttgart"/>
    <s v="German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3" applyNumberFormats="0" applyBorderFormats="0" applyFontFormats="0" applyPatternFormats="0" applyAlignmentFormats="0" applyWidthHeightFormats="0" dataCaption="" updatedVersion="8" compact="0" compactData="0">
  <location ref="A1:C18" firstHeaderRow="1" firstDataRow="1" firstDataCol="0"/>
  <pivotFields count="85">
    <pivotField name="Shareholders Report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  <pivotField name=" 21" compact="0" outline="0" multipleItemSelectionAllowed="1" showAll="0"/>
    <pivotField name=" 22" compact="0" outline="0" multipleItemSelectionAllowed="1" showAll="0"/>
    <pivotField name=" 23" compact="0" outline="0" multipleItemSelectionAllowed="1" showAll="0"/>
    <pivotField name=" 24" compact="0" outline="0" multipleItemSelectionAllowed="1" showAll="0"/>
    <pivotField name=" 25" compact="0" outline="0" multipleItemSelectionAllowed="1" showAll="0"/>
    <pivotField name=" 26" compact="0" outline="0" multipleItemSelectionAllowed="1" showAll="0"/>
    <pivotField name=" 27" compact="0" outline="0" multipleItemSelectionAllowed="1" showAll="0"/>
    <pivotField name=" 28" compact="0" outline="0" multipleItemSelectionAllowed="1" showAll="0"/>
    <pivotField name=" 29" compact="0" outline="0" multipleItemSelectionAllowed="1" showAll="0"/>
    <pivotField name=" 30" compact="0" outline="0" multipleItemSelectionAllowed="1" showAll="0"/>
    <pivotField name=" 31" compact="0" outline="0" multipleItemSelectionAllowed="1" showAll="0"/>
    <pivotField name=" 32" compact="0" outline="0" multipleItemSelectionAllowed="1" showAll="0"/>
    <pivotField name=" 33" compact="0" outline="0" multipleItemSelectionAllowed="1" showAll="0"/>
    <pivotField name=" 34" compact="0" outline="0" multipleItemSelectionAllowed="1" showAll="0"/>
    <pivotField name=" 35" compact="0" outline="0" multipleItemSelectionAllowed="1" showAll="0"/>
    <pivotField name=" 36" compact="0" outline="0" multipleItemSelectionAllowed="1" showAll="0"/>
    <pivotField name=" 37" compact="0" outline="0" multipleItemSelectionAllowed="1" showAll="0"/>
    <pivotField name=" 38" compact="0" outline="0" multipleItemSelectionAllowed="1" showAll="0"/>
    <pivotField name=" 39" compact="0" outline="0" multipleItemSelectionAllowed="1" showAll="0"/>
    <pivotField name=" 40" compact="0" outline="0" multipleItemSelectionAllowed="1" showAll="0"/>
    <pivotField name=" 41" compact="0" outline="0" multipleItemSelectionAllowed="1" showAll="0"/>
    <pivotField name=" 42" compact="0" outline="0" multipleItemSelectionAllowed="1" showAll="0"/>
    <pivotField name=" 43" compact="0" outline="0" multipleItemSelectionAllowed="1" showAll="0"/>
    <pivotField name=" 44" compact="0" outline="0" multipleItemSelectionAllowed="1" showAll="0"/>
    <pivotField name=" 45" compact="0" outline="0" multipleItemSelectionAllowed="1" showAll="0"/>
    <pivotField name=" 46" compact="0" outline="0" multipleItemSelectionAllowed="1" showAll="0"/>
    <pivotField name=" 47" compact="0" outline="0" multipleItemSelectionAllowed="1" showAll="0"/>
    <pivotField name=" 48" compact="0" outline="0" multipleItemSelectionAllowed="1" showAll="0"/>
    <pivotField name=" 49" compact="0" outline="0" multipleItemSelectionAllowed="1" showAll="0"/>
    <pivotField name=" 50" compact="0" outline="0" multipleItemSelectionAllowed="1" showAll="0"/>
    <pivotField name=" 51" compact="0" outline="0" multipleItemSelectionAllowed="1" showAll="0"/>
    <pivotField name=" 52" compact="0" outline="0" multipleItemSelectionAllowed="1" showAll="0"/>
    <pivotField name=" 53" compact="0" outline="0" multipleItemSelectionAllowed="1" showAll="0"/>
    <pivotField name=" 54" compact="0" outline="0" multipleItemSelectionAllowed="1" showAll="0"/>
    <pivotField name=" 55" compact="0" outline="0" multipleItemSelectionAllowed="1" showAll="0"/>
    <pivotField name=" 56" compact="0" outline="0" multipleItemSelectionAllowed="1" showAll="0"/>
    <pivotField name=" 57" compact="0" outline="0" multipleItemSelectionAllowed="1" showAll="0"/>
    <pivotField name=" 58" compact="0" outline="0" multipleItemSelectionAllowed="1" showAll="0"/>
    <pivotField name=" 59" compact="0" outline="0" multipleItemSelectionAllowed="1" showAll="0"/>
    <pivotField name=" 60" compact="0" outline="0" multipleItemSelectionAllowed="1" showAll="0"/>
    <pivotField name=" 61" compact="0" outline="0" multipleItemSelectionAllowed="1" showAll="0"/>
    <pivotField name=" 62" compact="0" outline="0" multipleItemSelectionAllowed="1" showAll="0"/>
    <pivotField name=" 63" compact="0" outline="0" multipleItemSelectionAllowed="1" showAll="0"/>
    <pivotField name=" 64" compact="0" outline="0" multipleItemSelectionAllowed="1" showAll="0"/>
    <pivotField name=" 65" compact="0" outline="0" multipleItemSelectionAllowed="1" showAll="0"/>
    <pivotField name=" 66" compact="0" outline="0" multipleItemSelectionAllowed="1" showAll="0"/>
    <pivotField name=" 67" compact="0" outline="0" multipleItemSelectionAllowed="1" showAll="0"/>
    <pivotField name=" 68" compact="0" outline="0" multipleItemSelectionAllowed="1" showAll="0"/>
    <pivotField name=" 69" compact="0" outline="0" multipleItemSelectionAllowed="1" showAll="0"/>
    <pivotField name=" 70" compact="0" outline="0" multipleItemSelectionAllowed="1" showAll="0"/>
    <pivotField name=" 71" compact="0" outline="0" multipleItemSelectionAllowed="1" showAll="0"/>
    <pivotField name=" 72" compact="0" outline="0" multipleItemSelectionAllowed="1" showAll="0"/>
    <pivotField name=" 73" compact="0" outline="0" multipleItemSelectionAllowed="1" showAll="0"/>
    <pivotField name=" 74" compact="0" outline="0" multipleItemSelectionAllowed="1" showAll="0"/>
    <pivotField name=" 75" compact="0" outline="0" multipleItemSelectionAllowed="1" showAll="0"/>
    <pivotField name=" 76" compact="0" outline="0" multipleItemSelectionAllowed="1" showAll="0"/>
    <pivotField name=" 77" compact="0" outline="0" multipleItemSelectionAllowed="1" showAll="0"/>
    <pivotField name=" 78" compact="0" outline="0" multipleItemSelectionAllowed="1" showAll="0"/>
    <pivotField name=" 79" compact="0" outline="0" multipleItemSelectionAllowed="1" showAll="0"/>
    <pivotField name=" 80" compact="0" outline="0" multipleItemSelectionAllowed="1" showAll="0"/>
    <pivotField name=" 81" compact="0" outline="0" multipleItemSelectionAllowed="1" showAll="0"/>
    <pivotField name=" 82" compact="0" outline="0" multipleItemSelectionAllowed="1" showAll="0"/>
    <pivotField name=" 83" compact="0" outline="0" multipleItemSelectionAllowed="1" showAll="0"/>
    <pivotField name=" 84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G792"/>
  <sheetViews>
    <sheetView tabSelected="1" workbookViewId="0"/>
  </sheetViews>
  <sheetFormatPr defaultColWidth="14.453125" defaultRowHeight="15" customHeight="1" x14ac:dyDescent="0.35"/>
  <cols>
    <col min="1" max="2" width="25.7265625" customWidth="1"/>
    <col min="3" max="85" width="20.7265625" customWidth="1"/>
  </cols>
  <sheetData>
    <row r="1" spans="1:85" ht="14.5" x14ac:dyDescent="0.35">
      <c r="A1" s="1" t="s">
        <v>0</v>
      </c>
      <c r="B1" s="1" t="s">
        <v>1</v>
      </c>
    </row>
    <row r="2" spans="1:85" ht="14.5" x14ac:dyDescent="0.35">
      <c r="A2" s="1" t="s">
        <v>2</v>
      </c>
      <c r="B2" s="1" t="s">
        <v>3</v>
      </c>
    </row>
    <row r="3" spans="1:85" ht="14.5" x14ac:dyDescent="0.35">
      <c r="A3" s="1" t="s">
        <v>4</v>
      </c>
      <c r="B3" s="2">
        <v>45969.613714432897</v>
      </c>
    </row>
    <row r="4" spans="1:85" ht="14.5" x14ac:dyDescent="0.35">
      <c r="D4" s="1">
        <f t="shared" ref="D4:J4" si="0">SUBTOTAL(9,D9:D792)</f>
        <v>0.29480199999999945</v>
      </c>
      <c r="E4" s="1">
        <f t="shared" si="0"/>
        <v>0.29588399999999909</v>
      </c>
      <c r="F4" s="1">
        <f t="shared" si="0"/>
        <v>0.29860199999999931</v>
      </c>
      <c r="G4" s="1">
        <f t="shared" si="0"/>
        <v>0.28749299999999978</v>
      </c>
      <c r="H4" s="1">
        <f t="shared" si="0"/>
        <v>0.1747700000000002</v>
      </c>
      <c r="I4" s="1">
        <f t="shared" si="0"/>
        <v>0.1712000000000001</v>
      </c>
      <c r="J4" s="1">
        <f t="shared" si="0"/>
        <v>0.16245000000000023</v>
      </c>
    </row>
    <row r="5" spans="1:85" ht="14.5" x14ac:dyDescent="0.35">
      <c r="A5" s="3" t="s">
        <v>5</v>
      </c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6</v>
      </c>
      <c r="AA5" s="1" t="s">
        <v>6</v>
      </c>
      <c r="AB5" s="1" t="s">
        <v>6</v>
      </c>
      <c r="AC5" s="1" t="s">
        <v>6</v>
      </c>
      <c r="AD5" s="1" t="s">
        <v>6</v>
      </c>
      <c r="AE5" s="1" t="s">
        <v>6</v>
      </c>
      <c r="AF5" s="1" t="s">
        <v>6</v>
      </c>
      <c r="AG5" s="1" t="s">
        <v>6</v>
      </c>
      <c r="AH5" s="1" t="s">
        <v>6</v>
      </c>
      <c r="AI5" s="1" t="s">
        <v>6</v>
      </c>
      <c r="AJ5" s="1" t="s">
        <v>6</v>
      </c>
      <c r="AK5" s="1" t="s">
        <v>6</v>
      </c>
      <c r="AL5" s="1" t="s">
        <v>6</v>
      </c>
      <c r="AM5" s="1" t="s">
        <v>6</v>
      </c>
      <c r="AN5" s="1" t="s">
        <v>6</v>
      </c>
      <c r="AO5" s="1" t="s">
        <v>6</v>
      </c>
      <c r="AP5" s="1" t="s">
        <v>6</v>
      </c>
      <c r="AQ5" s="1" t="s">
        <v>6</v>
      </c>
      <c r="AR5" s="1" t="s">
        <v>6</v>
      </c>
      <c r="AS5" s="1" t="s">
        <v>6</v>
      </c>
      <c r="AT5" s="1" t="s">
        <v>6</v>
      </c>
      <c r="AU5" s="1" t="s">
        <v>6</v>
      </c>
      <c r="AV5" s="1" t="s">
        <v>6</v>
      </c>
      <c r="AW5" s="1" t="s">
        <v>6</v>
      </c>
      <c r="AX5" s="1" t="s">
        <v>6</v>
      </c>
      <c r="AY5" s="1" t="s">
        <v>6</v>
      </c>
      <c r="AZ5" s="1" t="s">
        <v>6</v>
      </c>
      <c r="BA5" s="1" t="s">
        <v>6</v>
      </c>
      <c r="BB5" s="1" t="s">
        <v>6</v>
      </c>
      <c r="BC5" s="1" t="s">
        <v>6</v>
      </c>
      <c r="BD5" s="1" t="s">
        <v>6</v>
      </c>
      <c r="BE5" s="1" t="s">
        <v>6</v>
      </c>
      <c r="BF5" s="1" t="s">
        <v>6</v>
      </c>
      <c r="BG5" s="1" t="s">
        <v>6</v>
      </c>
      <c r="BH5" s="1" t="s">
        <v>6</v>
      </c>
      <c r="BI5" s="1" t="s">
        <v>6</v>
      </c>
      <c r="BJ5" s="1" t="s">
        <v>6</v>
      </c>
      <c r="BK5" s="1" t="s">
        <v>6</v>
      </c>
      <c r="BL5" s="1" t="s">
        <v>6</v>
      </c>
      <c r="BM5" s="1" t="s">
        <v>6</v>
      </c>
      <c r="BN5" s="1" t="s">
        <v>6</v>
      </c>
      <c r="BO5" s="1" t="s">
        <v>6</v>
      </c>
      <c r="BP5" s="1" t="s">
        <v>6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6</v>
      </c>
      <c r="BZ5" s="1" t="s">
        <v>6</v>
      </c>
      <c r="CA5" s="1" t="s">
        <v>6</v>
      </c>
      <c r="CB5" s="1" t="s">
        <v>6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</row>
    <row r="6" spans="1:85" ht="31.5" customHeight="1" x14ac:dyDescent="0.35">
      <c r="A6" s="18" t="s">
        <v>7</v>
      </c>
      <c r="B6" s="18" t="s">
        <v>8</v>
      </c>
      <c r="C6" s="15" t="s">
        <v>9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5" t="s">
        <v>10</v>
      </c>
      <c r="O6" s="16"/>
      <c r="P6" s="16"/>
      <c r="Q6" s="16"/>
      <c r="R6" s="16"/>
      <c r="S6" s="16"/>
      <c r="T6" s="16"/>
      <c r="U6" s="16"/>
      <c r="V6" s="16"/>
      <c r="W6" s="16"/>
      <c r="X6" s="17"/>
      <c r="Y6" s="15" t="s">
        <v>11</v>
      </c>
      <c r="Z6" s="16"/>
      <c r="AA6" s="16"/>
      <c r="AB6" s="16"/>
      <c r="AC6" s="16"/>
      <c r="AD6" s="16"/>
      <c r="AE6" s="16"/>
      <c r="AF6" s="16"/>
      <c r="AG6" s="16"/>
      <c r="AH6" s="16"/>
      <c r="AI6" s="17"/>
      <c r="AJ6" s="15" t="s">
        <v>12</v>
      </c>
      <c r="AK6" s="16"/>
      <c r="AL6" s="16"/>
      <c r="AM6" s="16"/>
      <c r="AN6" s="16"/>
      <c r="AO6" s="16"/>
      <c r="AP6" s="16"/>
      <c r="AQ6" s="16"/>
      <c r="AR6" s="16"/>
      <c r="AS6" s="16"/>
      <c r="AT6" s="17"/>
      <c r="AU6" s="15" t="s">
        <v>13</v>
      </c>
      <c r="AV6" s="16"/>
      <c r="AW6" s="16"/>
      <c r="AX6" s="16"/>
      <c r="AY6" s="16"/>
      <c r="AZ6" s="16"/>
      <c r="BA6" s="16"/>
      <c r="BB6" s="16"/>
      <c r="BC6" s="16"/>
      <c r="BD6" s="16"/>
      <c r="BE6" s="17"/>
      <c r="BF6" s="15" t="s">
        <v>14</v>
      </c>
      <c r="BG6" s="16"/>
      <c r="BH6" s="16"/>
      <c r="BI6" s="16"/>
      <c r="BJ6" s="16"/>
      <c r="BK6" s="16"/>
      <c r="BL6" s="16"/>
      <c r="BM6" s="16"/>
      <c r="BN6" s="16"/>
      <c r="BO6" s="16"/>
      <c r="BP6" s="17"/>
      <c r="BQ6" s="4" t="s">
        <v>15</v>
      </c>
      <c r="BR6" s="18" t="s">
        <v>16</v>
      </c>
      <c r="BS6" s="4" t="s">
        <v>17</v>
      </c>
      <c r="BT6" s="4" t="s">
        <v>18</v>
      </c>
      <c r="BU6" s="15" t="s">
        <v>19</v>
      </c>
      <c r="BV6" s="16"/>
      <c r="BW6" s="16"/>
      <c r="BX6" s="16"/>
      <c r="BY6" s="16"/>
      <c r="BZ6" s="16"/>
      <c r="CA6" s="16"/>
      <c r="CB6" s="16"/>
      <c r="CC6" s="16"/>
      <c r="CD6" s="16"/>
      <c r="CE6" s="17"/>
      <c r="CF6" s="18" t="s">
        <v>20</v>
      </c>
      <c r="CG6" s="18" t="s">
        <v>21</v>
      </c>
    </row>
    <row r="7" spans="1:85" ht="31.5" customHeight="1" x14ac:dyDescent="0.35">
      <c r="A7" s="19"/>
      <c r="B7" s="19"/>
      <c r="C7" s="5" t="s">
        <v>22</v>
      </c>
      <c r="D7" s="6">
        <v>45657</v>
      </c>
      <c r="E7" s="6">
        <v>45291</v>
      </c>
      <c r="F7" s="6">
        <v>44926</v>
      </c>
      <c r="G7" s="6">
        <v>44561</v>
      </c>
      <c r="H7" s="6">
        <v>44196</v>
      </c>
      <c r="I7" s="6">
        <v>43830</v>
      </c>
      <c r="J7" s="6">
        <v>43465</v>
      </c>
      <c r="K7" s="6">
        <v>43100</v>
      </c>
      <c r="L7" s="6">
        <v>42735</v>
      </c>
      <c r="M7" s="6">
        <v>42369</v>
      </c>
      <c r="N7" s="5" t="s">
        <v>22</v>
      </c>
      <c r="O7" s="6">
        <v>45657</v>
      </c>
      <c r="P7" s="6">
        <v>45291</v>
      </c>
      <c r="Q7" s="6">
        <v>44926</v>
      </c>
      <c r="R7" s="6">
        <v>44561</v>
      </c>
      <c r="S7" s="6">
        <v>44196</v>
      </c>
      <c r="T7" s="6">
        <v>43830</v>
      </c>
      <c r="U7" s="6">
        <v>43465</v>
      </c>
      <c r="V7" s="6">
        <v>43100</v>
      </c>
      <c r="W7" s="6">
        <v>42735</v>
      </c>
      <c r="X7" s="6">
        <v>42369</v>
      </c>
      <c r="Y7" s="5" t="s">
        <v>22</v>
      </c>
      <c r="Z7" s="6">
        <v>45657</v>
      </c>
      <c r="AA7" s="6">
        <v>45291</v>
      </c>
      <c r="AB7" s="6">
        <v>44926</v>
      </c>
      <c r="AC7" s="6">
        <v>44561</v>
      </c>
      <c r="AD7" s="6">
        <v>44196</v>
      </c>
      <c r="AE7" s="6">
        <v>43830</v>
      </c>
      <c r="AF7" s="6">
        <v>43465</v>
      </c>
      <c r="AG7" s="6">
        <v>43100</v>
      </c>
      <c r="AH7" s="6">
        <v>42735</v>
      </c>
      <c r="AI7" s="6">
        <v>42369</v>
      </c>
      <c r="AJ7" s="5" t="s">
        <v>22</v>
      </c>
      <c r="AK7" s="6">
        <v>45657</v>
      </c>
      <c r="AL7" s="6">
        <v>45291</v>
      </c>
      <c r="AM7" s="6">
        <v>44926</v>
      </c>
      <c r="AN7" s="6">
        <v>44561</v>
      </c>
      <c r="AO7" s="6">
        <v>44196</v>
      </c>
      <c r="AP7" s="6">
        <v>43830</v>
      </c>
      <c r="AQ7" s="6">
        <v>43465</v>
      </c>
      <c r="AR7" s="6">
        <v>43100</v>
      </c>
      <c r="AS7" s="6">
        <v>42735</v>
      </c>
      <c r="AT7" s="6">
        <v>42369</v>
      </c>
      <c r="AU7" s="5" t="s">
        <v>22</v>
      </c>
      <c r="AV7" s="6">
        <v>45657</v>
      </c>
      <c r="AW7" s="6">
        <v>45291</v>
      </c>
      <c r="AX7" s="6">
        <v>44926</v>
      </c>
      <c r="AY7" s="6">
        <v>44561</v>
      </c>
      <c r="AZ7" s="6">
        <v>44196</v>
      </c>
      <c r="BA7" s="6">
        <v>43830</v>
      </c>
      <c r="BB7" s="6">
        <v>43465</v>
      </c>
      <c r="BC7" s="6">
        <v>43100</v>
      </c>
      <c r="BD7" s="6">
        <v>42735</v>
      </c>
      <c r="BE7" s="6">
        <v>42369</v>
      </c>
      <c r="BF7" s="5" t="s">
        <v>22</v>
      </c>
      <c r="BG7" s="6">
        <v>45657</v>
      </c>
      <c r="BH7" s="6">
        <v>45291</v>
      </c>
      <c r="BI7" s="6">
        <v>44926</v>
      </c>
      <c r="BJ7" s="6">
        <v>44561</v>
      </c>
      <c r="BK7" s="6">
        <v>44196</v>
      </c>
      <c r="BL7" s="6">
        <v>43830</v>
      </c>
      <c r="BM7" s="6">
        <v>43465</v>
      </c>
      <c r="BN7" s="6">
        <v>43100</v>
      </c>
      <c r="BO7" s="6">
        <v>42735</v>
      </c>
      <c r="BP7" s="6">
        <v>42369</v>
      </c>
      <c r="BQ7" s="7"/>
      <c r="BR7" s="19"/>
      <c r="BS7" s="7"/>
      <c r="BT7" s="7"/>
      <c r="BU7" s="5" t="s">
        <v>22</v>
      </c>
      <c r="BV7" s="6">
        <v>45657</v>
      </c>
      <c r="BW7" s="6">
        <v>45291</v>
      </c>
      <c r="BX7" s="6">
        <v>44926</v>
      </c>
      <c r="BY7" s="6">
        <v>44561</v>
      </c>
      <c r="BZ7" s="6">
        <v>44196</v>
      </c>
      <c r="CA7" s="6">
        <v>43830</v>
      </c>
      <c r="CB7" s="6">
        <v>43465</v>
      </c>
      <c r="CC7" s="6">
        <v>43100</v>
      </c>
      <c r="CD7" s="6">
        <v>42735</v>
      </c>
      <c r="CE7" s="6">
        <v>42369</v>
      </c>
      <c r="CF7" s="19"/>
      <c r="CG7" s="19"/>
    </row>
    <row r="8" spans="1:85" ht="14.5" hidden="1" x14ac:dyDescent="0.35">
      <c r="A8" s="8">
        <v>1</v>
      </c>
      <c r="B8" s="8" t="s">
        <v>23</v>
      </c>
      <c r="C8" s="9">
        <v>0.52525299999999997</v>
      </c>
      <c r="D8" s="9">
        <v>0.52525299999999997</v>
      </c>
      <c r="E8" s="9">
        <v>0.52525299999999997</v>
      </c>
      <c r="F8" s="9">
        <v>0.52525299999999997</v>
      </c>
      <c r="G8" s="9">
        <v>0.52525299999999997</v>
      </c>
      <c r="H8" s="9">
        <v>0.60606099999999996</v>
      </c>
      <c r="I8" s="9">
        <v>0.60606099999999996</v>
      </c>
      <c r="J8" s="9">
        <v>0.60606099999999996</v>
      </c>
      <c r="K8" s="9">
        <v>0.60606099999999996</v>
      </c>
      <c r="L8" s="9">
        <v>0.60606099999999996</v>
      </c>
      <c r="M8" s="9">
        <v>0.60606099999999996</v>
      </c>
      <c r="N8" s="10">
        <v>48533333334</v>
      </c>
      <c r="O8" s="10">
        <v>48533333334</v>
      </c>
      <c r="P8" s="10">
        <v>48533333334</v>
      </c>
      <c r="Q8" s="10">
        <v>48533333334</v>
      </c>
      <c r="R8" s="10">
        <v>48533333334</v>
      </c>
      <c r="S8" s="10">
        <v>56000000000</v>
      </c>
      <c r="T8" s="10">
        <v>56000000000</v>
      </c>
      <c r="U8" s="10">
        <v>55999999998</v>
      </c>
      <c r="V8" s="10">
        <v>55999999998</v>
      </c>
      <c r="W8" s="10">
        <v>55999999996</v>
      </c>
      <c r="X8" s="10">
        <v>55999999996</v>
      </c>
      <c r="Y8" s="11">
        <v>0</v>
      </c>
      <c r="Z8" s="11">
        <v>0</v>
      </c>
      <c r="AA8" s="11">
        <v>0</v>
      </c>
      <c r="AB8" s="11">
        <v>0</v>
      </c>
      <c r="AC8" s="12">
        <v>-7466666666</v>
      </c>
      <c r="AD8" s="11">
        <v>0</v>
      </c>
      <c r="AE8" s="13">
        <v>2</v>
      </c>
      <c r="AF8" s="11">
        <v>0</v>
      </c>
      <c r="AG8" s="13">
        <v>2</v>
      </c>
      <c r="AH8" s="11">
        <v>0</v>
      </c>
      <c r="AI8" s="11">
        <v>0</v>
      </c>
      <c r="AJ8" s="10">
        <v>213482596553495</v>
      </c>
      <c r="AK8" s="10">
        <v>275953973752837</v>
      </c>
      <c r="AL8" s="10">
        <v>293626666443827</v>
      </c>
      <c r="AM8" s="10">
        <v>240846666854830</v>
      </c>
      <c r="AN8" s="10">
        <v>170294076445680</v>
      </c>
      <c r="AO8" s="10">
        <v>177099999804000</v>
      </c>
      <c r="AP8" s="10">
        <v>214282471447520</v>
      </c>
      <c r="AQ8" s="10">
        <v>203946238415169</v>
      </c>
      <c r="AR8" s="10">
        <v>224000000024617</v>
      </c>
      <c r="AS8" s="10">
        <v>162050000074712</v>
      </c>
      <c r="AT8" s="10">
        <v>129546988463764</v>
      </c>
      <c r="AU8" s="14">
        <v>45930</v>
      </c>
      <c r="AV8" s="14">
        <v>45657</v>
      </c>
      <c r="AW8" s="14">
        <v>45291</v>
      </c>
      <c r="AX8" s="14">
        <v>44926</v>
      </c>
      <c r="AY8" s="14">
        <v>44561</v>
      </c>
      <c r="AZ8" s="14">
        <v>44196</v>
      </c>
      <c r="BA8" s="14">
        <v>43830</v>
      </c>
      <c r="BB8" s="14">
        <v>43465</v>
      </c>
      <c r="BC8" s="14">
        <v>43100</v>
      </c>
      <c r="BD8" s="14">
        <v>42735</v>
      </c>
      <c r="BE8" s="14">
        <v>42369</v>
      </c>
      <c r="BF8" s="8" t="s">
        <v>24</v>
      </c>
      <c r="BG8" s="8" t="s">
        <v>24</v>
      </c>
      <c r="BH8" s="8" t="s">
        <v>24</v>
      </c>
      <c r="BI8" s="8" t="s">
        <v>24</v>
      </c>
      <c r="BJ8" s="8" t="s">
        <v>24</v>
      </c>
      <c r="BK8" s="8" t="s">
        <v>24</v>
      </c>
      <c r="BL8" s="8" t="s">
        <v>24</v>
      </c>
      <c r="BM8" s="8" t="s">
        <v>24</v>
      </c>
      <c r="BN8" s="8" t="s">
        <v>24</v>
      </c>
      <c r="BO8" s="8" t="s">
        <v>24</v>
      </c>
      <c r="BP8" s="8" t="s">
        <v>24</v>
      </c>
      <c r="BQ8" s="8" t="s">
        <v>25</v>
      </c>
      <c r="BR8" s="8" t="s">
        <v>26</v>
      </c>
      <c r="BS8" s="10">
        <v>874258961820817</v>
      </c>
      <c r="BT8" s="8"/>
      <c r="BU8" s="8" t="s">
        <v>27</v>
      </c>
      <c r="BV8" s="8" t="s">
        <v>27</v>
      </c>
      <c r="BW8" s="8" t="s">
        <v>27</v>
      </c>
      <c r="BX8" s="8" t="s">
        <v>27</v>
      </c>
      <c r="BY8" s="8" t="s">
        <v>27</v>
      </c>
      <c r="BZ8" s="8" t="s">
        <v>27</v>
      </c>
      <c r="CA8" s="8" t="s">
        <v>27</v>
      </c>
      <c r="CB8" s="8" t="s">
        <v>27</v>
      </c>
      <c r="CC8" s="8" t="s">
        <v>27</v>
      </c>
      <c r="CD8" s="8" t="s">
        <v>27</v>
      </c>
      <c r="CE8" s="8" t="s">
        <v>27</v>
      </c>
      <c r="CF8" s="8" t="s">
        <v>28</v>
      </c>
      <c r="CG8" s="8" t="s">
        <v>29</v>
      </c>
    </row>
    <row r="9" spans="1:85" ht="14.5" x14ac:dyDescent="0.35">
      <c r="A9" s="8">
        <v>2</v>
      </c>
      <c r="B9" s="8" t="s">
        <v>30</v>
      </c>
      <c r="C9" s="9">
        <v>8.0808000000000005E-2</v>
      </c>
      <c r="D9" s="9">
        <v>8.0808000000000005E-2</v>
      </c>
      <c r="E9" s="9">
        <v>8.0808000000000005E-2</v>
      </c>
      <c r="F9" s="9">
        <v>8.0808000000000005E-2</v>
      </c>
      <c r="G9" s="9">
        <v>8.0808000000000005E-2</v>
      </c>
      <c r="H9" s="8"/>
      <c r="I9" s="8"/>
      <c r="J9" s="8"/>
      <c r="K9" s="8"/>
      <c r="L9" s="8"/>
      <c r="M9" s="8"/>
      <c r="N9" s="10">
        <v>7466666666</v>
      </c>
      <c r="O9" s="10">
        <v>7466666666</v>
      </c>
      <c r="P9" s="10">
        <v>7466666666</v>
      </c>
      <c r="Q9" s="10">
        <v>7466666666</v>
      </c>
      <c r="R9" s="10">
        <v>7466666666</v>
      </c>
      <c r="S9" s="8"/>
      <c r="T9" s="8"/>
      <c r="U9" s="8"/>
      <c r="V9" s="8"/>
      <c r="W9" s="8"/>
      <c r="X9" s="8"/>
      <c r="Y9" s="11">
        <v>0</v>
      </c>
      <c r="Z9" s="11">
        <v>0</v>
      </c>
      <c r="AA9" s="11">
        <v>0</v>
      </c>
      <c r="AB9" s="11">
        <v>0</v>
      </c>
      <c r="AC9" s="13">
        <v>7466666666</v>
      </c>
      <c r="AD9" s="8"/>
      <c r="AE9" s="8"/>
      <c r="AF9" s="8"/>
      <c r="AG9" s="8"/>
      <c r="AH9" s="8"/>
      <c r="AI9" s="8"/>
      <c r="AJ9" s="10">
        <v>32843476389385.199</v>
      </c>
      <c r="AK9" s="10">
        <v>42454457496042.703</v>
      </c>
      <c r="AL9" s="10">
        <v>45173333294372.703</v>
      </c>
      <c r="AM9" s="10">
        <v>37053333358390.297</v>
      </c>
      <c r="AN9" s="10">
        <v>26199088681320</v>
      </c>
      <c r="AO9" s="8"/>
      <c r="AP9" s="8"/>
      <c r="AQ9" s="8"/>
      <c r="AR9" s="8"/>
      <c r="AS9" s="8"/>
      <c r="AT9" s="8"/>
      <c r="AU9" s="14">
        <v>45930</v>
      </c>
      <c r="AV9" s="14">
        <v>45657</v>
      </c>
      <c r="AW9" s="14">
        <v>45291</v>
      </c>
      <c r="AX9" s="14">
        <v>44926</v>
      </c>
      <c r="AY9" s="14">
        <v>44561</v>
      </c>
      <c r="AZ9" s="8"/>
      <c r="BA9" s="8"/>
      <c r="BB9" s="8"/>
      <c r="BC9" s="8"/>
      <c r="BD9" s="8"/>
      <c r="BE9" s="8"/>
      <c r="BF9" s="8" t="s">
        <v>24</v>
      </c>
      <c r="BG9" s="8" t="s">
        <v>24</v>
      </c>
      <c r="BH9" s="8" t="s">
        <v>24</v>
      </c>
      <c r="BI9" s="8" t="s">
        <v>24</v>
      </c>
      <c r="BJ9" s="8" t="s">
        <v>24</v>
      </c>
      <c r="BK9" s="8"/>
      <c r="BL9" s="8"/>
      <c r="BM9" s="8"/>
      <c r="BN9" s="8"/>
      <c r="BO9" s="8"/>
      <c r="BP9" s="8"/>
      <c r="BQ9" s="8" t="s">
        <v>31</v>
      </c>
      <c r="BR9" s="8" t="s">
        <v>32</v>
      </c>
      <c r="BS9" s="10">
        <v>62269439366074.797</v>
      </c>
      <c r="BT9" s="8" t="s">
        <v>33</v>
      </c>
      <c r="BU9" s="8" t="s">
        <v>27</v>
      </c>
      <c r="BV9" s="8" t="s">
        <v>27</v>
      </c>
      <c r="BW9" s="8" t="s">
        <v>27</v>
      </c>
      <c r="BX9" s="8" t="s">
        <v>27</v>
      </c>
      <c r="BY9" s="8"/>
      <c r="BZ9" s="8"/>
      <c r="CA9" s="8"/>
      <c r="CB9" s="8"/>
      <c r="CC9" s="8"/>
      <c r="CD9" s="8"/>
      <c r="CE9" s="8"/>
      <c r="CF9" s="8" t="s">
        <v>28</v>
      </c>
      <c r="CG9" s="8" t="s">
        <v>29</v>
      </c>
    </row>
    <row r="10" spans="1:85" ht="14.5" x14ac:dyDescent="0.35">
      <c r="A10" s="8">
        <v>3</v>
      </c>
      <c r="B10" s="8" t="s">
        <v>34</v>
      </c>
      <c r="C10" s="9">
        <v>2.2837E-2</v>
      </c>
      <c r="D10" s="9">
        <v>2.2837E-2</v>
      </c>
      <c r="E10" s="9">
        <v>9.1459999999999996E-3</v>
      </c>
      <c r="F10" s="9">
        <v>6.2059999999999997E-3</v>
      </c>
      <c r="G10" s="9">
        <v>2.3900000000000002E-3</v>
      </c>
      <c r="H10" s="9">
        <v>3.3899999999999998E-3</v>
      </c>
      <c r="I10" s="9">
        <v>4.1899999999999999E-4</v>
      </c>
      <c r="J10" s="8"/>
      <c r="K10" s="8"/>
      <c r="L10" s="9">
        <v>0</v>
      </c>
      <c r="M10" s="9">
        <v>0</v>
      </c>
      <c r="N10" s="10">
        <v>2110129302</v>
      </c>
      <c r="O10" s="10">
        <v>2110129302</v>
      </c>
      <c r="P10" s="10">
        <v>845083222</v>
      </c>
      <c r="Q10" s="10">
        <v>573458106</v>
      </c>
      <c r="R10" s="10">
        <v>220808506</v>
      </c>
      <c r="S10" s="10">
        <v>313280400</v>
      </c>
      <c r="T10" s="10">
        <v>38745600</v>
      </c>
      <c r="U10" s="8"/>
      <c r="V10" s="8"/>
      <c r="W10" s="10">
        <v>0</v>
      </c>
      <c r="X10" s="10">
        <v>0</v>
      </c>
      <c r="Y10" s="11">
        <v>0</v>
      </c>
      <c r="Z10" s="13">
        <v>1265046080</v>
      </c>
      <c r="AA10" s="13">
        <v>271625116</v>
      </c>
      <c r="AB10" s="13">
        <v>352649600</v>
      </c>
      <c r="AC10" s="12">
        <v>-92471894</v>
      </c>
      <c r="AD10" s="13">
        <v>274534800</v>
      </c>
      <c r="AE10" s="13">
        <v>38745600</v>
      </c>
      <c r="AF10" s="8"/>
      <c r="AG10" s="8"/>
      <c r="AH10" s="11">
        <v>0</v>
      </c>
      <c r="AI10" s="11">
        <v>0</v>
      </c>
      <c r="AJ10" s="10">
        <v>11997910014043.4</v>
      </c>
      <c r="AK10" s="10">
        <v>11997910014043.4</v>
      </c>
      <c r="AL10" s="10">
        <v>5112753489139.75</v>
      </c>
      <c r="AM10" s="10">
        <v>2845785853214.1499</v>
      </c>
      <c r="AN10" s="10">
        <v>774774325567.5</v>
      </c>
      <c r="AO10" s="10">
        <v>990749263935.59998</v>
      </c>
      <c r="AP10" s="10">
        <v>148258980847.60001</v>
      </c>
      <c r="AQ10" s="8"/>
      <c r="AR10" s="8"/>
      <c r="AS10" s="10">
        <v>0</v>
      </c>
      <c r="AT10" s="10">
        <v>0</v>
      </c>
      <c r="AU10" s="14">
        <v>45657</v>
      </c>
      <c r="AV10" s="14">
        <v>45657</v>
      </c>
      <c r="AW10" s="14">
        <v>45291</v>
      </c>
      <c r="AX10" s="14">
        <v>44926</v>
      </c>
      <c r="AY10" s="14">
        <v>44561</v>
      </c>
      <c r="AZ10" s="14">
        <v>44196</v>
      </c>
      <c r="BA10" s="14">
        <v>43830</v>
      </c>
      <c r="BB10" s="8"/>
      <c r="BC10" s="8"/>
      <c r="BD10" s="14">
        <v>42277</v>
      </c>
      <c r="BE10" s="14">
        <v>42277</v>
      </c>
      <c r="BF10" s="8" t="s">
        <v>24</v>
      </c>
      <c r="BG10" s="8" t="s">
        <v>24</v>
      </c>
      <c r="BH10" s="8" t="s">
        <v>35</v>
      </c>
      <c r="BI10" s="8" t="s">
        <v>35</v>
      </c>
      <c r="BJ10" s="8" t="s">
        <v>35</v>
      </c>
      <c r="BK10" s="8" t="s">
        <v>35</v>
      </c>
      <c r="BL10" s="8" t="s">
        <v>35</v>
      </c>
      <c r="BM10" s="8"/>
      <c r="BN10" s="8"/>
      <c r="BO10" s="8" t="s">
        <v>35</v>
      </c>
      <c r="BP10" s="8" t="s">
        <v>35</v>
      </c>
      <c r="BQ10" s="8" t="s">
        <v>31</v>
      </c>
      <c r="BR10" s="8" t="s">
        <v>36</v>
      </c>
      <c r="BS10" s="10">
        <v>1.53841403820417E+16</v>
      </c>
      <c r="BT10" s="8" t="s">
        <v>37</v>
      </c>
      <c r="BU10" s="8" t="s">
        <v>27</v>
      </c>
      <c r="BV10" s="8" t="s">
        <v>27</v>
      </c>
      <c r="BW10" s="8" t="s">
        <v>27</v>
      </c>
      <c r="BX10" s="8" t="s">
        <v>27</v>
      </c>
      <c r="BY10" s="8" t="s">
        <v>27</v>
      </c>
      <c r="BZ10" s="8" t="s">
        <v>27</v>
      </c>
      <c r="CA10" s="8" t="s">
        <v>27</v>
      </c>
      <c r="CB10" s="8"/>
      <c r="CC10" s="8"/>
      <c r="CD10" s="8" t="s">
        <v>27</v>
      </c>
      <c r="CE10" s="8" t="s">
        <v>27</v>
      </c>
      <c r="CF10" s="8" t="s">
        <v>38</v>
      </c>
      <c r="CG10" s="8" t="s">
        <v>39</v>
      </c>
    </row>
    <row r="11" spans="1:85" ht="14.5" x14ac:dyDescent="0.35">
      <c r="A11" s="8">
        <v>4</v>
      </c>
      <c r="B11" s="8" t="s">
        <v>40</v>
      </c>
      <c r="C11" s="9">
        <v>1.7519E-2</v>
      </c>
      <c r="D11" s="9">
        <v>1.7519E-2</v>
      </c>
      <c r="E11" s="9">
        <v>9.4479999999999998E-3</v>
      </c>
      <c r="F11" s="9">
        <v>6.7609999999999996E-3</v>
      </c>
      <c r="G11" s="8"/>
      <c r="H11" s="8"/>
      <c r="I11" s="8"/>
      <c r="J11" s="8"/>
      <c r="K11" s="8"/>
      <c r="L11" s="8"/>
      <c r="M11" s="8"/>
      <c r="N11" s="10">
        <v>1618795724</v>
      </c>
      <c r="O11" s="10">
        <v>1618795724</v>
      </c>
      <c r="P11" s="10">
        <v>873025974</v>
      </c>
      <c r="Q11" s="10">
        <v>624754674</v>
      </c>
      <c r="R11" s="8"/>
      <c r="S11" s="8"/>
      <c r="T11" s="8"/>
      <c r="U11" s="8"/>
      <c r="V11" s="8"/>
      <c r="W11" s="8"/>
      <c r="X11" s="8"/>
      <c r="Y11" s="11">
        <v>0</v>
      </c>
      <c r="Z11" s="13">
        <v>745769750</v>
      </c>
      <c r="AA11" s="13">
        <v>248271300</v>
      </c>
      <c r="AB11" s="13">
        <v>624754674</v>
      </c>
      <c r="AC11" s="8"/>
      <c r="AD11" s="8"/>
      <c r="AE11" s="8"/>
      <c r="AF11" s="8"/>
      <c r="AG11" s="8"/>
      <c r="AH11" s="8"/>
      <c r="AI11" s="8"/>
      <c r="AJ11" s="10">
        <v>9204253696338.5996</v>
      </c>
      <c r="AK11" s="10">
        <v>9204253696338.5996</v>
      </c>
      <c r="AL11" s="10">
        <v>5281807138610.7998</v>
      </c>
      <c r="AM11" s="10">
        <v>3100345072090.75</v>
      </c>
      <c r="AN11" s="8"/>
      <c r="AO11" s="8"/>
      <c r="AP11" s="8"/>
      <c r="AQ11" s="8"/>
      <c r="AR11" s="8"/>
      <c r="AS11" s="8"/>
      <c r="AT11" s="8"/>
      <c r="AU11" s="14">
        <v>45657</v>
      </c>
      <c r="AV11" s="14">
        <v>45657</v>
      </c>
      <c r="AW11" s="14">
        <v>45291</v>
      </c>
      <c r="AX11" s="14">
        <v>44926</v>
      </c>
      <c r="AY11" s="8"/>
      <c r="AZ11" s="8"/>
      <c r="BA11" s="8"/>
      <c r="BB11" s="8"/>
      <c r="BC11" s="8"/>
      <c r="BD11" s="8"/>
      <c r="BE11" s="8"/>
      <c r="BF11" s="8" t="s">
        <v>24</v>
      </c>
      <c r="BG11" s="8" t="s">
        <v>24</v>
      </c>
      <c r="BH11" s="8" t="s">
        <v>24</v>
      </c>
      <c r="BI11" s="8" t="s">
        <v>24</v>
      </c>
      <c r="BJ11" s="8"/>
      <c r="BK11" s="8"/>
      <c r="BL11" s="8"/>
      <c r="BM11" s="8"/>
      <c r="BN11" s="8"/>
      <c r="BO11" s="8"/>
      <c r="BP11" s="8"/>
      <c r="BQ11" s="8" t="s">
        <v>31</v>
      </c>
      <c r="BR11" s="8" t="s">
        <v>36</v>
      </c>
      <c r="BS11" s="10">
        <v>2439897429225090</v>
      </c>
      <c r="BT11" s="8" t="s">
        <v>41</v>
      </c>
      <c r="BU11" s="8" t="s">
        <v>27</v>
      </c>
      <c r="BV11" s="8" t="s">
        <v>42</v>
      </c>
      <c r="BW11" s="8" t="s">
        <v>42</v>
      </c>
      <c r="BX11" s="8" t="s">
        <v>43</v>
      </c>
      <c r="BY11" s="8"/>
      <c r="BZ11" s="8"/>
      <c r="CA11" s="8"/>
      <c r="CB11" s="8"/>
      <c r="CC11" s="8"/>
      <c r="CD11" s="8"/>
      <c r="CE11" s="8"/>
      <c r="CF11" s="8" t="s">
        <v>44</v>
      </c>
      <c r="CG11" s="8" t="s">
        <v>39</v>
      </c>
    </row>
    <row r="12" spans="1:85" ht="14.5" x14ac:dyDescent="0.35">
      <c r="A12" s="8">
        <v>5</v>
      </c>
      <c r="B12" s="8" t="s">
        <v>45</v>
      </c>
      <c r="C12" s="9">
        <v>1.6249E-2</v>
      </c>
      <c r="D12" s="9">
        <v>1.6249E-2</v>
      </c>
      <c r="E12" s="9">
        <v>1.6123999999999999E-2</v>
      </c>
      <c r="F12" s="9">
        <v>1.5520000000000001E-2</v>
      </c>
      <c r="G12" s="9">
        <v>1.5821000000000002E-2</v>
      </c>
      <c r="H12" s="9">
        <v>1.1091E-2</v>
      </c>
      <c r="I12" s="9">
        <v>1.2367E-2</v>
      </c>
      <c r="J12" s="9">
        <v>1.4012999999999999E-2</v>
      </c>
      <c r="K12" s="9">
        <v>1.3844E-2</v>
      </c>
      <c r="L12" s="9">
        <v>1.1828999999999999E-2</v>
      </c>
      <c r="M12" s="9">
        <v>1.1065E-2</v>
      </c>
      <c r="N12" s="10">
        <v>1501390536</v>
      </c>
      <c r="O12" s="10">
        <v>1501390536</v>
      </c>
      <c r="P12" s="10">
        <v>1489812536</v>
      </c>
      <c r="Q12" s="10">
        <v>1434087808</v>
      </c>
      <c r="R12" s="10">
        <v>1461887334</v>
      </c>
      <c r="S12" s="10">
        <v>1024812556</v>
      </c>
      <c r="T12" s="10">
        <v>1142671116</v>
      </c>
      <c r="U12" s="10">
        <v>1294772956</v>
      </c>
      <c r="V12" s="10">
        <v>1279217880</v>
      </c>
      <c r="W12" s="10">
        <v>1093034392</v>
      </c>
      <c r="X12" s="10">
        <v>1022373592</v>
      </c>
      <c r="Y12" s="11">
        <v>0</v>
      </c>
      <c r="Z12" s="13">
        <v>11578000</v>
      </c>
      <c r="AA12" s="13">
        <v>55724728</v>
      </c>
      <c r="AB12" s="12">
        <v>-27799526</v>
      </c>
      <c r="AC12" s="13">
        <v>437074778</v>
      </c>
      <c r="AD12" s="12">
        <v>-117858560</v>
      </c>
      <c r="AE12" s="12">
        <v>-152101840</v>
      </c>
      <c r="AF12" s="13">
        <v>15555076</v>
      </c>
      <c r="AG12" s="13">
        <v>186183488</v>
      </c>
      <c r="AH12" s="13">
        <v>70660800</v>
      </c>
      <c r="AI12" s="12">
        <v>-10765200</v>
      </c>
      <c r="AJ12" s="10">
        <v>8536703665369.5996</v>
      </c>
      <c r="AK12" s="10">
        <v>8536703665369.5996</v>
      </c>
      <c r="AL12" s="10">
        <v>9013365835840.6992</v>
      </c>
      <c r="AM12" s="10">
        <v>7116660752662.4502</v>
      </c>
      <c r="AN12" s="10">
        <v>5129479809165</v>
      </c>
      <c r="AO12" s="10">
        <v>3240969704762.3999</v>
      </c>
      <c r="AP12" s="10">
        <v>4372399835495.6001</v>
      </c>
      <c r="AQ12" s="10">
        <v>4715429892568.75</v>
      </c>
      <c r="AR12" s="10">
        <v>5116871520802.2998</v>
      </c>
      <c r="AS12" s="10">
        <v>3162968273595.2998</v>
      </c>
      <c r="AT12" s="10">
        <v>2365096784555.3999</v>
      </c>
      <c r="AU12" s="14">
        <v>45657</v>
      </c>
      <c r="AV12" s="14">
        <v>45657</v>
      </c>
      <c r="AW12" s="14">
        <v>45291</v>
      </c>
      <c r="AX12" s="14">
        <v>44926</v>
      </c>
      <c r="AY12" s="14">
        <v>44561</v>
      </c>
      <c r="AZ12" s="14">
        <v>44196</v>
      </c>
      <c r="BA12" s="14">
        <v>43830</v>
      </c>
      <c r="BB12" s="14">
        <v>43465</v>
      </c>
      <c r="BC12" s="14">
        <v>43100</v>
      </c>
      <c r="BD12" s="14">
        <v>42735</v>
      </c>
      <c r="BE12" s="14">
        <v>42369</v>
      </c>
      <c r="BF12" s="8" t="s">
        <v>24</v>
      </c>
      <c r="BG12" s="8" t="s">
        <v>24</v>
      </c>
      <c r="BH12" s="8" t="s">
        <v>24</v>
      </c>
      <c r="BI12" s="8" t="s">
        <v>24</v>
      </c>
      <c r="BJ12" s="8" t="s">
        <v>24</v>
      </c>
      <c r="BK12" s="8" t="s">
        <v>24</v>
      </c>
      <c r="BL12" s="8" t="s">
        <v>24</v>
      </c>
      <c r="BM12" s="8" t="s">
        <v>35</v>
      </c>
      <c r="BN12" s="8" t="s">
        <v>35</v>
      </c>
      <c r="BO12" s="8" t="s">
        <v>35</v>
      </c>
      <c r="BP12" s="8" t="s">
        <v>35</v>
      </c>
      <c r="BQ12" s="8" t="s">
        <v>31</v>
      </c>
      <c r="BR12" s="8" t="s">
        <v>36</v>
      </c>
      <c r="BS12" s="10">
        <v>1.4730963925651901E+17</v>
      </c>
      <c r="BT12" s="8" t="s">
        <v>46</v>
      </c>
      <c r="BU12" s="8" t="s">
        <v>27</v>
      </c>
      <c r="BV12" s="8" t="s">
        <v>27</v>
      </c>
      <c r="BW12" s="8" t="s">
        <v>27</v>
      </c>
      <c r="BX12" s="8" t="s">
        <v>27</v>
      </c>
      <c r="BY12" s="8" t="s">
        <v>27</v>
      </c>
      <c r="BZ12" s="8" t="s">
        <v>27</v>
      </c>
      <c r="CA12" s="8" t="s">
        <v>27</v>
      </c>
      <c r="CB12" s="8" t="s">
        <v>27</v>
      </c>
      <c r="CC12" s="8" t="s">
        <v>27</v>
      </c>
      <c r="CD12" s="8" t="s">
        <v>27</v>
      </c>
      <c r="CE12" s="8" t="s">
        <v>27</v>
      </c>
      <c r="CF12" s="8" t="s">
        <v>47</v>
      </c>
      <c r="CG12" s="8" t="s">
        <v>39</v>
      </c>
    </row>
    <row r="13" spans="1:85" ht="14.5" x14ac:dyDescent="0.35">
      <c r="A13" s="8">
        <v>6</v>
      </c>
      <c r="B13" s="8" t="s">
        <v>48</v>
      </c>
      <c r="C13" s="9">
        <v>1.0129000000000001E-2</v>
      </c>
      <c r="D13" s="9">
        <v>1.0129000000000001E-2</v>
      </c>
      <c r="E13" s="9">
        <v>1.1429999999999999E-2</v>
      </c>
      <c r="F13" s="9">
        <v>1.2685E-2</v>
      </c>
      <c r="G13" s="9">
        <v>9.6749999999999996E-3</v>
      </c>
      <c r="H13" s="9">
        <v>1.513E-3</v>
      </c>
      <c r="I13" s="9">
        <v>9.0899999999999998E-4</v>
      </c>
      <c r="J13" s="9">
        <v>1.4450000000000001E-3</v>
      </c>
      <c r="K13" s="9">
        <v>4.0700000000000003E-4</v>
      </c>
      <c r="L13" s="9">
        <v>1.717E-3</v>
      </c>
      <c r="M13" s="9">
        <v>1.1310000000000001E-3</v>
      </c>
      <c r="N13" s="10">
        <v>935959400</v>
      </c>
      <c r="O13" s="10">
        <v>935959400</v>
      </c>
      <c r="P13" s="10">
        <v>1056088400</v>
      </c>
      <c r="Q13" s="10">
        <v>1172139200</v>
      </c>
      <c r="R13" s="10">
        <v>893984718</v>
      </c>
      <c r="S13" s="10">
        <v>139801764</v>
      </c>
      <c r="T13" s="10">
        <v>83993000</v>
      </c>
      <c r="U13" s="10">
        <v>133551872</v>
      </c>
      <c r="V13" s="10">
        <v>37625200</v>
      </c>
      <c r="W13" s="10">
        <v>158628000</v>
      </c>
      <c r="X13" s="10">
        <v>104498800</v>
      </c>
      <c r="Y13" s="11">
        <v>0</v>
      </c>
      <c r="Z13" s="12">
        <v>-120129000</v>
      </c>
      <c r="AA13" s="12">
        <v>-116050800</v>
      </c>
      <c r="AB13" s="13">
        <v>278154482</v>
      </c>
      <c r="AC13" s="13">
        <v>754182954</v>
      </c>
      <c r="AD13" s="13">
        <v>55808764</v>
      </c>
      <c r="AE13" s="12">
        <v>-49558872</v>
      </c>
      <c r="AF13" s="13">
        <v>95926672</v>
      </c>
      <c r="AG13" s="12">
        <v>-121002800</v>
      </c>
      <c r="AH13" s="13">
        <v>54129200</v>
      </c>
      <c r="AI13" s="12">
        <v>-16299200</v>
      </c>
      <c r="AJ13" s="10">
        <v>5321738647572.9004</v>
      </c>
      <c r="AK13" s="10">
        <v>5321738647572.9004</v>
      </c>
      <c r="AL13" s="10">
        <v>6389334815053.9502</v>
      </c>
      <c r="AM13" s="10">
        <v>5816740784516.75</v>
      </c>
      <c r="AN13" s="10">
        <v>3136819407367.5</v>
      </c>
      <c r="AO13" s="10">
        <v>442123078129.20001</v>
      </c>
      <c r="AP13" s="10">
        <v>321396921880.40002</v>
      </c>
      <c r="AQ13" s="10">
        <v>486382177312.5</v>
      </c>
      <c r="AR13" s="10">
        <v>150500800033.89999</v>
      </c>
      <c r="AS13" s="10">
        <v>459029775290.40002</v>
      </c>
      <c r="AT13" s="10">
        <v>241741157858.10001</v>
      </c>
      <c r="AU13" s="14">
        <v>45657</v>
      </c>
      <c r="AV13" s="14">
        <v>45657</v>
      </c>
      <c r="AW13" s="14">
        <v>45291</v>
      </c>
      <c r="AX13" s="14">
        <v>44926</v>
      </c>
      <c r="AY13" s="14">
        <v>44561</v>
      </c>
      <c r="AZ13" s="14">
        <v>44196</v>
      </c>
      <c r="BA13" s="14">
        <v>43830</v>
      </c>
      <c r="BB13" s="14">
        <v>43465</v>
      </c>
      <c r="BC13" s="14">
        <v>43100</v>
      </c>
      <c r="BD13" s="14">
        <v>42735</v>
      </c>
      <c r="BE13" s="14">
        <v>42369</v>
      </c>
      <c r="BF13" s="8" t="s">
        <v>24</v>
      </c>
      <c r="BG13" s="8" t="s">
        <v>24</v>
      </c>
      <c r="BH13" s="8" t="s">
        <v>24</v>
      </c>
      <c r="BI13" s="8" t="s">
        <v>24</v>
      </c>
      <c r="BJ13" s="8" t="s">
        <v>35</v>
      </c>
      <c r="BK13" s="8" t="s">
        <v>35</v>
      </c>
      <c r="BL13" s="8" t="s">
        <v>35</v>
      </c>
      <c r="BM13" s="8" t="s">
        <v>35</v>
      </c>
      <c r="BN13" s="8" t="s">
        <v>35</v>
      </c>
      <c r="BO13" s="8" t="s">
        <v>35</v>
      </c>
      <c r="BP13" s="8" t="s">
        <v>35</v>
      </c>
      <c r="BQ13" s="8" t="s">
        <v>31</v>
      </c>
      <c r="BR13" s="8" t="s">
        <v>49</v>
      </c>
      <c r="BS13" s="10">
        <v>3080126203929300</v>
      </c>
      <c r="BT13" s="8" t="s">
        <v>41</v>
      </c>
      <c r="BU13" s="8" t="s">
        <v>27</v>
      </c>
      <c r="BV13" s="8" t="s">
        <v>27</v>
      </c>
      <c r="BW13" s="8" t="s">
        <v>27</v>
      </c>
      <c r="BX13" s="8" t="s">
        <v>42</v>
      </c>
      <c r="BY13" s="8" t="s">
        <v>42</v>
      </c>
      <c r="BZ13" s="8" t="s">
        <v>42</v>
      </c>
      <c r="CA13" s="8" t="s">
        <v>27</v>
      </c>
      <c r="CB13" s="8" t="s">
        <v>27</v>
      </c>
      <c r="CC13" s="8" t="s">
        <v>27</v>
      </c>
      <c r="CD13" s="8" t="s">
        <v>42</v>
      </c>
      <c r="CE13" s="8" t="s">
        <v>42</v>
      </c>
      <c r="CF13" s="8" t="s">
        <v>50</v>
      </c>
      <c r="CG13" s="8" t="s">
        <v>51</v>
      </c>
    </row>
    <row r="14" spans="1:85" ht="14.5" x14ac:dyDescent="0.35">
      <c r="A14" s="8">
        <v>7</v>
      </c>
      <c r="B14" s="8" t="s">
        <v>52</v>
      </c>
      <c r="C14" s="9">
        <v>9.7400000000000004E-3</v>
      </c>
      <c r="D14" s="9">
        <v>1.5219999999999999E-3</v>
      </c>
      <c r="E14" s="9">
        <v>7.0200000000000002E-3</v>
      </c>
      <c r="F14" s="9">
        <v>6.5030000000000001E-3</v>
      </c>
      <c r="G14" s="9">
        <v>7.8440000000000003E-3</v>
      </c>
      <c r="H14" s="9">
        <v>5.64E-3</v>
      </c>
      <c r="I14" s="9">
        <v>7.3489999999999996E-3</v>
      </c>
      <c r="J14" s="9">
        <v>5.8300000000000001E-3</v>
      </c>
      <c r="K14" s="9">
        <v>2.9919999999999999E-3</v>
      </c>
      <c r="L14" s="9">
        <v>1.6119999999999999E-3</v>
      </c>
      <c r="M14" s="9">
        <v>1.6119999999999999E-3</v>
      </c>
      <c r="N14" s="10">
        <v>899980638</v>
      </c>
      <c r="O14" s="10">
        <v>140618521</v>
      </c>
      <c r="P14" s="10">
        <v>648677629</v>
      </c>
      <c r="Q14" s="10">
        <v>600899564</v>
      </c>
      <c r="R14" s="10">
        <v>724783952</v>
      </c>
      <c r="S14" s="10">
        <v>521176580</v>
      </c>
      <c r="T14" s="10">
        <v>679024804</v>
      </c>
      <c r="U14" s="10">
        <v>538703024</v>
      </c>
      <c r="V14" s="10">
        <v>276476148</v>
      </c>
      <c r="W14" s="10">
        <v>148972972</v>
      </c>
      <c r="X14" s="10">
        <v>148972972</v>
      </c>
      <c r="Y14" s="13">
        <v>759362117</v>
      </c>
      <c r="Z14" s="12">
        <v>-508059108</v>
      </c>
      <c r="AA14" s="13">
        <v>47778065</v>
      </c>
      <c r="AB14" s="12">
        <v>-123884388</v>
      </c>
      <c r="AC14" s="13">
        <v>203607372</v>
      </c>
      <c r="AD14" s="12">
        <v>-157848224</v>
      </c>
      <c r="AE14" s="13">
        <v>140321780</v>
      </c>
      <c r="AF14" s="13">
        <v>262226876</v>
      </c>
      <c r="AG14" s="13">
        <v>127503176</v>
      </c>
      <c r="AH14" s="11">
        <v>0</v>
      </c>
      <c r="AI14" s="12">
        <v>-57554908</v>
      </c>
      <c r="AJ14" s="10">
        <v>4674252377390.75</v>
      </c>
      <c r="AK14" s="10">
        <v>799537904981.09998</v>
      </c>
      <c r="AL14" s="10">
        <v>3924499652371.3501</v>
      </c>
      <c r="AM14" s="10">
        <v>2981964088644.75</v>
      </c>
      <c r="AN14" s="10">
        <v>2543126656410</v>
      </c>
      <c r="AO14" s="10">
        <v>1289912036319.3999</v>
      </c>
      <c r="AP14" s="10">
        <v>2598269878178.3999</v>
      </c>
      <c r="AQ14" s="10">
        <v>1961900988712.5</v>
      </c>
      <c r="AR14" s="10">
        <v>808692732900.87</v>
      </c>
      <c r="AS14" s="10">
        <v>344624997932.25</v>
      </c>
      <c r="AT14" s="10">
        <v>344624997932.25</v>
      </c>
      <c r="AU14" s="14">
        <v>45747</v>
      </c>
      <c r="AV14" s="14">
        <v>45657</v>
      </c>
      <c r="AW14" s="14">
        <v>45291</v>
      </c>
      <c r="AX14" s="14">
        <v>44926</v>
      </c>
      <c r="AY14" s="14">
        <v>44561</v>
      </c>
      <c r="AZ14" s="14">
        <v>44012</v>
      </c>
      <c r="BA14" s="14">
        <v>43830</v>
      </c>
      <c r="BB14" s="14">
        <v>43465</v>
      </c>
      <c r="BC14" s="14">
        <v>42825</v>
      </c>
      <c r="BD14" s="14">
        <v>42369</v>
      </c>
      <c r="BE14" s="14">
        <v>42369</v>
      </c>
      <c r="BF14" s="8" t="s">
        <v>35</v>
      </c>
      <c r="BG14" s="8" t="s">
        <v>35</v>
      </c>
      <c r="BH14" s="8" t="s">
        <v>35</v>
      </c>
      <c r="BI14" s="8" t="s">
        <v>35</v>
      </c>
      <c r="BJ14" s="8" t="s">
        <v>35</v>
      </c>
      <c r="BK14" s="8" t="s">
        <v>35</v>
      </c>
      <c r="BL14" s="8" t="s">
        <v>35</v>
      </c>
      <c r="BM14" s="8" t="s">
        <v>35</v>
      </c>
      <c r="BN14" s="8" t="s">
        <v>35</v>
      </c>
      <c r="BO14" s="8" t="s">
        <v>35</v>
      </c>
      <c r="BP14" s="8" t="s">
        <v>35</v>
      </c>
      <c r="BQ14" s="8" t="s">
        <v>31</v>
      </c>
      <c r="BR14" s="8" t="s">
        <v>53</v>
      </c>
      <c r="BS14" s="10">
        <v>2206633037369480</v>
      </c>
      <c r="BT14" s="8" t="s">
        <v>41</v>
      </c>
      <c r="BU14" s="8" t="s">
        <v>27</v>
      </c>
      <c r="BV14" s="8" t="s">
        <v>27</v>
      </c>
      <c r="BW14" s="8" t="s">
        <v>27</v>
      </c>
      <c r="BX14" s="8" t="s">
        <v>27</v>
      </c>
      <c r="BY14" s="8" t="s">
        <v>27</v>
      </c>
      <c r="BZ14" s="8" t="s">
        <v>27</v>
      </c>
      <c r="CA14" s="8" t="s">
        <v>27</v>
      </c>
      <c r="CB14" s="8" t="s">
        <v>27</v>
      </c>
      <c r="CC14" s="8" t="s">
        <v>27</v>
      </c>
      <c r="CD14" s="8" t="s">
        <v>27</v>
      </c>
      <c r="CE14" s="8" t="s">
        <v>27</v>
      </c>
      <c r="CF14" s="8" t="s">
        <v>54</v>
      </c>
      <c r="CG14" s="8" t="s">
        <v>55</v>
      </c>
    </row>
    <row r="15" spans="1:85" ht="14.5" x14ac:dyDescent="0.35">
      <c r="A15" s="8">
        <v>8</v>
      </c>
      <c r="B15" s="8" t="s">
        <v>56</v>
      </c>
      <c r="C15" s="9">
        <v>9.1109999999999993E-3</v>
      </c>
      <c r="D15" s="9">
        <v>9.1109999999999993E-3</v>
      </c>
      <c r="E15" s="9">
        <v>5.1260000000000003E-3</v>
      </c>
      <c r="F15" s="9">
        <v>6.9670000000000001E-3</v>
      </c>
      <c r="G15" s="9">
        <v>3.9139999999999999E-3</v>
      </c>
      <c r="H15" s="9">
        <v>8.463E-3</v>
      </c>
      <c r="I15" s="9">
        <v>8.5190000000000005E-3</v>
      </c>
      <c r="J15" s="8"/>
      <c r="K15" s="8"/>
      <c r="L15" s="8"/>
      <c r="M15" s="8"/>
      <c r="N15" s="10">
        <v>841881400</v>
      </c>
      <c r="O15" s="10">
        <v>841881400</v>
      </c>
      <c r="P15" s="10">
        <v>473609000</v>
      </c>
      <c r="Q15" s="10">
        <v>643723400</v>
      </c>
      <c r="R15" s="10">
        <v>361670030</v>
      </c>
      <c r="S15" s="10">
        <v>781949630</v>
      </c>
      <c r="T15" s="10">
        <v>787129630</v>
      </c>
      <c r="U15" s="8"/>
      <c r="V15" s="8"/>
      <c r="W15" s="8"/>
      <c r="X15" s="8"/>
      <c r="Y15" s="11">
        <v>0</v>
      </c>
      <c r="Z15" s="13">
        <v>368272400</v>
      </c>
      <c r="AA15" s="12">
        <v>-170114400</v>
      </c>
      <c r="AB15" s="13">
        <v>282053370</v>
      </c>
      <c r="AC15" s="12">
        <v>-420279600</v>
      </c>
      <c r="AD15" s="12">
        <v>-5180000</v>
      </c>
      <c r="AE15" s="13">
        <v>787129630</v>
      </c>
      <c r="AF15" s="8"/>
      <c r="AG15" s="8"/>
      <c r="AH15" s="8"/>
      <c r="AI15" s="8"/>
      <c r="AJ15" s="10">
        <v>4786823854871.5</v>
      </c>
      <c r="AK15" s="10">
        <v>4786823854871.5</v>
      </c>
      <c r="AL15" s="10">
        <v>2865334447807.2002</v>
      </c>
      <c r="AM15" s="10">
        <v>3194477374878.8999</v>
      </c>
      <c r="AN15" s="10">
        <v>1269030159427.5</v>
      </c>
      <c r="AO15" s="10">
        <v>2472915702160.7998</v>
      </c>
      <c r="AP15" s="10">
        <v>3011930044045.2002</v>
      </c>
      <c r="AQ15" s="8"/>
      <c r="AR15" s="8"/>
      <c r="AS15" s="8"/>
      <c r="AT15" s="8"/>
      <c r="AU15" s="14">
        <v>45657</v>
      </c>
      <c r="AV15" s="14">
        <v>45657</v>
      </c>
      <c r="AW15" s="14">
        <v>45291</v>
      </c>
      <c r="AX15" s="14">
        <v>44926</v>
      </c>
      <c r="AY15" s="14">
        <v>44561</v>
      </c>
      <c r="AZ15" s="14">
        <v>44196</v>
      </c>
      <c r="BA15" s="14">
        <v>43830</v>
      </c>
      <c r="BB15" s="8"/>
      <c r="BC15" s="8"/>
      <c r="BD15" s="8"/>
      <c r="BE15" s="8"/>
      <c r="BF15" s="8" t="s">
        <v>24</v>
      </c>
      <c r="BG15" s="8" t="s">
        <v>24</v>
      </c>
      <c r="BH15" s="8" t="s">
        <v>24</v>
      </c>
      <c r="BI15" s="8" t="s">
        <v>24</v>
      </c>
      <c r="BJ15" s="8" t="s">
        <v>24</v>
      </c>
      <c r="BK15" s="8" t="s">
        <v>24</v>
      </c>
      <c r="BL15" s="8" t="s">
        <v>24</v>
      </c>
      <c r="BM15" s="8"/>
      <c r="BN15" s="8"/>
      <c r="BO15" s="8"/>
      <c r="BP15" s="8"/>
      <c r="BQ15" s="8" t="s">
        <v>31</v>
      </c>
      <c r="BR15" s="8" t="s">
        <v>53</v>
      </c>
      <c r="BS15" s="10">
        <v>867519996071542</v>
      </c>
      <c r="BT15" s="8" t="s">
        <v>57</v>
      </c>
      <c r="BU15" s="8" t="s">
        <v>27</v>
      </c>
      <c r="BV15" s="8" t="s">
        <v>27</v>
      </c>
      <c r="BW15" s="8" t="s">
        <v>27</v>
      </c>
      <c r="BX15" s="8" t="s">
        <v>27</v>
      </c>
      <c r="BY15" s="8" t="s">
        <v>27</v>
      </c>
      <c r="BZ15" s="8" t="s">
        <v>27</v>
      </c>
      <c r="CA15" s="8" t="s">
        <v>27</v>
      </c>
      <c r="CB15" s="8"/>
      <c r="CC15" s="8"/>
      <c r="CD15" s="8"/>
      <c r="CE15" s="8"/>
      <c r="CF15" s="8" t="s">
        <v>58</v>
      </c>
      <c r="CG15" s="8" t="s">
        <v>59</v>
      </c>
    </row>
    <row r="16" spans="1:85" ht="14.5" x14ac:dyDescent="0.35">
      <c r="A16" s="8">
        <v>9</v>
      </c>
      <c r="B16" s="8" t="s">
        <v>60</v>
      </c>
      <c r="C16" s="9">
        <v>8.097E-3</v>
      </c>
      <c r="D16" s="9">
        <v>6.3550000000000004E-3</v>
      </c>
      <c r="E16" s="9">
        <v>5.6759999999999996E-3</v>
      </c>
      <c r="F16" s="9">
        <v>5.5170000000000002E-3</v>
      </c>
      <c r="G16" s="9">
        <v>2.696E-3</v>
      </c>
      <c r="H16" s="9">
        <v>7.3689999999999997E-3</v>
      </c>
      <c r="I16" s="9">
        <v>6.1159999999999999E-3</v>
      </c>
      <c r="J16" s="9">
        <v>6.6620000000000004E-3</v>
      </c>
      <c r="K16" s="9">
        <v>1.1157E-2</v>
      </c>
      <c r="L16" s="9">
        <v>8.1679999999999999E-3</v>
      </c>
      <c r="M16" s="9">
        <v>8.4030000000000007E-3</v>
      </c>
      <c r="N16" s="10">
        <v>748192814</v>
      </c>
      <c r="O16" s="10">
        <v>587219199</v>
      </c>
      <c r="P16" s="10">
        <v>524456575</v>
      </c>
      <c r="Q16" s="10">
        <v>509772328</v>
      </c>
      <c r="R16" s="10">
        <v>249134448</v>
      </c>
      <c r="S16" s="10">
        <v>680888658</v>
      </c>
      <c r="T16" s="10">
        <v>565081190</v>
      </c>
      <c r="U16" s="10">
        <v>615574856</v>
      </c>
      <c r="V16" s="10">
        <v>1030881632</v>
      </c>
      <c r="W16" s="10">
        <v>754762756</v>
      </c>
      <c r="X16" s="10">
        <v>776396756</v>
      </c>
      <c r="Y16" s="13">
        <v>160973615</v>
      </c>
      <c r="Z16" s="13">
        <v>62762624</v>
      </c>
      <c r="AA16" s="13">
        <v>14684247</v>
      </c>
      <c r="AB16" s="13">
        <v>260637880</v>
      </c>
      <c r="AC16" s="12">
        <v>-431754210</v>
      </c>
      <c r="AD16" s="13">
        <v>115807468</v>
      </c>
      <c r="AE16" s="12">
        <v>-50493666</v>
      </c>
      <c r="AF16" s="12">
        <v>-415306776</v>
      </c>
      <c r="AG16" s="13">
        <v>276118876</v>
      </c>
      <c r="AH16" s="12">
        <v>-21634000</v>
      </c>
      <c r="AI16" s="12">
        <v>-291401500</v>
      </c>
      <c r="AJ16" s="10">
        <v>3658168194075</v>
      </c>
      <c r="AK16" s="10">
        <v>3338848999190.7998</v>
      </c>
      <c r="AL16" s="10">
        <v>3172962276369.25</v>
      </c>
      <c r="AM16" s="10">
        <v>2529745179605.6001</v>
      </c>
      <c r="AN16" s="10">
        <v>874164575482.5</v>
      </c>
      <c r="AO16" s="10">
        <v>2153310378523.2</v>
      </c>
      <c r="AP16" s="10">
        <v>2162267749352.8</v>
      </c>
      <c r="AQ16" s="10">
        <v>2241860291943.75</v>
      </c>
      <c r="AR16" s="10">
        <v>4123526528579.8501</v>
      </c>
      <c r="AS16" s="10">
        <v>2184094726394.1001</v>
      </c>
      <c r="AT16" s="10">
        <v>1796068957198.8</v>
      </c>
      <c r="AU16" s="14">
        <v>45838</v>
      </c>
      <c r="AV16" s="14">
        <v>45657</v>
      </c>
      <c r="AW16" s="14">
        <v>45291</v>
      </c>
      <c r="AX16" s="14">
        <v>44926</v>
      </c>
      <c r="AY16" s="14">
        <v>44561</v>
      </c>
      <c r="AZ16" s="14">
        <v>44196</v>
      </c>
      <c r="BA16" s="14">
        <v>43830</v>
      </c>
      <c r="BB16" s="14">
        <v>43465</v>
      </c>
      <c r="BC16" s="14">
        <v>43100</v>
      </c>
      <c r="BD16" s="14">
        <v>42735</v>
      </c>
      <c r="BE16" s="14">
        <v>42369</v>
      </c>
      <c r="BF16" s="8" t="s">
        <v>35</v>
      </c>
      <c r="BG16" s="8" t="s">
        <v>35</v>
      </c>
      <c r="BH16" s="8" t="s">
        <v>35</v>
      </c>
      <c r="BI16" s="8" t="s">
        <v>35</v>
      </c>
      <c r="BJ16" s="8" t="s">
        <v>35</v>
      </c>
      <c r="BK16" s="8" t="s">
        <v>35</v>
      </c>
      <c r="BL16" s="8" t="s">
        <v>35</v>
      </c>
      <c r="BM16" s="8" t="s">
        <v>35</v>
      </c>
      <c r="BN16" s="8" t="s">
        <v>35</v>
      </c>
      <c r="BO16" s="8" t="s">
        <v>35</v>
      </c>
      <c r="BP16" s="8" t="s">
        <v>35</v>
      </c>
      <c r="BQ16" s="8" t="s">
        <v>31</v>
      </c>
      <c r="BR16" s="8" t="s">
        <v>32</v>
      </c>
      <c r="BS16" s="10">
        <v>2.30676479405298E+16</v>
      </c>
      <c r="BT16" s="8" t="s">
        <v>61</v>
      </c>
      <c r="BU16" s="8" t="s">
        <v>27</v>
      </c>
      <c r="BV16" s="8" t="s">
        <v>27</v>
      </c>
      <c r="BW16" s="8" t="s">
        <v>27</v>
      </c>
      <c r="BX16" s="8" t="s">
        <v>27</v>
      </c>
      <c r="BY16" s="8" t="s">
        <v>27</v>
      </c>
      <c r="BZ16" s="8" t="s">
        <v>27</v>
      </c>
      <c r="CA16" s="8" t="s">
        <v>27</v>
      </c>
      <c r="CB16" s="8" t="s">
        <v>27</v>
      </c>
      <c r="CC16" s="8" t="s">
        <v>27</v>
      </c>
      <c r="CD16" s="8" t="s">
        <v>27</v>
      </c>
      <c r="CE16" s="8" t="s">
        <v>27</v>
      </c>
      <c r="CF16" s="8" t="s">
        <v>62</v>
      </c>
      <c r="CG16" s="8" t="s">
        <v>63</v>
      </c>
    </row>
    <row r="17" spans="1:85" ht="14.5" x14ac:dyDescent="0.35">
      <c r="A17" s="8">
        <v>10</v>
      </c>
      <c r="B17" s="8" t="s">
        <v>64</v>
      </c>
      <c r="C17" s="9">
        <v>7.9959999999999996E-3</v>
      </c>
      <c r="D17" s="9">
        <v>7.9959999999999996E-3</v>
      </c>
      <c r="E17" s="9">
        <v>9.3729999999999994E-3</v>
      </c>
      <c r="F17" s="9">
        <v>1.1795999999999999E-2</v>
      </c>
      <c r="G17" s="9">
        <v>3.6640000000000002E-3</v>
      </c>
      <c r="H17" s="9">
        <v>4.7710000000000001E-3</v>
      </c>
      <c r="I17" s="9">
        <v>1.1795999999999999E-2</v>
      </c>
      <c r="J17" s="8"/>
      <c r="K17" s="8"/>
      <c r="L17" s="8"/>
      <c r="M17" s="8"/>
      <c r="N17" s="10">
        <v>738856528</v>
      </c>
      <c r="O17" s="10">
        <v>738856528</v>
      </c>
      <c r="P17" s="10">
        <v>866033828</v>
      </c>
      <c r="Q17" s="10">
        <v>1089981828</v>
      </c>
      <c r="R17" s="10">
        <v>338589428</v>
      </c>
      <c r="S17" s="10">
        <v>440873352</v>
      </c>
      <c r="T17" s="10">
        <v>1089916092</v>
      </c>
      <c r="U17" s="8"/>
      <c r="V17" s="8"/>
      <c r="W17" s="8"/>
      <c r="X17" s="8"/>
      <c r="Y17" s="11">
        <v>0</v>
      </c>
      <c r="Z17" s="12">
        <v>-127177300</v>
      </c>
      <c r="AA17" s="12">
        <v>-223948000</v>
      </c>
      <c r="AB17" s="13">
        <v>751392400</v>
      </c>
      <c r="AC17" s="12">
        <v>-102283924</v>
      </c>
      <c r="AD17" s="12">
        <v>-649042740</v>
      </c>
      <c r="AE17" s="13">
        <v>1089916092</v>
      </c>
      <c r="AF17" s="8"/>
      <c r="AG17" s="8"/>
      <c r="AH17" s="8"/>
      <c r="AI17" s="8"/>
      <c r="AJ17" s="10">
        <v>4201038357111.7998</v>
      </c>
      <c r="AK17" s="10">
        <v>4201038357111.7998</v>
      </c>
      <c r="AL17" s="10">
        <v>5239504655388</v>
      </c>
      <c r="AM17" s="10">
        <v>5409034825598.7998</v>
      </c>
      <c r="AN17" s="10">
        <v>1188044792557.5</v>
      </c>
      <c r="AO17" s="10">
        <v>1394261974216.8</v>
      </c>
      <c r="AP17" s="10">
        <v>4170534176143.6001</v>
      </c>
      <c r="AQ17" s="8"/>
      <c r="AR17" s="8"/>
      <c r="AS17" s="8"/>
      <c r="AT17" s="8"/>
      <c r="AU17" s="14">
        <v>45657</v>
      </c>
      <c r="AV17" s="14">
        <v>45657</v>
      </c>
      <c r="AW17" s="14">
        <v>45291</v>
      </c>
      <c r="AX17" s="14">
        <v>44926</v>
      </c>
      <c r="AY17" s="14">
        <v>44561</v>
      </c>
      <c r="AZ17" s="14">
        <v>44196</v>
      </c>
      <c r="BA17" s="14">
        <v>43830</v>
      </c>
      <c r="BB17" s="8"/>
      <c r="BC17" s="8"/>
      <c r="BD17" s="8"/>
      <c r="BE17" s="8"/>
      <c r="BF17" s="8" t="s">
        <v>24</v>
      </c>
      <c r="BG17" s="8" t="s">
        <v>24</v>
      </c>
      <c r="BH17" s="8" t="s">
        <v>24</v>
      </c>
      <c r="BI17" s="8" t="s">
        <v>24</v>
      </c>
      <c r="BJ17" s="8" t="s">
        <v>24</v>
      </c>
      <c r="BK17" s="8" t="s">
        <v>24</v>
      </c>
      <c r="BL17" s="8" t="s">
        <v>24</v>
      </c>
      <c r="BM17" s="8"/>
      <c r="BN17" s="8"/>
      <c r="BO17" s="8"/>
      <c r="BP17" s="8"/>
      <c r="BQ17" s="8" t="s">
        <v>31</v>
      </c>
      <c r="BR17" s="8" t="s">
        <v>32</v>
      </c>
      <c r="BS17" s="10">
        <v>1896425150807240</v>
      </c>
      <c r="BT17" s="8" t="s">
        <v>61</v>
      </c>
      <c r="BU17" s="8" t="s">
        <v>27</v>
      </c>
      <c r="BV17" s="8" t="s">
        <v>27</v>
      </c>
      <c r="BW17" s="8" t="s">
        <v>27</v>
      </c>
      <c r="BX17" s="8" t="s">
        <v>27</v>
      </c>
      <c r="BY17" s="8" t="s">
        <v>27</v>
      </c>
      <c r="BZ17" s="8" t="s">
        <v>27</v>
      </c>
      <c r="CA17" s="8" t="s">
        <v>27</v>
      </c>
      <c r="CB17" s="8"/>
      <c r="CC17" s="8"/>
      <c r="CD17" s="8"/>
      <c r="CE17" s="8"/>
      <c r="CF17" s="8" t="s">
        <v>65</v>
      </c>
      <c r="CG17" s="8" t="s">
        <v>65</v>
      </c>
    </row>
    <row r="18" spans="1:85" ht="14.5" x14ac:dyDescent="0.35">
      <c r="A18" s="8">
        <v>11</v>
      </c>
      <c r="B18" s="8" t="s">
        <v>66</v>
      </c>
      <c r="C18" s="9">
        <v>4.7699999999999999E-3</v>
      </c>
      <c r="D18" s="9">
        <v>2.3649999999999999E-3</v>
      </c>
      <c r="E18" s="9">
        <v>2.568E-3</v>
      </c>
      <c r="F18" s="9">
        <v>8.1400000000000005E-4</v>
      </c>
      <c r="G18" s="8"/>
      <c r="H18" s="8"/>
      <c r="I18" s="8"/>
      <c r="J18" s="8"/>
      <c r="K18" s="8"/>
      <c r="L18" s="9">
        <v>3.4280000000000001E-3</v>
      </c>
      <c r="M18" s="9">
        <v>3.4280000000000001E-3</v>
      </c>
      <c r="N18" s="10">
        <v>440737150</v>
      </c>
      <c r="O18" s="10">
        <v>218540031</v>
      </c>
      <c r="P18" s="10">
        <v>237253457</v>
      </c>
      <c r="Q18" s="10">
        <v>75208650</v>
      </c>
      <c r="R18" s="8"/>
      <c r="S18" s="8"/>
      <c r="T18" s="8"/>
      <c r="U18" s="8"/>
      <c r="V18" s="8"/>
      <c r="W18" s="10">
        <v>316772040</v>
      </c>
      <c r="X18" s="10">
        <v>316772040</v>
      </c>
      <c r="Y18" s="13">
        <v>222197119</v>
      </c>
      <c r="Z18" s="12">
        <v>-18713426</v>
      </c>
      <c r="AA18" s="13">
        <v>162044807</v>
      </c>
      <c r="AB18" s="13">
        <v>75208650</v>
      </c>
      <c r="AC18" s="8"/>
      <c r="AD18" s="8"/>
      <c r="AE18" s="8"/>
      <c r="AF18" s="8"/>
      <c r="AG18" s="8"/>
      <c r="AH18" s="11">
        <v>0</v>
      </c>
      <c r="AI18" s="11">
        <v>0</v>
      </c>
      <c r="AJ18" s="10">
        <v>1938661631370.8</v>
      </c>
      <c r="AK18" s="10">
        <v>1242589079192.5</v>
      </c>
      <c r="AL18" s="10">
        <v>1435383413787.3501</v>
      </c>
      <c r="AM18" s="10">
        <v>373222925916.5</v>
      </c>
      <c r="AN18" s="8"/>
      <c r="AO18" s="8"/>
      <c r="AP18" s="8"/>
      <c r="AQ18" s="8"/>
      <c r="AR18" s="8"/>
      <c r="AS18" s="10">
        <v>851324858121.59998</v>
      </c>
      <c r="AT18" s="10">
        <v>851324858121.59998</v>
      </c>
      <c r="AU18" s="14">
        <v>45930</v>
      </c>
      <c r="AV18" s="14">
        <v>45657</v>
      </c>
      <c r="AW18" s="14">
        <v>45291</v>
      </c>
      <c r="AX18" s="14">
        <v>44926</v>
      </c>
      <c r="AY18" s="8"/>
      <c r="AZ18" s="8"/>
      <c r="BA18" s="8"/>
      <c r="BB18" s="8"/>
      <c r="BC18" s="8"/>
      <c r="BD18" s="14">
        <v>42114</v>
      </c>
      <c r="BE18" s="14">
        <v>42114</v>
      </c>
      <c r="BF18" s="8" t="s">
        <v>35</v>
      </c>
      <c r="BG18" s="8" t="s">
        <v>35</v>
      </c>
      <c r="BH18" s="8" t="s">
        <v>35</v>
      </c>
      <c r="BI18" s="8" t="s">
        <v>35</v>
      </c>
      <c r="BJ18" s="8"/>
      <c r="BK18" s="8"/>
      <c r="BL18" s="8"/>
      <c r="BM18" s="8"/>
      <c r="BN18" s="8"/>
      <c r="BO18" s="8" t="s">
        <v>35</v>
      </c>
      <c r="BP18" s="8" t="s">
        <v>35</v>
      </c>
      <c r="BQ18" s="8" t="s">
        <v>31</v>
      </c>
      <c r="BR18" s="8" t="s">
        <v>36</v>
      </c>
      <c r="BS18" s="10">
        <v>373234029114289</v>
      </c>
      <c r="BT18" s="8" t="s">
        <v>67</v>
      </c>
      <c r="BU18" s="8" t="s">
        <v>27</v>
      </c>
      <c r="BV18" s="8" t="s">
        <v>42</v>
      </c>
      <c r="BW18" s="8" t="s">
        <v>42</v>
      </c>
      <c r="BX18" s="8" t="s">
        <v>42</v>
      </c>
      <c r="BY18" s="8"/>
      <c r="BZ18" s="8"/>
      <c r="CA18" s="8"/>
      <c r="CB18" s="8"/>
      <c r="CC18" s="8"/>
      <c r="CD18" s="8" t="s">
        <v>27</v>
      </c>
      <c r="CE18" s="8" t="s">
        <v>42</v>
      </c>
      <c r="CF18" s="8" t="s">
        <v>65</v>
      </c>
      <c r="CG18" s="8" t="s">
        <v>65</v>
      </c>
    </row>
    <row r="19" spans="1:85" ht="14.5" x14ac:dyDescent="0.35">
      <c r="A19" s="8">
        <v>12</v>
      </c>
      <c r="B19" s="8" t="s">
        <v>68</v>
      </c>
      <c r="C19" s="9">
        <v>3.6410000000000001E-3</v>
      </c>
      <c r="D19" s="9">
        <v>2.6879999999999999E-3</v>
      </c>
      <c r="E19" s="9">
        <v>2.4780000000000002E-3</v>
      </c>
      <c r="F19" s="8"/>
      <c r="G19" s="8"/>
      <c r="H19" s="8"/>
      <c r="I19" s="8"/>
      <c r="J19" s="8"/>
      <c r="K19" s="8"/>
      <c r="L19" s="8"/>
      <c r="M19" s="8"/>
      <c r="N19" s="10">
        <v>336406206</v>
      </c>
      <c r="O19" s="10">
        <v>248413506</v>
      </c>
      <c r="P19" s="10">
        <v>229011306</v>
      </c>
      <c r="Q19" s="8"/>
      <c r="R19" s="8"/>
      <c r="S19" s="8"/>
      <c r="T19" s="8"/>
      <c r="U19" s="8"/>
      <c r="V19" s="8"/>
      <c r="W19" s="8"/>
      <c r="X19" s="8"/>
      <c r="Y19" s="13">
        <v>87992700</v>
      </c>
      <c r="Z19" s="13">
        <v>19402200</v>
      </c>
      <c r="AA19" s="13">
        <v>229011306</v>
      </c>
      <c r="AB19" s="8"/>
      <c r="AC19" s="8"/>
      <c r="AD19" s="8"/>
      <c r="AE19" s="8"/>
      <c r="AF19" s="8"/>
      <c r="AG19" s="8"/>
      <c r="AH19" s="8"/>
      <c r="AI19" s="8"/>
      <c r="AJ19" s="10">
        <v>1479743207863.2</v>
      </c>
      <c r="AK19" s="10">
        <v>1412445620491.8999</v>
      </c>
      <c r="AL19" s="10">
        <v>1385518400223</v>
      </c>
      <c r="AM19" s="8"/>
      <c r="AN19" s="8"/>
      <c r="AO19" s="8"/>
      <c r="AP19" s="8"/>
      <c r="AQ19" s="8"/>
      <c r="AR19" s="8"/>
      <c r="AS19" s="8"/>
      <c r="AT19" s="8"/>
      <c r="AU19" s="14">
        <v>45930</v>
      </c>
      <c r="AV19" s="14">
        <v>45657</v>
      </c>
      <c r="AW19" s="14">
        <v>45291</v>
      </c>
      <c r="AX19" s="8"/>
      <c r="AY19" s="8"/>
      <c r="AZ19" s="8"/>
      <c r="BA19" s="8"/>
      <c r="BB19" s="8"/>
      <c r="BC19" s="8"/>
      <c r="BD19" s="8"/>
      <c r="BE19" s="8"/>
      <c r="BF19" s="8" t="s">
        <v>35</v>
      </c>
      <c r="BG19" s="8" t="s">
        <v>35</v>
      </c>
      <c r="BH19" s="8" t="s">
        <v>35</v>
      </c>
      <c r="BI19" s="8"/>
      <c r="BJ19" s="8"/>
      <c r="BK19" s="8"/>
      <c r="BL19" s="8"/>
      <c r="BM19" s="8"/>
      <c r="BN19" s="8"/>
      <c r="BO19" s="8"/>
      <c r="BP19" s="8"/>
      <c r="BQ19" s="8" t="s">
        <v>31</v>
      </c>
      <c r="BR19" s="8" t="s">
        <v>49</v>
      </c>
      <c r="BS19" s="10">
        <v>6302740322591360</v>
      </c>
      <c r="BT19" s="8" t="s">
        <v>46</v>
      </c>
      <c r="BU19" s="8" t="s">
        <v>27</v>
      </c>
      <c r="BV19" s="8" t="s">
        <v>27</v>
      </c>
      <c r="BW19" s="8" t="s">
        <v>27</v>
      </c>
      <c r="BX19" s="8"/>
      <c r="BY19" s="8"/>
      <c r="BZ19" s="8"/>
      <c r="CA19" s="8"/>
      <c r="CB19" s="8"/>
      <c r="CC19" s="8"/>
      <c r="CD19" s="8"/>
      <c r="CE19" s="8"/>
      <c r="CF19" s="8" t="s">
        <v>50</v>
      </c>
      <c r="CG19" s="8" t="s">
        <v>51</v>
      </c>
    </row>
    <row r="20" spans="1:85" ht="14.5" x14ac:dyDescent="0.35">
      <c r="A20" s="8">
        <v>13</v>
      </c>
      <c r="B20" s="8" t="s">
        <v>69</v>
      </c>
      <c r="C20" s="9">
        <v>3.5669999999999999E-3</v>
      </c>
      <c r="D20" s="9">
        <v>2.9999999999999997E-4</v>
      </c>
      <c r="E20" s="9">
        <v>3.8299999999999999E-4</v>
      </c>
      <c r="F20" s="9">
        <v>5.9599999999999996E-4</v>
      </c>
      <c r="G20" s="9">
        <v>9.1E-4</v>
      </c>
      <c r="H20" s="9">
        <v>5.5360000000000001E-3</v>
      </c>
      <c r="I20" s="9">
        <v>3.908E-3</v>
      </c>
      <c r="J20" s="9">
        <v>7.5960000000000003E-3</v>
      </c>
      <c r="K20" s="9">
        <v>8.1000000000000004E-5</v>
      </c>
      <c r="L20" s="9">
        <v>6.9999999999999994E-5</v>
      </c>
      <c r="M20" s="9">
        <v>5.0000000000000004E-6</v>
      </c>
      <c r="N20" s="10">
        <v>329631600</v>
      </c>
      <c r="O20" s="10">
        <v>27700600</v>
      </c>
      <c r="P20" s="10">
        <v>35355600</v>
      </c>
      <c r="Q20" s="10">
        <v>55072364</v>
      </c>
      <c r="R20" s="10">
        <v>84102844</v>
      </c>
      <c r="S20" s="10">
        <v>511493556</v>
      </c>
      <c r="T20" s="10">
        <v>361142052</v>
      </c>
      <c r="U20" s="10">
        <v>701911560</v>
      </c>
      <c r="V20" s="10">
        <v>7444212</v>
      </c>
      <c r="W20" s="10">
        <v>6487820</v>
      </c>
      <c r="X20" s="10">
        <v>462824</v>
      </c>
      <c r="Y20" s="13">
        <v>301931000</v>
      </c>
      <c r="Z20" s="12">
        <v>-7655000</v>
      </c>
      <c r="AA20" s="12">
        <v>-19716764</v>
      </c>
      <c r="AB20" s="12">
        <v>-29030480</v>
      </c>
      <c r="AC20" s="12">
        <v>-427390712</v>
      </c>
      <c r="AD20" s="13">
        <v>150351504</v>
      </c>
      <c r="AE20" s="12">
        <v>-340769508</v>
      </c>
      <c r="AF20" s="13">
        <v>694467348</v>
      </c>
      <c r="AG20" s="13">
        <v>956392</v>
      </c>
      <c r="AH20" s="13">
        <v>6024996</v>
      </c>
      <c r="AI20" s="12">
        <v>-135176</v>
      </c>
      <c r="AJ20" s="10">
        <v>1611680588563.5</v>
      </c>
      <c r="AK20" s="10">
        <v>157501867623</v>
      </c>
      <c r="AL20" s="10">
        <v>213901379884.5</v>
      </c>
      <c r="AM20" s="10">
        <v>273296606511.5</v>
      </c>
      <c r="AN20" s="10">
        <v>295100607337.5</v>
      </c>
      <c r="AO20" s="10">
        <v>1617598369062</v>
      </c>
      <c r="AP20" s="10">
        <v>1381900204424.8</v>
      </c>
      <c r="AQ20" s="10">
        <v>2556289685112.5</v>
      </c>
      <c r="AR20" s="10">
        <v>29776847971.450001</v>
      </c>
      <c r="AS20" s="10">
        <v>18774129179.700001</v>
      </c>
      <c r="AT20" s="10">
        <v>1070668819.2</v>
      </c>
      <c r="AU20" s="14">
        <v>45838</v>
      </c>
      <c r="AV20" s="14">
        <v>45657</v>
      </c>
      <c r="AW20" s="14">
        <v>45291</v>
      </c>
      <c r="AX20" s="14">
        <v>44926</v>
      </c>
      <c r="AY20" s="14">
        <v>44561</v>
      </c>
      <c r="AZ20" s="14">
        <v>44196</v>
      </c>
      <c r="BA20" s="14">
        <v>43830</v>
      </c>
      <c r="BB20" s="14">
        <v>43465</v>
      </c>
      <c r="BC20" s="14">
        <v>43100</v>
      </c>
      <c r="BD20" s="14">
        <v>42735</v>
      </c>
      <c r="BE20" s="14">
        <v>42369</v>
      </c>
      <c r="BF20" s="8" t="s">
        <v>35</v>
      </c>
      <c r="BG20" s="8" t="s">
        <v>35</v>
      </c>
      <c r="BH20" s="8" t="s">
        <v>35</v>
      </c>
      <c r="BI20" s="8" t="s">
        <v>35</v>
      </c>
      <c r="BJ20" s="8" t="s">
        <v>35</v>
      </c>
      <c r="BK20" s="8" t="s">
        <v>35</v>
      </c>
      <c r="BL20" s="8" t="s">
        <v>35</v>
      </c>
      <c r="BM20" s="8" t="s">
        <v>35</v>
      </c>
      <c r="BN20" s="8" t="s">
        <v>35</v>
      </c>
      <c r="BO20" s="8" t="s">
        <v>35</v>
      </c>
      <c r="BP20" s="8" t="s">
        <v>35</v>
      </c>
      <c r="BQ20" s="8" t="s">
        <v>31</v>
      </c>
      <c r="BR20" s="8" t="s">
        <v>36</v>
      </c>
      <c r="BS20" s="10">
        <v>236692198581281</v>
      </c>
      <c r="BT20" s="8" t="s">
        <v>46</v>
      </c>
      <c r="BU20" s="8" t="s">
        <v>42</v>
      </c>
      <c r="BV20" s="8" t="s">
        <v>43</v>
      </c>
      <c r="BW20" s="8" t="s">
        <v>42</v>
      </c>
      <c r="BX20" s="8" t="s">
        <v>42</v>
      </c>
      <c r="BY20" s="8" t="s">
        <v>42</v>
      </c>
      <c r="BZ20" s="8" t="s">
        <v>42</v>
      </c>
      <c r="CA20" s="8" t="s">
        <v>42</v>
      </c>
      <c r="CB20" s="8" t="s">
        <v>42</v>
      </c>
      <c r="CC20" s="8" t="s">
        <v>42</v>
      </c>
      <c r="CD20" s="8" t="s">
        <v>42</v>
      </c>
      <c r="CE20" s="8" t="s">
        <v>42</v>
      </c>
      <c r="CF20" s="8" t="s">
        <v>70</v>
      </c>
      <c r="CG20" s="8" t="s">
        <v>71</v>
      </c>
    </row>
    <row r="21" spans="1:85" ht="15.75" customHeight="1" x14ac:dyDescent="0.35">
      <c r="A21" s="8">
        <v>14</v>
      </c>
      <c r="B21" s="8" t="s">
        <v>72</v>
      </c>
      <c r="C21" s="9">
        <v>3.5279999999999999E-3</v>
      </c>
      <c r="D21" s="9">
        <v>3.5279999999999999E-3</v>
      </c>
      <c r="E21" s="9">
        <v>6.5519999999999997E-3</v>
      </c>
      <c r="F21" s="9">
        <v>3.5400000000000002E-3</v>
      </c>
      <c r="G21" s="9">
        <v>3.4480000000000001E-3</v>
      </c>
      <c r="H21" s="9">
        <v>4.5750000000000001E-3</v>
      </c>
      <c r="I21" s="9">
        <v>3.5569999999999998E-3</v>
      </c>
      <c r="J21" s="9">
        <v>9.1959999999999993E-3</v>
      </c>
      <c r="K21" s="9">
        <v>8.6130000000000009E-3</v>
      </c>
      <c r="L21" s="9">
        <v>7.5380000000000004E-3</v>
      </c>
      <c r="M21" s="9">
        <v>6.1330000000000004E-3</v>
      </c>
      <c r="N21" s="10">
        <v>326024000</v>
      </c>
      <c r="O21" s="10">
        <v>326024000</v>
      </c>
      <c r="P21" s="10">
        <v>605360162</v>
      </c>
      <c r="Q21" s="10">
        <v>327063000</v>
      </c>
      <c r="R21" s="10">
        <v>318639600</v>
      </c>
      <c r="S21" s="10">
        <v>422774200</v>
      </c>
      <c r="T21" s="10">
        <v>328701400</v>
      </c>
      <c r="U21" s="10">
        <v>849750976</v>
      </c>
      <c r="V21" s="10">
        <v>795843568</v>
      </c>
      <c r="W21" s="10">
        <v>696507968</v>
      </c>
      <c r="X21" s="10">
        <v>566689968</v>
      </c>
      <c r="Y21" s="11">
        <v>0</v>
      </c>
      <c r="Z21" s="12">
        <v>-279336162</v>
      </c>
      <c r="AA21" s="13">
        <v>278297162</v>
      </c>
      <c r="AB21" s="13">
        <v>8423400</v>
      </c>
      <c r="AC21" s="12">
        <v>-104134600</v>
      </c>
      <c r="AD21" s="13">
        <v>94072800</v>
      </c>
      <c r="AE21" s="12">
        <v>-521049576</v>
      </c>
      <c r="AF21" s="13">
        <v>53907408</v>
      </c>
      <c r="AG21" s="13">
        <v>99335600</v>
      </c>
      <c r="AH21" s="13">
        <v>129818000</v>
      </c>
      <c r="AI21" s="12">
        <v>-85807152</v>
      </c>
      <c r="AJ21" s="10">
        <v>1853728399761.8999</v>
      </c>
      <c r="AK21" s="10">
        <v>1853728399761.8999</v>
      </c>
      <c r="AL21" s="10">
        <v>3662428977221.7998</v>
      </c>
      <c r="AM21" s="10">
        <v>1623050138768.8501</v>
      </c>
      <c r="AN21" s="10">
        <v>1118044706085</v>
      </c>
      <c r="AO21" s="10">
        <v>1337023405972.8</v>
      </c>
      <c r="AP21" s="10">
        <v>1257766935039.2</v>
      </c>
      <c r="AQ21" s="10">
        <v>3094705627656.25</v>
      </c>
      <c r="AR21" s="10">
        <v>3183374272407.3501</v>
      </c>
      <c r="AS21" s="10">
        <v>2015519933427.3</v>
      </c>
      <c r="AT21" s="10">
        <v>1310946049207.5</v>
      </c>
      <c r="AU21" s="14">
        <v>45657</v>
      </c>
      <c r="AV21" s="14">
        <v>45657</v>
      </c>
      <c r="AW21" s="14">
        <v>45291</v>
      </c>
      <c r="AX21" s="14">
        <v>44926</v>
      </c>
      <c r="AY21" s="14">
        <v>44561</v>
      </c>
      <c r="AZ21" s="14">
        <v>44196</v>
      </c>
      <c r="BA21" s="14">
        <v>43830</v>
      </c>
      <c r="BB21" s="14">
        <v>43465</v>
      </c>
      <c r="BC21" s="14">
        <v>43100</v>
      </c>
      <c r="BD21" s="14">
        <v>42735</v>
      </c>
      <c r="BE21" s="14">
        <v>42369</v>
      </c>
      <c r="BF21" s="8" t="s">
        <v>24</v>
      </c>
      <c r="BG21" s="8" t="s">
        <v>24</v>
      </c>
      <c r="BH21" s="8" t="s">
        <v>24</v>
      </c>
      <c r="BI21" s="8" t="s">
        <v>24</v>
      </c>
      <c r="BJ21" s="8" t="s">
        <v>24</v>
      </c>
      <c r="BK21" s="8" t="s">
        <v>24</v>
      </c>
      <c r="BL21" s="8" t="s">
        <v>24</v>
      </c>
      <c r="BM21" s="8" t="s">
        <v>35</v>
      </c>
      <c r="BN21" s="8" t="s">
        <v>35</v>
      </c>
      <c r="BO21" s="8" t="s">
        <v>35</v>
      </c>
      <c r="BP21" s="8" t="s">
        <v>35</v>
      </c>
      <c r="BQ21" s="8" t="s">
        <v>31</v>
      </c>
      <c r="BR21" s="8" t="s">
        <v>36</v>
      </c>
      <c r="BS21" s="10">
        <v>7.6161297397108096E+16</v>
      </c>
      <c r="BT21" s="8" t="s">
        <v>46</v>
      </c>
      <c r="BU21" s="8" t="s">
        <v>27</v>
      </c>
      <c r="BV21" s="8" t="s">
        <v>27</v>
      </c>
      <c r="BW21" s="8" t="s">
        <v>27</v>
      </c>
      <c r="BX21" s="8" t="s">
        <v>27</v>
      </c>
      <c r="BY21" s="8" t="s">
        <v>27</v>
      </c>
      <c r="BZ21" s="8" t="s">
        <v>27</v>
      </c>
      <c r="CA21" s="8" t="s">
        <v>27</v>
      </c>
      <c r="CB21" s="8" t="s">
        <v>27</v>
      </c>
      <c r="CC21" s="8" t="s">
        <v>27</v>
      </c>
      <c r="CD21" s="8" t="s">
        <v>27</v>
      </c>
      <c r="CE21" s="8" t="s">
        <v>27</v>
      </c>
      <c r="CF21" s="8" t="s">
        <v>73</v>
      </c>
      <c r="CG21" s="8" t="s">
        <v>39</v>
      </c>
    </row>
    <row r="22" spans="1:85" ht="15.75" hidden="1" customHeight="1" x14ac:dyDescent="0.35">
      <c r="A22" s="8">
        <v>15</v>
      </c>
      <c r="B22" s="8" t="s">
        <v>74</v>
      </c>
      <c r="C22" s="9">
        <v>3.4940000000000001E-3</v>
      </c>
      <c r="D22" s="9">
        <v>3.4940000000000001E-3</v>
      </c>
      <c r="E22" s="9">
        <v>3.4359999999999998E-3</v>
      </c>
      <c r="F22" s="9">
        <v>3.3779999999999999E-3</v>
      </c>
      <c r="G22" s="9">
        <v>3.375E-3</v>
      </c>
      <c r="H22" s="9">
        <v>3.4659999999999999E-3</v>
      </c>
      <c r="I22" s="8"/>
      <c r="J22" s="8"/>
      <c r="K22" s="8"/>
      <c r="L22" s="8"/>
      <c r="M22" s="8"/>
      <c r="N22" s="10">
        <v>322860400</v>
      </c>
      <c r="O22" s="10">
        <v>322860400</v>
      </c>
      <c r="P22" s="10">
        <v>317453100</v>
      </c>
      <c r="Q22" s="10">
        <v>312173000</v>
      </c>
      <c r="R22" s="10">
        <v>311812400</v>
      </c>
      <c r="S22" s="10">
        <v>320299200</v>
      </c>
      <c r="T22" s="8"/>
      <c r="U22" s="8"/>
      <c r="V22" s="8"/>
      <c r="W22" s="8"/>
      <c r="X22" s="8"/>
      <c r="Y22" s="11">
        <v>0</v>
      </c>
      <c r="Z22" s="13">
        <v>5407300</v>
      </c>
      <c r="AA22" s="13">
        <v>5280100</v>
      </c>
      <c r="AB22" s="13">
        <v>360600</v>
      </c>
      <c r="AC22" s="12">
        <v>-8486800</v>
      </c>
      <c r="AD22" s="13">
        <v>320299200</v>
      </c>
      <c r="AE22" s="8"/>
      <c r="AF22" s="8"/>
      <c r="AG22" s="8"/>
      <c r="AH22" s="8"/>
      <c r="AI22" s="8"/>
      <c r="AJ22" s="10">
        <v>1835740597777.5</v>
      </c>
      <c r="AK22" s="10">
        <v>1835740597777.5</v>
      </c>
      <c r="AL22" s="10">
        <v>1920591253540.1001</v>
      </c>
      <c r="AM22" s="10">
        <v>1549158513729.2</v>
      </c>
      <c r="AN22" s="10">
        <v>1094089382205</v>
      </c>
      <c r="AO22" s="10">
        <v>1012946218923.6</v>
      </c>
      <c r="AP22" s="8"/>
      <c r="AQ22" s="8"/>
      <c r="AR22" s="8"/>
      <c r="AS22" s="8"/>
      <c r="AT22" s="8"/>
      <c r="AU22" s="14">
        <v>45657</v>
      </c>
      <c r="AV22" s="14">
        <v>45657</v>
      </c>
      <c r="AW22" s="14">
        <v>45291</v>
      </c>
      <c r="AX22" s="14">
        <v>44926</v>
      </c>
      <c r="AY22" s="14">
        <v>44561</v>
      </c>
      <c r="AZ22" s="14">
        <v>44196</v>
      </c>
      <c r="BA22" s="8"/>
      <c r="BB22" s="8"/>
      <c r="BC22" s="8"/>
      <c r="BD22" s="8"/>
      <c r="BE22" s="8"/>
      <c r="BF22" s="8" t="s">
        <v>24</v>
      </c>
      <c r="BG22" s="8" t="s">
        <v>24</v>
      </c>
      <c r="BH22" s="8" t="s">
        <v>24</v>
      </c>
      <c r="BI22" s="8" t="s">
        <v>24</v>
      </c>
      <c r="BJ22" s="8" t="s">
        <v>24</v>
      </c>
      <c r="BK22" s="8" t="s">
        <v>24</v>
      </c>
      <c r="BL22" s="8"/>
      <c r="BM22" s="8"/>
      <c r="BN22" s="8"/>
      <c r="BO22" s="8"/>
      <c r="BP22" s="8"/>
      <c r="BQ22" s="8" t="s">
        <v>25</v>
      </c>
      <c r="BR22" s="8" t="s">
        <v>26</v>
      </c>
      <c r="BS22" s="10">
        <v>63716910079671.602</v>
      </c>
      <c r="BT22" s="8"/>
      <c r="BU22" s="8" t="s">
        <v>27</v>
      </c>
      <c r="BV22" s="8" t="s">
        <v>27</v>
      </c>
      <c r="BW22" s="8" t="s">
        <v>27</v>
      </c>
      <c r="BX22" s="8" t="s">
        <v>27</v>
      </c>
      <c r="BY22" s="8" t="s">
        <v>27</v>
      </c>
      <c r="BZ22" s="8" t="s">
        <v>27</v>
      </c>
      <c r="CA22" s="8"/>
      <c r="CB22" s="8"/>
      <c r="CC22" s="8"/>
      <c r="CD22" s="8"/>
      <c r="CE22" s="8"/>
      <c r="CF22" s="8" t="s">
        <v>75</v>
      </c>
      <c r="CG22" s="8" t="s">
        <v>76</v>
      </c>
    </row>
    <row r="23" spans="1:85" ht="15.75" customHeight="1" x14ac:dyDescent="0.35">
      <c r="A23" s="8">
        <v>16</v>
      </c>
      <c r="B23" s="8" t="s">
        <v>77</v>
      </c>
      <c r="C23" s="9">
        <v>3.4889999999999999E-3</v>
      </c>
      <c r="D23" s="9">
        <v>5.7060000000000001E-3</v>
      </c>
      <c r="E23" s="9">
        <v>7.9080000000000001E-3</v>
      </c>
      <c r="F23" s="9">
        <v>8.2489999999999994E-3</v>
      </c>
      <c r="G23" s="9">
        <v>4.2129999999999997E-3</v>
      </c>
      <c r="H23" s="9">
        <v>3.846E-3</v>
      </c>
      <c r="I23" s="9">
        <v>3.5739999999999999E-3</v>
      </c>
      <c r="J23" s="9">
        <v>3.124E-3</v>
      </c>
      <c r="K23" s="9">
        <v>5.3300000000000005E-4</v>
      </c>
      <c r="L23" s="9">
        <v>3.6200000000000002E-4</v>
      </c>
      <c r="M23" s="9">
        <v>0</v>
      </c>
      <c r="N23" s="10">
        <v>322351600</v>
      </c>
      <c r="O23" s="10">
        <v>527269900</v>
      </c>
      <c r="P23" s="10">
        <v>730706700</v>
      </c>
      <c r="Q23" s="10">
        <v>762227000</v>
      </c>
      <c r="R23" s="10">
        <v>389238400</v>
      </c>
      <c r="S23" s="10">
        <v>355386816</v>
      </c>
      <c r="T23" s="10">
        <v>330202800</v>
      </c>
      <c r="U23" s="10">
        <v>288685800</v>
      </c>
      <c r="V23" s="10">
        <v>49271200</v>
      </c>
      <c r="W23" s="10">
        <v>33432000</v>
      </c>
      <c r="X23" s="10">
        <v>0</v>
      </c>
      <c r="Y23" s="12">
        <v>-204918300</v>
      </c>
      <c r="Z23" s="12">
        <v>-203436800</v>
      </c>
      <c r="AA23" s="12">
        <v>-31520300</v>
      </c>
      <c r="AB23" s="13">
        <v>372988600</v>
      </c>
      <c r="AC23" s="13">
        <v>33851584</v>
      </c>
      <c r="AD23" s="13">
        <v>25184016</v>
      </c>
      <c r="AE23" s="13">
        <v>41517000</v>
      </c>
      <c r="AF23" s="13">
        <v>239414600</v>
      </c>
      <c r="AG23" s="13">
        <v>15839200</v>
      </c>
      <c r="AH23" s="13">
        <v>33432000</v>
      </c>
      <c r="AI23" s="12">
        <v>-27140584</v>
      </c>
      <c r="AJ23" s="10">
        <v>1417921495277</v>
      </c>
      <c r="AK23" s="10">
        <v>2997985387626.3999</v>
      </c>
      <c r="AL23" s="10">
        <v>4420775531549.7002</v>
      </c>
      <c r="AM23" s="10">
        <v>3782551490342.8999</v>
      </c>
      <c r="AN23" s="10">
        <v>1365762235860</v>
      </c>
      <c r="AO23" s="10">
        <v>1123910804343.6001</v>
      </c>
      <c r="AP23" s="10">
        <v>1263512001120</v>
      </c>
      <c r="AQ23" s="10">
        <v>1051363982068.75</v>
      </c>
      <c r="AR23" s="10">
        <v>197084800071.29999</v>
      </c>
      <c r="AS23" s="10">
        <v>96743850105</v>
      </c>
      <c r="AT23" s="10">
        <v>0</v>
      </c>
      <c r="AU23" s="14">
        <v>45930</v>
      </c>
      <c r="AV23" s="14">
        <v>45657</v>
      </c>
      <c r="AW23" s="14">
        <v>45291</v>
      </c>
      <c r="AX23" s="14">
        <v>44926</v>
      </c>
      <c r="AY23" s="14">
        <v>44561</v>
      </c>
      <c r="AZ23" s="14">
        <v>44196</v>
      </c>
      <c r="BA23" s="14">
        <v>43830</v>
      </c>
      <c r="BB23" s="14">
        <v>43465</v>
      </c>
      <c r="BC23" s="14">
        <v>43100</v>
      </c>
      <c r="BD23" s="14">
        <v>42735</v>
      </c>
      <c r="BE23" s="14">
        <v>42369</v>
      </c>
      <c r="BF23" s="8" t="s">
        <v>35</v>
      </c>
      <c r="BG23" s="8" t="s">
        <v>35</v>
      </c>
      <c r="BH23" s="8" t="s">
        <v>35</v>
      </c>
      <c r="BI23" s="8" t="s">
        <v>35</v>
      </c>
      <c r="BJ23" s="8" t="s">
        <v>35</v>
      </c>
      <c r="BK23" s="8" t="s">
        <v>35</v>
      </c>
      <c r="BL23" s="8" t="s">
        <v>35</v>
      </c>
      <c r="BM23" s="8" t="s">
        <v>35</v>
      </c>
      <c r="BN23" s="8" t="s">
        <v>35</v>
      </c>
      <c r="BO23" s="8" t="s">
        <v>35</v>
      </c>
      <c r="BP23" s="8" t="s">
        <v>35</v>
      </c>
      <c r="BQ23" s="8" t="s">
        <v>31</v>
      </c>
      <c r="BR23" s="8" t="s">
        <v>49</v>
      </c>
      <c r="BS23" s="10">
        <v>363771997080188</v>
      </c>
      <c r="BT23" s="8" t="s">
        <v>57</v>
      </c>
      <c r="BU23" s="8" t="s">
        <v>42</v>
      </c>
      <c r="BV23" s="8" t="s">
        <v>42</v>
      </c>
      <c r="BW23" s="8" t="s">
        <v>27</v>
      </c>
      <c r="BX23" s="8" t="s">
        <v>27</v>
      </c>
      <c r="BY23" s="8" t="s">
        <v>42</v>
      </c>
      <c r="BZ23" s="8" t="s">
        <v>42</v>
      </c>
      <c r="CA23" s="8" t="s">
        <v>27</v>
      </c>
      <c r="CB23" s="8" t="s">
        <v>42</v>
      </c>
      <c r="CC23" s="8" t="s">
        <v>42</v>
      </c>
      <c r="CD23" s="8" t="s">
        <v>27</v>
      </c>
      <c r="CE23" s="8" t="s">
        <v>42</v>
      </c>
      <c r="CF23" s="8" t="s">
        <v>78</v>
      </c>
      <c r="CG23" s="8" t="s">
        <v>71</v>
      </c>
    </row>
    <row r="24" spans="1:85" ht="15.75" customHeight="1" x14ac:dyDescent="0.35">
      <c r="A24" s="8">
        <v>17</v>
      </c>
      <c r="B24" s="8" t="s">
        <v>79</v>
      </c>
      <c r="C24" s="9">
        <v>3.2650000000000001E-3</v>
      </c>
      <c r="D24" s="9">
        <v>3.2650000000000001E-3</v>
      </c>
      <c r="E24" s="9">
        <v>9.8700000000000003E-4</v>
      </c>
      <c r="F24" s="9">
        <v>7.9830000000000005E-3</v>
      </c>
      <c r="G24" s="9">
        <v>7.9830000000000005E-3</v>
      </c>
      <c r="H24" s="9">
        <v>6.7869999999999996E-3</v>
      </c>
      <c r="I24" s="9">
        <v>1.0107E-2</v>
      </c>
      <c r="J24" s="9">
        <v>3.0020999999999999E-2</v>
      </c>
      <c r="K24" s="9">
        <v>3.0925000000000001E-2</v>
      </c>
      <c r="L24" s="9">
        <v>2.5833999999999999E-2</v>
      </c>
      <c r="M24" s="9">
        <v>4.0753999999999999E-2</v>
      </c>
      <c r="N24" s="10">
        <v>301640700</v>
      </c>
      <c r="O24" s="10">
        <v>301640700</v>
      </c>
      <c r="P24" s="10">
        <v>91188900</v>
      </c>
      <c r="Q24" s="10">
        <v>737672400</v>
      </c>
      <c r="R24" s="10">
        <v>737672400</v>
      </c>
      <c r="S24" s="10">
        <v>627112400</v>
      </c>
      <c r="T24" s="10">
        <v>933879000</v>
      </c>
      <c r="U24" s="10">
        <v>2773903312</v>
      </c>
      <c r="V24" s="10">
        <v>2857515320</v>
      </c>
      <c r="W24" s="10">
        <v>2387066400</v>
      </c>
      <c r="X24" s="10">
        <v>3765670000</v>
      </c>
      <c r="Y24" s="11">
        <v>0</v>
      </c>
      <c r="Z24" s="13">
        <v>210451800</v>
      </c>
      <c r="AA24" s="12">
        <v>-646483500</v>
      </c>
      <c r="AB24" s="11">
        <v>0</v>
      </c>
      <c r="AC24" s="13">
        <v>110560000</v>
      </c>
      <c r="AD24" s="12">
        <v>-306766600</v>
      </c>
      <c r="AE24" s="12">
        <v>-1840024312</v>
      </c>
      <c r="AF24" s="12">
        <v>-83612008</v>
      </c>
      <c r="AG24" s="13">
        <v>470448920</v>
      </c>
      <c r="AH24" s="12">
        <v>-1378603600</v>
      </c>
      <c r="AI24" s="13">
        <v>1338307200</v>
      </c>
      <c r="AJ24" s="10">
        <v>1715088251532.1001</v>
      </c>
      <c r="AK24" s="10">
        <v>1715088251532.1001</v>
      </c>
      <c r="AL24" s="10">
        <v>551692844551.5</v>
      </c>
      <c r="AM24" s="10">
        <v>2588349726810</v>
      </c>
      <c r="AN24" s="10">
        <v>2588349726810</v>
      </c>
      <c r="AO24" s="10">
        <v>1983242962771.2</v>
      </c>
      <c r="AP24" s="10">
        <v>3573462502704</v>
      </c>
      <c r="AQ24" s="10">
        <v>10102270468400</v>
      </c>
      <c r="AR24" s="10">
        <v>11430061281704.6</v>
      </c>
      <c r="AS24" s="10">
        <v>6907573398701.0996</v>
      </c>
      <c r="AT24" s="10">
        <v>8711271572950.7998</v>
      </c>
      <c r="AU24" s="14">
        <v>45657</v>
      </c>
      <c r="AV24" s="14">
        <v>45657</v>
      </c>
      <c r="AW24" s="14">
        <v>45291</v>
      </c>
      <c r="AX24" s="14">
        <v>44561</v>
      </c>
      <c r="AY24" s="14">
        <v>44561</v>
      </c>
      <c r="AZ24" s="14">
        <v>44196</v>
      </c>
      <c r="BA24" s="14">
        <v>43830</v>
      </c>
      <c r="BB24" s="14">
        <v>43465</v>
      </c>
      <c r="BC24" s="14">
        <v>43100</v>
      </c>
      <c r="BD24" s="14">
        <v>42735</v>
      </c>
      <c r="BE24" s="14">
        <v>42369</v>
      </c>
      <c r="BF24" s="8" t="s">
        <v>24</v>
      </c>
      <c r="BG24" s="8" t="s">
        <v>24</v>
      </c>
      <c r="BH24" s="8" t="s">
        <v>35</v>
      </c>
      <c r="BI24" s="8" t="s">
        <v>24</v>
      </c>
      <c r="BJ24" s="8" t="s">
        <v>24</v>
      </c>
      <c r="BK24" s="8" t="s">
        <v>24</v>
      </c>
      <c r="BL24" s="8" t="s">
        <v>24</v>
      </c>
      <c r="BM24" s="8" t="s">
        <v>35</v>
      </c>
      <c r="BN24" s="8" t="s">
        <v>35</v>
      </c>
      <c r="BO24" s="8" t="s">
        <v>35</v>
      </c>
      <c r="BP24" s="8" t="s">
        <v>35</v>
      </c>
      <c r="BQ24" s="8" t="s">
        <v>31</v>
      </c>
      <c r="BR24" s="8" t="s">
        <v>49</v>
      </c>
      <c r="BS24" s="10">
        <v>1483467553409090</v>
      </c>
      <c r="BT24" s="8" t="s">
        <v>61</v>
      </c>
      <c r="BU24" s="8" t="s">
        <v>27</v>
      </c>
      <c r="BV24" s="8" t="s">
        <v>27</v>
      </c>
      <c r="BW24" s="8" t="s">
        <v>27</v>
      </c>
      <c r="BX24" s="8" t="s">
        <v>27</v>
      </c>
      <c r="BY24" s="8" t="s">
        <v>27</v>
      </c>
      <c r="BZ24" s="8" t="s">
        <v>27</v>
      </c>
      <c r="CA24" s="8" t="s">
        <v>27</v>
      </c>
      <c r="CB24" s="8" t="s">
        <v>27</v>
      </c>
      <c r="CC24" s="8" t="s">
        <v>27</v>
      </c>
      <c r="CD24" s="8" t="s">
        <v>27</v>
      </c>
      <c r="CE24" s="8" t="s">
        <v>27</v>
      </c>
      <c r="CF24" s="8" t="s">
        <v>80</v>
      </c>
      <c r="CG24" s="8" t="s">
        <v>39</v>
      </c>
    </row>
    <row r="25" spans="1:85" ht="15.75" customHeight="1" x14ac:dyDescent="0.35">
      <c r="A25" s="8">
        <v>18</v>
      </c>
      <c r="B25" s="8" t="s">
        <v>81</v>
      </c>
      <c r="C25" s="9">
        <v>3.1960000000000001E-3</v>
      </c>
      <c r="D25" s="9">
        <v>3.8670000000000002E-3</v>
      </c>
      <c r="E25" s="9">
        <v>5.1219999999999998E-3</v>
      </c>
      <c r="F25" s="9">
        <v>5.7369999999999999E-3</v>
      </c>
      <c r="G25" s="9">
        <v>1.0758E-2</v>
      </c>
      <c r="H25" s="9">
        <v>3.8040000000000001E-3</v>
      </c>
      <c r="I25" s="9">
        <v>5.7390000000000002E-3</v>
      </c>
      <c r="J25" s="9">
        <v>1.2024999999999999E-2</v>
      </c>
      <c r="K25" s="9">
        <v>1.3844E-2</v>
      </c>
      <c r="L25" s="9">
        <v>1.426E-2</v>
      </c>
      <c r="M25" s="9">
        <v>1.5001E-2</v>
      </c>
      <c r="N25" s="10">
        <v>295343874</v>
      </c>
      <c r="O25" s="10">
        <v>357279975</v>
      </c>
      <c r="P25" s="10">
        <v>473272916</v>
      </c>
      <c r="Q25" s="10">
        <v>530143090</v>
      </c>
      <c r="R25" s="10">
        <v>994024246</v>
      </c>
      <c r="S25" s="10">
        <v>351463684</v>
      </c>
      <c r="T25" s="10">
        <v>530259684</v>
      </c>
      <c r="U25" s="10">
        <v>1111087172</v>
      </c>
      <c r="V25" s="10">
        <v>1279144324</v>
      </c>
      <c r="W25" s="10">
        <v>1317584356</v>
      </c>
      <c r="X25" s="10">
        <v>1386121416</v>
      </c>
      <c r="Y25" s="12">
        <v>-61936101</v>
      </c>
      <c r="Z25" s="12">
        <v>-115992941</v>
      </c>
      <c r="AA25" s="12">
        <v>-56870174</v>
      </c>
      <c r="AB25" s="12">
        <v>-463881156</v>
      </c>
      <c r="AC25" s="13">
        <v>642560562</v>
      </c>
      <c r="AD25" s="12">
        <v>-178796000</v>
      </c>
      <c r="AE25" s="12">
        <v>-580827488</v>
      </c>
      <c r="AF25" s="12">
        <v>-168057152</v>
      </c>
      <c r="AG25" s="12">
        <v>-38440032</v>
      </c>
      <c r="AH25" s="12">
        <v>-68537060</v>
      </c>
      <c r="AI25" s="12">
        <v>-76811600</v>
      </c>
      <c r="AJ25" s="10">
        <v>1299123154462</v>
      </c>
      <c r="AK25" s="10">
        <v>2031445649258.3999</v>
      </c>
      <c r="AL25" s="10">
        <v>2863301139634.6001</v>
      </c>
      <c r="AM25" s="10">
        <v>2630835086112.2002</v>
      </c>
      <c r="AN25" s="10">
        <v>3487838755485</v>
      </c>
      <c r="AO25" s="10">
        <v>1111503899376</v>
      </c>
      <c r="AP25" s="10">
        <v>2029024207053.6001</v>
      </c>
      <c r="AQ25" s="10">
        <v>4046465165868.75</v>
      </c>
      <c r="AR25" s="10">
        <v>5116577296766.2002</v>
      </c>
      <c r="AS25" s="10">
        <v>3812759732252.7002</v>
      </c>
      <c r="AT25" s="10">
        <v>3206568841112.1001</v>
      </c>
      <c r="AU25" s="14">
        <v>45930</v>
      </c>
      <c r="AV25" s="14">
        <v>45657</v>
      </c>
      <c r="AW25" s="14">
        <v>45291</v>
      </c>
      <c r="AX25" s="14">
        <v>44926</v>
      </c>
      <c r="AY25" s="14">
        <v>44561</v>
      </c>
      <c r="AZ25" s="14">
        <v>44196</v>
      </c>
      <c r="BA25" s="14">
        <v>43830</v>
      </c>
      <c r="BB25" s="14">
        <v>43465</v>
      </c>
      <c r="BC25" s="14">
        <v>43100</v>
      </c>
      <c r="BD25" s="14">
        <v>42735</v>
      </c>
      <c r="BE25" s="14">
        <v>42369</v>
      </c>
      <c r="BF25" s="8" t="s">
        <v>35</v>
      </c>
      <c r="BG25" s="8" t="s">
        <v>35</v>
      </c>
      <c r="BH25" s="8" t="s">
        <v>35</v>
      </c>
      <c r="BI25" s="8" t="s">
        <v>35</v>
      </c>
      <c r="BJ25" s="8" t="s">
        <v>35</v>
      </c>
      <c r="BK25" s="8" t="s">
        <v>24</v>
      </c>
      <c r="BL25" s="8" t="s">
        <v>24</v>
      </c>
      <c r="BM25" s="8" t="s">
        <v>35</v>
      </c>
      <c r="BN25" s="8" t="s">
        <v>35</v>
      </c>
      <c r="BO25" s="8" t="s">
        <v>35</v>
      </c>
      <c r="BP25" s="8" t="s">
        <v>35</v>
      </c>
      <c r="BQ25" s="8" t="s">
        <v>31</v>
      </c>
      <c r="BR25" s="8" t="s">
        <v>49</v>
      </c>
      <c r="BS25" s="10">
        <v>1994512977608660</v>
      </c>
      <c r="BT25" s="8" t="s">
        <v>61</v>
      </c>
      <c r="BU25" s="8" t="s">
        <v>27</v>
      </c>
      <c r="BV25" s="8" t="s">
        <v>42</v>
      </c>
      <c r="BW25" s="8" t="s">
        <v>27</v>
      </c>
      <c r="BX25" s="8" t="s">
        <v>27</v>
      </c>
      <c r="BY25" s="8" t="s">
        <v>27</v>
      </c>
      <c r="BZ25" s="8" t="s">
        <v>27</v>
      </c>
      <c r="CA25" s="8" t="s">
        <v>27</v>
      </c>
      <c r="CB25" s="8" t="s">
        <v>27</v>
      </c>
      <c r="CC25" s="8" t="s">
        <v>27</v>
      </c>
      <c r="CD25" s="8" t="s">
        <v>27</v>
      </c>
      <c r="CE25" s="8" t="s">
        <v>27</v>
      </c>
      <c r="CF25" s="8" t="s">
        <v>82</v>
      </c>
      <c r="CG25" s="8" t="s">
        <v>39</v>
      </c>
    </row>
    <row r="26" spans="1:85" ht="15.75" customHeight="1" x14ac:dyDescent="0.35">
      <c r="A26" s="8">
        <v>19</v>
      </c>
      <c r="B26" s="8" t="s">
        <v>83</v>
      </c>
      <c r="C26" s="9">
        <v>3.1909999999999998E-3</v>
      </c>
      <c r="D26" s="9">
        <v>3.1909999999999998E-3</v>
      </c>
      <c r="E26" s="9">
        <v>1.439E-2</v>
      </c>
      <c r="F26" s="9">
        <v>1.0467000000000001E-2</v>
      </c>
      <c r="G26" s="9">
        <v>7.0029999999999997E-3</v>
      </c>
      <c r="H26" s="9">
        <v>9.7310000000000001E-3</v>
      </c>
      <c r="I26" s="9">
        <v>4.1899999999999999E-4</v>
      </c>
      <c r="J26" s="8"/>
      <c r="K26" s="8"/>
      <c r="L26" s="8"/>
      <c r="M26" s="8"/>
      <c r="N26" s="10">
        <v>294880000</v>
      </c>
      <c r="O26" s="10">
        <v>294880000</v>
      </c>
      <c r="P26" s="10">
        <v>1329681000</v>
      </c>
      <c r="Q26" s="10">
        <v>967122400</v>
      </c>
      <c r="R26" s="10">
        <v>647120106</v>
      </c>
      <c r="S26" s="10">
        <v>899122200</v>
      </c>
      <c r="T26" s="10">
        <v>38745600</v>
      </c>
      <c r="U26" s="8"/>
      <c r="V26" s="8"/>
      <c r="W26" s="8"/>
      <c r="X26" s="8"/>
      <c r="Y26" s="11">
        <v>0</v>
      </c>
      <c r="Z26" s="12">
        <v>-1034801000</v>
      </c>
      <c r="AA26" s="13">
        <v>362558600</v>
      </c>
      <c r="AB26" s="13">
        <v>320002294</v>
      </c>
      <c r="AC26" s="12">
        <v>-252002094</v>
      </c>
      <c r="AD26" s="13">
        <v>860376600</v>
      </c>
      <c r="AE26" s="13">
        <v>38745600</v>
      </c>
      <c r="AF26" s="8"/>
      <c r="AG26" s="8"/>
      <c r="AH26" s="8"/>
      <c r="AI26" s="8"/>
      <c r="AJ26" s="10">
        <v>1676647825129.3999</v>
      </c>
      <c r="AK26" s="10">
        <v>1676647825129.3999</v>
      </c>
      <c r="AL26" s="10">
        <v>8044570043790.9004</v>
      </c>
      <c r="AM26" s="10">
        <v>4799344913666.0498</v>
      </c>
      <c r="AN26" s="10">
        <v>2270619247230</v>
      </c>
      <c r="AO26" s="10">
        <v>2843473954417.2002</v>
      </c>
      <c r="AP26" s="10">
        <v>148258980847.60001</v>
      </c>
      <c r="AQ26" s="8"/>
      <c r="AR26" s="8"/>
      <c r="AS26" s="8"/>
      <c r="AT26" s="8"/>
      <c r="AU26" s="14">
        <v>45657</v>
      </c>
      <c r="AV26" s="14">
        <v>45657</v>
      </c>
      <c r="AW26" s="14">
        <v>45291</v>
      </c>
      <c r="AX26" s="14">
        <v>44926</v>
      </c>
      <c r="AY26" s="14">
        <v>44561</v>
      </c>
      <c r="AZ26" s="14">
        <v>44196</v>
      </c>
      <c r="BA26" s="14">
        <v>43830</v>
      </c>
      <c r="BB26" s="8"/>
      <c r="BC26" s="8"/>
      <c r="BD26" s="8"/>
      <c r="BE26" s="8"/>
      <c r="BF26" s="8" t="s">
        <v>24</v>
      </c>
      <c r="BG26" s="8" t="s">
        <v>24</v>
      </c>
      <c r="BH26" s="8" t="s">
        <v>24</v>
      </c>
      <c r="BI26" s="8" t="s">
        <v>24</v>
      </c>
      <c r="BJ26" s="8" t="s">
        <v>35</v>
      </c>
      <c r="BK26" s="8" t="s">
        <v>35</v>
      </c>
      <c r="BL26" s="8" t="s">
        <v>35</v>
      </c>
      <c r="BM26" s="8"/>
      <c r="BN26" s="8"/>
      <c r="BO26" s="8"/>
      <c r="BP26" s="8"/>
      <c r="BQ26" s="8" t="s">
        <v>31</v>
      </c>
      <c r="BR26" s="8" t="s">
        <v>36</v>
      </c>
      <c r="BS26" s="10">
        <v>2.29311457257694E+16</v>
      </c>
      <c r="BT26" s="8" t="s">
        <v>37</v>
      </c>
      <c r="BU26" s="8" t="s">
        <v>27</v>
      </c>
      <c r="BV26" s="8" t="s">
        <v>27</v>
      </c>
      <c r="BW26" s="8" t="s">
        <v>27</v>
      </c>
      <c r="BX26" s="8" t="s">
        <v>27</v>
      </c>
      <c r="BY26" s="8" t="s">
        <v>42</v>
      </c>
      <c r="BZ26" s="8" t="s">
        <v>27</v>
      </c>
      <c r="CA26" s="8" t="s">
        <v>27</v>
      </c>
      <c r="CB26" s="8"/>
      <c r="CC26" s="8"/>
      <c r="CD26" s="8"/>
      <c r="CE26" s="8"/>
      <c r="CF26" s="8" t="s">
        <v>38</v>
      </c>
      <c r="CG26" s="8" t="s">
        <v>39</v>
      </c>
    </row>
    <row r="27" spans="1:85" ht="15.75" customHeight="1" x14ac:dyDescent="0.35">
      <c r="A27" s="8">
        <v>20</v>
      </c>
      <c r="B27" s="8" t="s">
        <v>84</v>
      </c>
      <c r="C27" s="9">
        <v>3.1020000000000002E-3</v>
      </c>
      <c r="D27" s="9">
        <v>2.039E-3</v>
      </c>
      <c r="E27" s="9">
        <v>1.804E-3</v>
      </c>
      <c r="F27" s="9">
        <v>1.596E-3</v>
      </c>
      <c r="G27" s="9">
        <v>1.4549999999999999E-3</v>
      </c>
      <c r="H27" s="9">
        <v>1.0809999999999999E-3</v>
      </c>
      <c r="I27" s="9">
        <v>9.3800000000000003E-4</v>
      </c>
      <c r="J27" s="9">
        <v>7.1900000000000002E-4</v>
      </c>
      <c r="K27" s="9">
        <v>5.3700000000000004E-4</v>
      </c>
      <c r="L27" s="9">
        <v>4.0700000000000003E-4</v>
      </c>
      <c r="M27" s="9">
        <v>1.56E-4</v>
      </c>
      <c r="N27" s="10">
        <v>286593818</v>
      </c>
      <c r="O27" s="10">
        <v>188359216</v>
      </c>
      <c r="P27" s="10">
        <v>166721294</v>
      </c>
      <c r="Q27" s="10">
        <v>147505596</v>
      </c>
      <c r="R27" s="10">
        <v>134456400</v>
      </c>
      <c r="S27" s="10">
        <v>99895196</v>
      </c>
      <c r="T27" s="10">
        <v>86629596</v>
      </c>
      <c r="U27" s="10">
        <v>66475596</v>
      </c>
      <c r="V27" s="10">
        <v>49619196</v>
      </c>
      <c r="W27" s="10">
        <v>37618796</v>
      </c>
      <c r="X27" s="10">
        <v>14456800</v>
      </c>
      <c r="Y27" s="13">
        <v>98234602</v>
      </c>
      <c r="Z27" s="13">
        <v>21637922</v>
      </c>
      <c r="AA27" s="13">
        <v>19215698</v>
      </c>
      <c r="AB27" s="13">
        <v>13049196</v>
      </c>
      <c r="AC27" s="13">
        <v>34561204</v>
      </c>
      <c r="AD27" s="13">
        <v>13265600</v>
      </c>
      <c r="AE27" s="13">
        <v>20154000</v>
      </c>
      <c r="AF27" s="13">
        <v>16856400</v>
      </c>
      <c r="AG27" s="13">
        <v>12000400</v>
      </c>
      <c r="AH27" s="13">
        <v>23161996</v>
      </c>
      <c r="AI27" s="13">
        <v>179600</v>
      </c>
      <c r="AJ27" s="10">
        <v>1260634459267.3999</v>
      </c>
      <c r="AK27" s="10">
        <v>1070985044183.5</v>
      </c>
      <c r="AL27" s="10">
        <v>1008663827898.3</v>
      </c>
      <c r="AM27" s="10">
        <v>731996520681.25</v>
      </c>
      <c r="AN27" s="10">
        <v>471781492957.5</v>
      </c>
      <c r="AO27" s="10">
        <v>315918556948.79999</v>
      </c>
      <c r="AP27" s="10">
        <v>331485784484.40002</v>
      </c>
      <c r="AQ27" s="10">
        <v>242097281250</v>
      </c>
      <c r="AR27" s="10">
        <v>198476784076.54999</v>
      </c>
      <c r="AS27" s="10">
        <v>108859390957.8</v>
      </c>
      <c r="AT27" s="10">
        <v>33443480405.25</v>
      </c>
      <c r="AU27" s="14">
        <v>45930</v>
      </c>
      <c r="AV27" s="14">
        <v>45657</v>
      </c>
      <c r="AW27" s="14">
        <v>45291</v>
      </c>
      <c r="AX27" s="14">
        <v>44926</v>
      </c>
      <c r="AY27" s="14">
        <v>44561</v>
      </c>
      <c r="AZ27" s="14">
        <v>44196</v>
      </c>
      <c r="BA27" s="14">
        <v>43830</v>
      </c>
      <c r="BB27" s="14">
        <v>43465</v>
      </c>
      <c r="BC27" s="14">
        <v>43100</v>
      </c>
      <c r="BD27" s="14">
        <v>42735</v>
      </c>
      <c r="BE27" s="14">
        <v>42369</v>
      </c>
      <c r="BF27" s="8" t="s">
        <v>35</v>
      </c>
      <c r="BG27" s="8" t="s">
        <v>35</v>
      </c>
      <c r="BH27" s="8" t="s">
        <v>35</v>
      </c>
      <c r="BI27" s="8" t="s">
        <v>35</v>
      </c>
      <c r="BJ27" s="8" t="s">
        <v>35</v>
      </c>
      <c r="BK27" s="8" t="s">
        <v>35</v>
      </c>
      <c r="BL27" s="8" t="s">
        <v>35</v>
      </c>
      <c r="BM27" s="8" t="s">
        <v>35</v>
      </c>
      <c r="BN27" s="8" t="s">
        <v>35</v>
      </c>
      <c r="BO27" s="8" t="s">
        <v>35</v>
      </c>
      <c r="BP27" s="8" t="s">
        <v>35</v>
      </c>
      <c r="BQ27" s="8" t="s">
        <v>31</v>
      </c>
      <c r="BR27" s="8" t="s">
        <v>49</v>
      </c>
      <c r="BS27" s="10">
        <v>2.75419178655827E+16</v>
      </c>
      <c r="BT27" s="8" t="s">
        <v>46</v>
      </c>
      <c r="BU27" s="8" t="s">
        <v>27</v>
      </c>
      <c r="BV27" s="8" t="s">
        <v>27</v>
      </c>
      <c r="BW27" s="8" t="s">
        <v>27</v>
      </c>
      <c r="BX27" s="8" t="s">
        <v>27</v>
      </c>
      <c r="BY27" s="8" t="s">
        <v>27</v>
      </c>
      <c r="BZ27" s="8" t="s">
        <v>27</v>
      </c>
      <c r="CA27" s="8" t="s">
        <v>27</v>
      </c>
      <c r="CB27" s="8" t="s">
        <v>27</v>
      </c>
      <c r="CC27" s="8" t="s">
        <v>27</v>
      </c>
      <c r="CD27" s="8" t="s">
        <v>27</v>
      </c>
      <c r="CE27" s="8" t="s">
        <v>27</v>
      </c>
      <c r="CF27" s="8" t="s">
        <v>85</v>
      </c>
      <c r="CG27" s="8" t="s">
        <v>39</v>
      </c>
    </row>
    <row r="28" spans="1:85" ht="15.75" hidden="1" customHeight="1" x14ac:dyDescent="0.35">
      <c r="A28" s="8">
        <v>21</v>
      </c>
      <c r="B28" s="8" t="s">
        <v>86</v>
      </c>
      <c r="C28" s="9">
        <v>3.0590000000000001E-3</v>
      </c>
      <c r="D28" s="9">
        <v>3.0590000000000001E-3</v>
      </c>
      <c r="E28" s="8"/>
      <c r="F28" s="8"/>
      <c r="G28" s="9">
        <v>1.4067E-2</v>
      </c>
      <c r="H28" s="9">
        <v>1.8565999999999999E-2</v>
      </c>
      <c r="I28" s="9">
        <v>1.6386000000000001E-2</v>
      </c>
      <c r="J28" s="8"/>
      <c r="K28" s="8"/>
      <c r="L28" s="8"/>
      <c r="M28" s="8"/>
      <c r="N28" s="10">
        <v>282684524</v>
      </c>
      <c r="O28" s="10">
        <v>282684524</v>
      </c>
      <c r="P28" s="8"/>
      <c r="Q28" s="8"/>
      <c r="R28" s="10">
        <v>1299774624</v>
      </c>
      <c r="S28" s="10">
        <v>1715517824</v>
      </c>
      <c r="T28" s="10">
        <v>1514090224</v>
      </c>
      <c r="U28" s="8"/>
      <c r="V28" s="8"/>
      <c r="W28" s="8"/>
      <c r="X28" s="8"/>
      <c r="Y28" s="11">
        <v>0</v>
      </c>
      <c r="Z28" s="13">
        <v>282684524</v>
      </c>
      <c r="AA28" s="8"/>
      <c r="AB28" s="8"/>
      <c r="AC28" s="12">
        <v>-415743200</v>
      </c>
      <c r="AD28" s="13">
        <v>201427600</v>
      </c>
      <c r="AE28" s="13">
        <v>1514090224</v>
      </c>
      <c r="AF28" s="8"/>
      <c r="AG28" s="8"/>
      <c r="AH28" s="8"/>
      <c r="AI28" s="8"/>
      <c r="AJ28" s="10">
        <v>1607305996851.8</v>
      </c>
      <c r="AK28" s="10">
        <v>1607305996851.8</v>
      </c>
      <c r="AL28" s="8"/>
      <c r="AM28" s="8"/>
      <c r="AN28" s="10">
        <v>4560657675405</v>
      </c>
      <c r="AO28" s="10">
        <v>5425325112402</v>
      </c>
      <c r="AP28" s="10">
        <v>5793624914216.4004</v>
      </c>
      <c r="AQ28" s="8"/>
      <c r="AR28" s="8"/>
      <c r="AS28" s="8"/>
      <c r="AT28" s="8"/>
      <c r="AU28" s="14">
        <v>45657</v>
      </c>
      <c r="AV28" s="14">
        <v>45657</v>
      </c>
      <c r="AW28" s="8"/>
      <c r="AX28" s="8"/>
      <c r="AY28" s="14">
        <v>44561</v>
      </c>
      <c r="AZ28" s="14">
        <v>44196</v>
      </c>
      <c r="BA28" s="14">
        <v>43830</v>
      </c>
      <c r="BB28" s="8"/>
      <c r="BC28" s="8"/>
      <c r="BD28" s="8"/>
      <c r="BE28" s="8"/>
      <c r="BF28" s="8" t="s">
        <v>24</v>
      </c>
      <c r="BG28" s="8" t="s">
        <v>24</v>
      </c>
      <c r="BH28" s="8"/>
      <c r="BI28" s="8"/>
      <c r="BJ28" s="8" t="s">
        <v>24</v>
      </c>
      <c r="BK28" s="8" t="s">
        <v>24</v>
      </c>
      <c r="BL28" s="8" t="s">
        <v>24</v>
      </c>
      <c r="BM28" s="8"/>
      <c r="BN28" s="8"/>
      <c r="BO28" s="8"/>
      <c r="BP28" s="8"/>
      <c r="BQ28" s="8" t="s">
        <v>25</v>
      </c>
      <c r="BR28" s="8" t="s">
        <v>26</v>
      </c>
      <c r="BS28" s="10">
        <v>36860876891743.203</v>
      </c>
      <c r="BT28" s="8"/>
      <c r="BU28" s="8" t="s">
        <v>27</v>
      </c>
      <c r="BV28" s="8" t="s">
        <v>27</v>
      </c>
      <c r="BW28" s="8"/>
      <c r="BX28" s="8"/>
      <c r="BY28" s="8" t="s">
        <v>27</v>
      </c>
      <c r="BZ28" s="8" t="s">
        <v>27</v>
      </c>
      <c r="CA28" s="8" t="s">
        <v>42</v>
      </c>
      <c r="CB28" s="8"/>
      <c r="CC28" s="8"/>
      <c r="CD28" s="8"/>
      <c r="CE28" s="8"/>
      <c r="CF28" s="8" t="s">
        <v>28</v>
      </c>
      <c r="CG28" s="8" t="s">
        <v>29</v>
      </c>
    </row>
    <row r="29" spans="1:85" ht="15.75" hidden="1" customHeight="1" x14ac:dyDescent="0.35">
      <c r="A29" s="8">
        <v>22</v>
      </c>
      <c r="B29" s="8" t="s">
        <v>87</v>
      </c>
      <c r="C29" s="9">
        <v>2.9650000000000002E-3</v>
      </c>
      <c r="D29" s="9">
        <v>2.9650000000000002E-3</v>
      </c>
      <c r="E29" s="8"/>
      <c r="F29" s="8"/>
      <c r="G29" s="8"/>
      <c r="H29" s="8"/>
      <c r="I29" s="8"/>
      <c r="J29" s="8"/>
      <c r="K29" s="8"/>
      <c r="L29" s="8"/>
      <c r="M29" s="8"/>
      <c r="N29" s="10">
        <v>273979935</v>
      </c>
      <c r="O29" s="10">
        <v>273979935</v>
      </c>
      <c r="P29" s="8"/>
      <c r="Q29" s="8"/>
      <c r="R29" s="8"/>
      <c r="S29" s="8"/>
      <c r="T29" s="8"/>
      <c r="U29" s="8"/>
      <c r="V29" s="8"/>
      <c r="W29" s="8"/>
      <c r="X29" s="8"/>
      <c r="Y29" s="11">
        <v>0</v>
      </c>
      <c r="Z29" s="13">
        <v>273979935</v>
      </c>
      <c r="AA29" s="8"/>
      <c r="AB29" s="8"/>
      <c r="AC29" s="8"/>
      <c r="AD29" s="8"/>
      <c r="AE29" s="8"/>
      <c r="AF29" s="8"/>
      <c r="AG29" s="8"/>
      <c r="AH29" s="8"/>
      <c r="AI29" s="8"/>
      <c r="AJ29" s="10">
        <v>1557812880264.7</v>
      </c>
      <c r="AK29" s="10">
        <v>1557812880264.7</v>
      </c>
      <c r="AL29" s="8"/>
      <c r="AM29" s="8"/>
      <c r="AN29" s="8"/>
      <c r="AO29" s="8"/>
      <c r="AP29" s="8"/>
      <c r="AQ29" s="8"/>
      <c r="AR29" s="8"/>
      <c r="AS29" s="8"/>
      <c r="AT29" s="8"/>
      <c r="AU29" s="14">
        <v>45657</v>
      </c>
      <c r="AV29" s="14">
        <v>45657</v>
      </c>
      <c r="AW29" s="8"/>
      <c r="AX29" s="8"/>
      <c r="AY29" s="8"/>
      <c r="AZ29" s="8"/>
      <c r="BA29" s="8"/>
      <c r="BB29" s="8"/>
      <c r="BC29" s="8"/>
      <c r="BD29" s="8"/>
      <c r="BE29" s="8"/>
      <c r="BF29" s="8" t="s">
        <v>24</v>
      </c>
      <c r="BG29" s="8" t="s">
        <v>24</v>
      </c>
      <c r="BH29" s="8"/>
      <c r="BI29" s="8"/>
      <c r="BJ29" s="8"/>
      <c r="BK29" s="8"/>
      <c r="BL29" s="8"/>
      <c r="BM29" s="8"/>
      <c r="BN29" s="8"/>
      <c r="BO29" s="8"/>
      <c r="BP29" s="8"/>
      <c r="BQ29" s="8" t="s">
        <v>25</v>
      </c>
      <c r="BR29" s="8" t="s">
        <v>26</v>
      </c>
      <c r="BS29" s="10">
        <v>1431628616703120</v>
      </c>
      <c r="BT29" s="8"/>
      <c r="BU29" s="8" t="s">
        <v>27</v>
      </c>
      <c r="BV29" s="8" t="s">
        <v>27</v>
      </c>
      <c r="BW29" s="8"/>
      <c r="BX29" s="8"/>
      <c r="BY29" s="8"/>
      <c r="BZ29" s="8"/>
      <c r="CA29" s="8"/>
      <c r="CB29" s="8"/>
      <c r="CC29" s="8"/>
      <c r="CD29" s="8"/>
      <c r="CE29" s="8"/>
      <c r="CF29" s="8" t="s">
        <v>62</v>
      </c>
      <c r="CG29" s="8" t="s">
        <v>63</v>
      </c>
    </row>
    <row r="30" spans="1:85" ht="15.75" customHeight="1" x14ac:dyDescent="0.35">
      <c r="A30" s="8">
        <v>23</v>
      </c>
      <c r="B30" s="8" t="s">
        <v>88</v>
      </c>
      <c r="C30" s="9">
        <v>2.5739999999999999E-3</v>
      </c>
      <c r="D30" s="9">
        <v>2.5739999999999999E-3</v>
      </c>
      <c r="E30" s="9">
        <v>2.8180000000000002E-3</v>
      </c>
      <c r="F30" s="9">
        <v>7.5199999999999996E-4</v>
      </c>
      <c r="G30" s="9">
        <v>8.7200000000000005E-4</v>
      </c>
      <c r="H30" s="9">
        <v>9.4600000000000001E-4</v>
      </c>
      <c r="I30" s="9">
        <v>3.8E-3</v>
      </c>
      <c r="J30" s="9">
        <v>2.6919999999999999E-3</v>
      </c>
      <c r="K30" s="9">
        <v>0</v>
      </c>
      <c r="L30" s="9">
        <v>2.7859999999999998E-3</v>
      </c>
      <c r="M30" s="8"/>
      <c r="N30" s="10">
        <v>237799292</v>
      </c>
      <c r="O30" s="10">
        <v>237799292</v>
      </c>
      <c r="P30" s="10">
        <v>260421590</v>
      </c>
      <c r="Q30" s="10">
        <v>69502044</v>
      </c>
      <c r="R30" s="10">
        <v>80614444</v>
      </c>
      <c r="S30" s="10">
        <v>87368644</v>
      </c>
      <c r="T30" s="10">
        <v>351117152</v>
      </c>
      <c r="U30" s="10">
        <v>248758012</v>
      </c>
      <c r="V30" s="10">
        <v>0</v>
      </c>
      <c r="W30" s="10">
        <v>257380436</v>
      </c>
      <c r="X30" s="8"/>
      <c r="Y30" s="11">
        <v>0</v>
      </c>
      <c r="Z30" s="12">
        <v>-22622298</v>
      </c>
      <c r="AA30" s="13">
        <v>190919546</v>
      </c>
      <c r="AB30" s="12">
        <v>-11112400</v>
      </c>
      <c r="AC30" s="12">
        <v>-6754200</v>
      </c>
      <c r="AD30" s="12">
        <v>-263748508</v>
      </c>
      <c r="AE30" s="13">
        <v>102359140</v>
      </c>
      <c r="AF30" s="13">
        <v>248758012</v>
      </c>
      <c r="AG30" s="12">
        <v>-257380436</v>
      </c>
      <c r="AH30" s="13">
        <v>257380436</v>
      </c>
      <c r="AI30" s="8"/>
      <c r="AJ30" s="10">
        <v>1462465646787.3999</v>
      </c>
      <c r="AK30" s="10">
        <v>1462465646787.3999</v>
      </c>
      <c r="AL30" s="10">
        <v>1354192268189.8</v>
      </c>
      <c r="AM30" s="10">
        <v>275401849037.40002</v>
      </c>
      <c r="AN30" s="10">
        <v>237812609589.75</v>
      </c>
      <c r="AO30" s="10">
        <v>216237393989.79999</v>
      </c>
      <c r="AP30" s="10">
        <v>1408857572548.75</v>
      </c>
      <c r="AQ30" s="10">
        <v>851996190544.5</v>
      </c>
      <c r="AR30" s="10">
        <v>0</v>
      </c>
      <c r="AS30" s="10">
        <v>612887163314.5</v>
      </c>
      <c r="AT30" s="8"/>
      <c r="AU30" s="14">
        <v>45473</v>
      </c>
      <c r="AV30" s="14">
        <v>45473</v>
      </c>
      <c r="AW30" s="14">
        <v>45107</v>
      </c>
      <c r="AX30" s="14">
        <v>44742</v>
      </c>
      <c r="AY30" s="14">
        <v>44377</v>
      </c>
      <c r="AZ30" s="14">
        <v>44012</v>
      </c>
      <c r="BA30" s="14">
        <v>43646</v>
      </c>
      <c r="BB30" s="14">
        <v>43281</v>
      </c>
      <c r="BC30" s="14">
        <v>42916</v>
      </c>
      <c r="BD30" s="14">
        <v>42551</v>
      </c>
      <c r="BE30" s="8"/>
      <c r="BF30" s="8" t="s">
        <v>24</v>
      </c>
      <c r="BG30" s="8" t="s">
        <v>24</v>
      </c>
      <c r="BH30" s="8" t="s">
        <v>24</v>
      </c>
      <c r="BI30" s="8" t="s">
        <v>24</v>
      </c>
      <c r="BJ30" s="8" t="s">
        <v>24</v>
      </c>
      <c r="BK30" s="8" t="s">
        <v>24</v>
      </c>
      <c r="BL30" s="8" t="s">
        <v>24</v>
      </c>
      <c r="BM30" s="8" t="s">
        <v>24</v>
      </c>
      <c r="BN30" s="8" t="s">
        <v>24</v>
      </c>
      <c r="BO30" s="8" t="s">
        <v>24</v>
      </c>
      <c r="BP30" s="8"/>
      <c r="BQ30" s="8" t="s">
        <v>31</v>
      </c>
      <c r="BR30" s="8" t="s">
        <v>53</v>
      </c>
      <c r="BS30" s="10">
        <v>3889939034264650</v>
      </c>
      <c r="BT30" s="8" t="s">
        <v>46</v>
      </c>
      <c r="BU30" s="8" t="s">
        <v>27</v>
      </c>
      <c r="BV30" s="8" t="s">
        <v>27</v>
      </c>
      <c r="BW30" s="8" t="s">
        <v>27</v>
      </c>
      <c r="BX30" s="8" t="s">
        <v>27</v>
      </c>
      <c r="BY30" s="8" t="s">
        <v>27</v>
      </c>
      <c r="BZ30" s="8" t="s">
        <v>27</v>
      </c>
      <c r="CA30" s="8" t="s">
        <v>27</v>
      </c>
      <c r="CB30" s="8" t="s">
        <v>27</v>
      </c>
      <c r="CC30" s="8" t="s">
        <v>27</v>
      </c>
      <c r="CD30" s="8" t="s">
        <v>27</v>
      </c>
      <c r="CE30" s="8"/>
      <c r="CF30" s="8" t="s">
        <v>89</v>
      </c>
      <c r="CG30" s="8" t="s">
        <v>39</v>
      </c>
    </row>
    <row r="31" spans="1:85" ht="15.75" customHeight="1" x14ac:dyDescent="0.35">
      <c r="A31" s="8">
        <v>24</v>
      </c>
      <c r="B31" s="8" t="s">
        <v>90</v>
      </c>
      <c r="C31" s="9">
        <v>2.415E-3</v>
      </c>
      <c r="D31" s="9">
        <v>2.4420000000000002E-3</v>
      </c>
      <c r="E31" s="9">
        <v>2.5660000000000001E-3</v>
      </c>
      <c r="F31" s="9">
        <v>2.8410000000000002E-3</v>
      </c>
      <c r="G31" s="9">
        <v>2.349E-3</v>
      </c>
      <c r="H31" s="9">
        <v>3.65E-3</v>
      </c>
      <c r="I31" s="9">
        <v>5.241E-3</v>
      </c>
      <c r="J31" s="9">
        <v>4.1260000000000003E-3</v>
      </c>
      <c r="K31" s="9">
        <v>6.2049999999999996E-3</v>
      </c>
      <c r="L31" s="9">
        <v>6.8979999999999996E-3</v>
      </c>
      <c r="M31" s="9">
        <v>5.5900000000000004E-3</v>
      </c>
      <c r="N31" s="10">
        <v>223133264</v>
      </c>
      <c r="O31" s="10">
        <v>225613864</v>
      </c>
      <c r="P31" s="10">
        <v>237083088</v>
      </c>
      <c r="Q31" s="10">
        <v>262499252</v>
      </c>
      <c r="R31" s="10">
        <v>217037968</v>
      </c>
      <c r="S31" s="10">
        <v>337291968</v>
      </c>
      <c r="T31" s="10">
        <v>484266568</v>
      </c>
      <c r="U31" s="10">
        <v>381215368</v>
      </c>
      <c r="V31" s="10">
        <v>573309700</v>
      </c>
      <c r="W31" s="10">
        <v>637332364</v>
      </c>
      <c r="X31" s="10">
        <v>516558632</v>
      </c>
      <c r="Y31" s="12">
        <v>-2480600</v>
      </c>
      <c r="Z31" s="12">
        <v>-11469224</v>
      </c>
      <c r="AA31" s="12">
        <v>-25416164</v>
      </c>
      <c r="AB31" s="13">
        <v>45461284</v>
      </c>
      <c r="AC31" s="12">
        <v>-120254000</v>
      </c>
      <c r="AD31" s="12">
        <v>-146974600</v>
      </c>
      <c r="AE31" s="13">
        <v>103051200</v>
      </c>
      <c r="AF31" s="12">
        <v>-192094332</v>
      </c>
      <c r="AG31" s="12">
        <v>-64022664</v>
      </c>
      <c r="AH31" s="13">
        <v>120773732</v>
      </c>
      <c r="AI31" s="13">
        <v>5630000</v>
      </c>
      <c r="AJ31" s="10">
        <v>981491797512.80005</v>
      </c>
      <c r="AK31" s="10">
        <v>1282809937626.5</v>
      </c>
      <c r="AL31" s="10">
        <v>1434352681281.45</v>
      </c>
      <c r="AM31" s="10">
        <v>1302652538999.8999</v>
      </c>
      <c r="AN31" s="10">
        <v>761544237255</v>
      </c>
      <c r="AO31" s="10">
        <v>1066685847598.8</v>
      </c>
      <c r="AP31" s="10">
        <v>1853032804100.3999</v>
      </c>
      <c r="AQ31" s="10">
        <v>1388347148787.5</v>
      </c>
      <c r="AR31" s="10">
        <v>2293238800267.5</v>
      </c>
      <c r="AS31" s="10">
        <v>1844280529306.5</v>
      </c>
      <c r="AT31" s="10">
        <v>1194975270505.3501</v>
      </c>
      <c r="AU31" s="14">
        <v>45930</v>
      </c>
      <c r="AV31" s="14">
        <v>45657</v>
      </c>
      <c r="AW31" s="14">
        <v>45291</v>
      </c>
      <c r="AX31" s="14">
        <v>44926</v>
      </c>
      <c r="AY31" s="14">
        <v>44561</v>
      </c>
      <c r="AZ31" s="14">
        <v>44196</v>
      </c>
      <c r="BA31" s="14">
        <v>43830</v>
      </c>
      <c r="BB31" s="14">
        <v>43465</v>
      </c>
      <c r="BC31" s="14">
        <v>43100</v>
      </c>
      <c r="BD31" s="14">
        <v>42735</v>
      </c>
      <c r="BE31" s="14">
        <v>42369</v>
      </c>
      <c r="BF31" s="8" t="s">
        <v>35</v>
      </c>
      <c r="BG31" s="8" t="s">
        <v>35</v>
      </c>
      <c r="BH31" s="8" t="s">
        <v>35</v>
      </c>
      <c r="BI31" s="8" t="s">
        <v>35</v>
      </c>
      <c r="BJ31" s="8" t="s">
        <v>35</v>
      </c>
      <c r="BK31" s="8" t="s">
        <v>35</v>
      </c>
      <c r="BL31" s="8" t="s">
        <v>35</v>
      </c>
      <c r="BM31" s="8" t="s">
        <v>35</v>
      </c>
      <c r="BN31" s="8" t="s">
        <v>35</v>
      </c>
      <c r="BO31" s="8" t="s">
        <v>35</v>
      </c>
      <c r="BP31" s="8" t="s">
        <v>35</v>
      </c>
      <c r="BQ31" s="8" t="s">
        <v>31</v>
      </c>
      <c r="BR31" s="8" t="s">
        <v>49</v>
      </c>
      <c r="BS31" s="10">
        <v>1.07704281935956E+16</v>
      </c>
      <c r="BT31" s="8" t="s">
        <v>91</v>
      </c>
      <c r="BU31" s="8" t="s">
        <v>27</v>
      </c>
      <c r="BV31" s="8" t="s">
        <v>27</v>
      </c>
      <c r="BW31" s="8" t="s">
        <v>27</v>
      </c>
      <c r="BX31" s="8" t="s">
        <v>27</v>
      </c>
      <c r="BY31" s="8" t="s">
        <v>27</v>
      </c>
      <c r="BZ31" s="8" t="s">
        <v>27</v>
      </c>
      <c r="CA31" s="8" t="s">
        <v>27</v>
      </c>
      <c r="CB31" s="8" t="s">
        <v>27</v>
      </c>
      <c r="CC31" s="8" t="s">
        <v>27</v>
      </c>
      <c r="CD31" s="8" t="s">
        <v>27</v>
      </c>
      <c r="CE31" s="8" t="s">
        <v>27</v>
      </c>
      <c r="CF31" s="8" t="s">
        <v>92</v>
      </c>
      <c r="CG31" s="8" t="s">
        <v>39</v>
      </c>
    </row>
    <row r="32" spans="1:85" ht="15.75" customHeight="1" x14ac:dyDescent="0.35">
      <c r="A32" s="8">
        <v>25</v>
      </c>
      <c r="B32" s="8" t="s">
        <v>93</v>
      </c>
      <c r="C32" s="9">
        <v>2.317E-3</v>
      </c>
      <c r="D32" s="9">
        <v>3.2799999999999999E-3</v>
      </c>
      <c r="E32" s="9">
        <v>4.5970000000000004E-3</v>
      </c>
      <c r="F32" s="9">
        <v>3.1229999999999999E-3</v>
      </c>
      <c r="G32" s="8"/>
      <c r="H32" s="8"/>
      <c r="I32" s="8"/>
      <c r="J32" s="8"/>
      <c r="K32" s="8"/>
      <c r="L32" s="8"/>
      <c r="M32" s="8"/>
      <c r="N32" s="10">
        <v>214051700</v>
      </c>
      <c r="O32" s="10">
        <v>303031300</v>
      </c>
      <c r="P32" s="10">
        <v>424754000</v>
      </c>
      <c r="Q32" s="10">
        <v>288606800</v>
      </c>
      <c r="R32" s="8"/>
      <c r="S32" s="8"/>
      <c r="T32" s="8"/>
      <c r="U32" s="8"/>
      <c r="V32" s="8"/>
      <c r="W32" s="8"/>
      <c r="X32" s="8"/>
      <c r="Y32" s="12">
        <v>-88979600</v>
      </c>
      <c r="Z32" s="12">
        <v>-121722700</v>
      </c>
      <c r="AA32" s="13">
        <v>136147200</v>
      </c>
      <c r="AB32" s="13">
        <v>288606800</v>
      </c>
      <c r="AC32" s="8"/>
      <c r="AD32" s="8"/>
      <c r="AE32" s="8"/>
      <c r="AF32" s="8"/>
      <c r="AG32" s="8"/>
      <c r="AH32" s="8"/>
      <c r="AI32" s="8"/>
      <c r="AJ32" s="10">
        <v>941544904830.59998</v>
      </c>
      <c r="AK32" s="10">
        <v>1722995015262.5</v>
      </c>
      <c r="AL32" s="10">
        <v>2569761698011.3501</v>
      </c>
      <c r="AM32" s="10">
        <v>1432211246092</v>
      </c>
      <c r="AN32" s="8"/>
      <c r="AO32" s="8"/>
      <c r="AP32" s="8"/>
      <c r="AQ32" s="8"/>
      <c r="AR32" s="8"/>
      <c r="AS32" s="8"/>
      <c r="AT32" s="8"/>
      <c r="AU32" s="14">
        <v>45930</v>
      </c>
      <c r="AV32" s="14">
        <v>45657</v>
      </c>
      <c r="AW32" s="14">
        <v>45291</v>
      </c>
      <c r="AX32" s="14">
        <v>44926</v>
      </c>
      <c r="AY32" s="8"/>
      <c r="AZ32" s="8"/>
      <c r="BA32" s="8"/>
      <c r="BB32" s="8"/>
      <c r="BC32" s="8"/>
      <c r="BD32" s="8"/>
      <c r="BE32" s="8"/>
      <c r="BF32" s="8" t="s">
        <v>35</v>
      </c>
      <c r="BG32" s="8" t="s">
        <v>35</v>
      </c>
      <c r="BH32" s="8" t="s">
        <v>35</v>
      </c>
      <c r="BI32" s="8" t="s">
        <v>35</v>
      </c>
      <c r="BJ32" s="8"/>
      <c r="BK32" s="8"/>
      <c r="BL32" s="8"/>
      <c r="BM32" s="8"/>
      <c r="BN32" s="8"/>
      <c r="BO32" s="8"/>
      <c r="BP32" s="8"/>
      <c r="BQ32" s="8" t="s">
        <v>31</v>
      </c>
      <c r="BR32" s="8" t="s">
        <v>36</v>
      </c>
      <c r="BS32" s="10">
        <v>427287883584552</v>
      </c>
      <c r="BT32" s="8" t="s">
        <v>41</v>
      </c>
      <c r="BU32" s="8" t="s">
        <v>27</v>
      </c>
      <c r="BV32" s="8" t="s">
        <v>42</v>
      </c>
      <c r="BW32" s="8" t="s">
        <v>27</v>
      </c>
      <c r="BX32" s="8" t="s">
        <v>42</v>
      </c>
      <c r="BY32" s="8"/>
      <c r="BZ32" s="8"/>
      <c r="CA32" s="8"/>
      <c r="CB32" s="8"/>
      <c r="CC32" s="8"/>
      <c r="CD32" s="8"/>
      <c r="CE32" s="8"/>
      <c r="CF32" s="8" t="s">
        <v>50</v>
      </c>
      <c r="CG32" s="8" t="s">
        <v>51</v>
      </c>
    </row>
    <row r="33" spans="1:85" ht="15.75" customHeight="1" x14ac:dyDescent="0.35">
      <c r="A33" s="8">
        <v>26</v>
      </c>
      <c r="B33" s="8" t="s">
        <v>94</v>
      </c>
      <c r="C33" s="9">
        <v>2.2269999999999998E-3</v>
      </c>
      <c r="D33" s="9">
        <v>1.554E-3</v>
      </c>
      <c r="E33" s="8"/>
      <c r="F33" s="8"/>
      <c r="G33" s="9">
        <v>0</v>
      </c>
      <c r="H33" s="9">
        <v>0</v>
      </c>
      <c r="I33" s="9">
        <v>1.95E-4</v>
      </c>
      <c r="J33" s="9">
        <v>0</v>
      </c>
      <c r="K33" s="9">
        <v>1.0399999999999999E-4</v>
      </c>
      <c r="L33" s="9">
        <v>3.1199999999999999E-4</v>
      </c>
      <c r="M33" s="9">
        <v>2.0799999999999999E-4</v>
      </c>
      <c r="N33" s="10">
        <v>205775671</v>
      </c>
      <c r="O33" s="10">
        <v>143591129</v>
      </c>
      <c r="P33" s="8"/>
      <c r="Q33" s="8"/>
      <c r="R33" s="10">
        <v>0</v>
      </c>
      <c r="S33" s="10">
        <v>0</v>
      </c>
      <c r="T33" s="10">
        <v>18000000</v>
      </c>
      <c r="U33" s="10">
        <v>0</v>
      </c>
      <c r="V33" s="10">
        <v>9600000</v>
      </c>
      <c r="W33" s="10">
        <v>28800000</v>
      </c>
      <c r="X33" s="10">
        <v>19200000</v>
      </c>
      <c r="Y33" s="13">
        <v>62184542</v>
      </c>
      <c r="Z33" s="13">
        <v>143591129</v>
      </c>
      <c r="AA33" s="8"/>
      <c r="AB33" s="8"/>
      <c r="AC33" s="11">
        <v>0</v>
      </c>
      <c r="AD33" s="12">
        <v>-18000000</v>
      </c>
      <c r="AE33" s="13">
        <v>18000000</v>
      </c>
      <c r="AF33" s="12">
        <v>-9600000</v>
      </c>
      <c r="AG33" s="12">
        <v>-19200000</v>
      </c>
      <c r="AH33" s="13">
        <v>9600000</v>
      </c>
      <c r="AI33" s="11">
        <v>0</v>
      </c>
      <c r="AJ33" s="10">
        <v>1006106982910.8</v>
      </c>
      <c r="AK33" s="10">
        <v>816439752318.69995</v>
      </c>
      <c r="AL33" s="8"/>
      <c r="AM33" s="8"/>
      <c r="AN33" s="10">
        <v>0</v>
      </c>
      <c r="AO33" s="10">
        <v>0</v>
      </c>
      <c r="AP33" s="10">
        <v>68876508721.199997</v>
      </c>
      <c r="AQ33" s="10">
        <v>0</v>
      </c>
      <c r="AR33" s="10">
        <v>38400000049</v>
      </c>
      <c r="AS33" s="10">
        <v>83340000062.699997</v>
      </c>
      <c r="AT33" s="10">
        <v>44416110333.599998</v>
      </c>
      <c r="AU33" s="14">
        <v>45838</v>
      </c>
      <c r="AV33" s="14">
        <v>45657</v>
      </c>
      <c r="AW33" s="8"/>
      <c r="AX33" s="8"/>
      <c r="AY33" s="14">
        <v>44104</v>
      </c>
      <c r="AZ33" s="14">
        <v>44104</v>
      </c>
      <c r="BA33" s="14">
        <v>43830</v>
      </c>
      <c r="BB33" s="14">
        <v>43465</v>
      </c>
      <c r="BC33" s="14">
        <v>43100</v>
      </c>
      <c r="BD33" s="14">
        <v>42735</v>
      </c>
      <c r="BE33" s="14">
        <v>42369</v>
      </c>
      <c r="BF33" s="8" t="s">
        <v>35</v>
      </c>
      <c r="BG33" s="8" t="s">
        <v>35</v>
      </c>
      <c r="BH33" s="8"/>
      <c r="BI33" s="8"/>
      <c r="BJ33" s="8" t="s">
        <v>35</v>
      </c>
      <c r="BK33" s="8" t="s">
        <v>35</v>
      </c>
      <c r="BL33" s="8" t="s">
        <v>35</v>
      </c>
      <c r="BM33" s="8" t="s">
        <v>35</v>
      </c>
      <c r="BN33" s="8" t="s">
        <v>35</v>
      </c>
      <c r="BO33" s="8" t="s">
        <v>35</v>
      </c>
      <c r="BP33" s="8" t="s">
        <v>35</v>
      </c>
      <c r="BQ33" s="8" t="s">
        <v>31</v>
      </c>
      <c r="BR33" s="8" t="s">
        <v>36</v>
      </c>
      <c r="BS33" s="10">
        <v>2215732617046810</v>
      </c>
      <c r="BT33" s="8" t="s">
        <v>41</v>
      </c>
      <c r="BU33" s="8"/>
      <c r="BV33" s="8" t="s">
        <v>42</v>
      </c>
      <c r="BW33" s="8"/>
      <c r="BX33" s="8"/>
      <c r="BY33" s="8" t="s">
        <v>42</v>
      </c>
      <c r="BZ33" s="8" t="s">
        <v>42</v>
      </c>
      <c r="CA33" s="8" t="s">
        <v>42</v>
      </c>
      <c r="CB33" s="8" t="s">
        <v>42</v>
      </c>
      <c r="CC33" s="8" t="s">
        <v>27</v>
      </c>
      <c r="CD33" s="8" t="s">
        <v>27</v>
      </c>
      <c r="CE33" s="8" t="s">
        <v>27</v>
      </c>
      <c r="CF33" s="8" t="s">
        <v>95</v>
      </c>
      <c r="CG33" s="8" t="s">
        <v>96</v>
      </c>
    </row>
    <row r="34" spans="1:85" ht="15.75" customHeight="1" x14ac:dyDescent="0.35">
      <c r="A34" s="8">
        <v>27</v>
      </c>
      <c r="B34" s="8" t="s">
        <v>97</v>
      </c>
      <c r="C34" s="9">
        <v>1.983E-3</v>
      </c>
      <c r="D34" s="9">
        <v>2.2650000000000001E-3</v>
      </c>
      <c r="E34" s="9">
        <v>3.5829999999999998E-3</v>
      </c>
      <c r="F34" s="9">
        <v>5.5030000000000001E-3</v>
      </c>
      <c r="G34" s="9">
        <v>1.1096999999999999E-2</v>
      </c>
      <c r="H34" s="8"/>
      <c r="I34" s="8"/>
      <c r="J34" s="8"/>
      <c r="K34" s="8"/>
      <c r="L34" s="8"/>
      <c r="M34" s="8"/>
      <c r="N34" s="10">
        <v>183204250</v>
      </c>
      <c r="O34" s="10">
        <v>209320845</v>
      </c>
      <c r="P34" s="10">
        <v>331043548</v>
      </c>
      <c r="Q34" s="10">
        <v>508449148</v>
      </c>
      <c r="R34" s="10">
        <v>1025372600</v>
      </c>
      <c r="S34" s="8"/>
      <c r="T34" s="8"/>
      <c r="U34" s="8"/>
      <c r="V34" s="8"/>
      <c r="W34" s="8"/>
      <c r="X34" s="8"/>
      <c r="Y34" s="12">
        <v>-26116595</v>
      </c>
      <c r="Z34" s="12">
        <v>-121722703</v>
      </c>
      <c r="AA34" s="12">
        <v>-177405600</v>
      </c>
      <c r="AB34" s="12">
        <v>-516923452</v>
      </c>
      <c r="AC34" s="13">
        <v>1025372600</v>
      </c>
      <c r="AD34" s="8"/>
      <c r="AE34" s="8"/>
      <c r="AF34" s="8"/>
      <c r="AG34" s="8"/>
      <c r="AH34" s="8"/>
      <c r="AI34" s="8"/>
      <c r="AJ34" s="10">
        <v>874245859167.44995</v>
      </c>
      <c r="AK34" s="10">
        <v>1190170033595.1001</v>
      </c>
      <c r="AL34" s="10">
        <v>2002813463787.1001</v>
      </c>
      <c r="AM34" s="10">
        <v>2523178898820.7998</v>
      </c>
      <c r="AN34" s="10">
        <v>3597834064447.5</v>
      </c>
      <c r="AO34" s="8"/>
      <c r="AP34" s="8"/>
      <c r="AQ34" s="8"/>
      <c r="AR34" s="8"/>
      <c r="AS34" s="8"/>
      <c r="AT34" s="8"/>
      <c r="AU34" s="14">
        <v>45900</v>
      </c>
      <c r="AV34" s="14">
        <v>45657</v>
      </c>
      <c r="AW34" s="14">
        <v>45291</v>
      </c>
      <c r="AX34" s="14">
        <v>44926</v>
      </c>
      <c r="AY34" s="14">
        <v>44561</v>
      </c>
      <c r="AZ34" s="8"/>
      <c r="BA34" s="8"/>
      <c r="BB34" s="8"/>
      <c r="BC34" s="8"/>
      <c r="BD34" s="8"/>
      <c r="BE34" s="8"/>
      <c r="BF34" s="8" t="s">
        <v>35</v>
      </c>
      <c r="BG34" s="8" t="s">
        <v>35</v>
      </c>
      <c r="BH34" s="8" t="s">
        <v>35</v>
      </c>
      <c r="BI34" s="8" t="s">
        <v>35</v>
      </c>
      <c r="BJ34" s="8" t="s">
        <v>35</v>
      </c>
      <c r="BK34" s="8"/>
      <c r="BL34" s="8"/>
      <c r="BM34" s="8"/>
      <c r="BN34" s="8"/>
      <c r="BO34" s="8"/>
      <c r="BP34" s="8"/>
      <c r="BQ34" s="8" t="s">
        <v>31</v>
      </c>
      <c r="BR34" s="8" t="s">
        <v>49</v>
      </c>
      <c r="BS34" s="10">
        <v>430475467468736</v>
      </c>
      <c r="BT34" s="8" t="s">
        <v>57</v>
      </c>
      <c r="BU34" s="8" t="s">
        <v>27</v>
      </c>
      <c r="BV34" s="8" t="s">
        <v>42</v>
      </c>
      <c r="BW34" s="8" t="s">
        <v>27</v>
      </c>
      <c r="BX34" s="8" t="s">
        <v>27</v>
      </c>
      <c r="BY34" s="8" t="s">
        <v>42</v>
      </c>
      <c r="BZ34" s="8"/>
      <c r="CA34" s="8"/>
      <c r="CB34" s="8"/>
      <c r="CC34" s="8"/>
      <c r="CD34" s="8"/>
      <c r="CE34" s="8"/>
      <c r="CF34" s="8" t="s">
        <v>98</v>
      </c>
      <c r="CG34" s="8" t="s">
        <v>99</v>
      </c>
    </row>
    <row r="35" spans="1:85" ht="15.75" customHeight="1" x14ac:dyDescent="0.35">
      <c r="A35" s="8">
        <v>28</v>
      </c>
      <c r="B35" s="8" t="s">
        <v>100</v>
      </c>
      <c r="C35" s="9">
        <v>1.6720000000000001E-3</v>
      </c>
      <c r="D35" s="9">
        <v>8.7200000000000005E-4</v>
      </c>
      <c r="E35" s="8"/>
      <c r="F35" s="8"/>
      <c r="G35" s="8"/>
      <c r="H35" s="8"/>
      <c r="I35" s="8"/>
      <c r="J35" s="8"/>
      <c r="K35" s="8"/>
      <c r="L35" s="8"/>
      <c r="M35" s="8"/>
      <c r="N35" s="10">
        <v>154448139</v>
      </c>
      <c r="O35" s="10">
        <v>80554400</v>
      </c>
      <c r="P35" s="8"/>
      <c r="Q35" s="8"/>
      <c r="R35" s="8"/>
      <c r="S35" s="8"/>
      <c r="T35" s="8"/>
      <c r="U35" s="8"/>
      <c r="V35" s="8"/>
      <c r="W35" s="8"/>
      <c r="X35" s="8"/>
      <c r="Y35" s="13">
        <v>73893739</v>
      </c>
      <c r="Z35" s="13">
        <v>80554400</v>
      </c>
      <c r="AA35" s="8"/>
      <c r="AB35" s="8"/>
      <c r="AC35" s="8"/>
      <c r="AD35" s="8"/>
      <c r="AE35" s="8"/>
      <c r="AF35" s="8"/>
      <c r="AG35" s="8"/>
      <c r="AH35" s="8"/>
      <c r="AI35" s="8"/>
      <c r="AJ35" s="10">
        <v>679367920589.40002</v>
      </c>
      <c r="AK35" s="10">
        <v>458021431047.29999</v>
      </c>
      <c r="AL35" s="8"/>
      <c r="AM35" s="8"/>
      <c r="AN35" s="8"/>
      <c r="AO35" s="8"/>
      <c r="AP35" s="8"/>
      <c r="AQ35" s="8"/>
      <c r="AR35" s="8"/>
      <c r="AS35" s="8"/>
      <c r="AT35" s="8"/>
      <c r="AU35" s="14">
        <v>45930</v>
      </c>
      <c r="AV35" s="14">
        <v>45657</v>
      </c>
      <c r="AW35" s="8"/>
      <c r="AX35" s="8"/>
      <c r="AY35" s="8"/>
      <c r="AZ35" s="8"/>
      <c r="BA35" s="8"/>
      <c r="BB35" s="8"/>
      <c r="BC35" s="8"/>
      <c r="BD35" s="8"/>
      <c r="BE35" s="8"/>
      <c r="BF35" s="8" t="s">
        <v>35</v>
      </c>
      <c r="BG35" s="8" t="s">
        <v>35</v>
      </c>
      <c r="BH35" s="8"/>
      <c r="BI35" s="8"/>
      <c r="BJ35" s="8"/>
      <c r="BK35" s="8"/>
      <c r="BL35" s="8"/>
      <c r="BM35" s="8"/>
      <c r="BN35" s="8"/>
      <c r="BO35" s="8"/>
      <c r="BP35" s="8"/>
      <c r="BQ35" s="8" t="s">
        <v>31</v>
      </c>
      <c r="BR35" s="8" t="s">
        <v>49</v>
      </c>
      <c r="BS35" s="10">
        <v>51514580341462.797</v>
      </c>
      <c r="BT35" s="8" t="s">
        <v>101</v>
      </c>
      <c r="BU35" s="8" t="s">
        <v>42</v>
      </c>
      <c r="BV35" s="8" t="s">
        <v>43</v>
      </c>
      <c r="BW35" s="8"/>
      <c r="BX35" s="8"/>
      <c r="BY35" s="8"/>
      <c r="BZ35" s="8"/>
      <c r="CA35" s="8"/>
      <c r="CB35" s="8"/>
      <c r="CC35" s="8"/>
      <c r="CD35" s="8"/>
      <c r="CE35" s="8"/>
      <c r="CF35" s="8" t="s">
        <v>50</v>
      </c>
      <c r="CG35" s="8" t="s">
        <v>51</v>
      </c>
    </row>
    <row r="36" spans="1:85" ht="15.75" customHeight="1" x14ac:dyDescent="0.35">
      <c r="A36" s="8">
        <v>29</v>
      </c>
      <c r="B36" s="8" t="s">
        <v>102</v>
      </c>
      <c r="C36" s="9">
        <v>1.596E-3</v>
      </c>
      <c r="D36" s="9">
        <v>1.06E-4</v>
      </c>
      <c r="E36" s="9">
        <v>2.1900000000000001E-4</v>
      </c>
      <c r="F36" s="9">
        <v>8.8999999999999995E-5</v>
      </c>
      <c r="G36" s="8"/>
      <c r="H36" s="8"/>
      <c r="I36" s="8"/>
      <c r="J36" s="8"/>
      <c r="K36" s="8"/>
      <c r="L36" s="8"/>
      <c r="M36" s="8"/>
      <c r="N36" s="10">
        <v>147439505</v>
      </c>
      <c r="O36" s="10">
        <v>9773918</v>
      </c>
      <c r="P36" s="10">
        <v>20273936</v>
      </c>
      <c r="Q36" s="10">
        <v>8205090</v>
      </c>
      <c r="R36" s="8"/>
      <c r="S36" s="8"/>
      <c r="T36" s="8"/>
      <c r="U36" s="8"/>
      <c r="V36" s="8"/>
      <c r="W36" s="8"/>
      <c r="X36" s="8"/>
      <c r="Y36" s="13">
        <v>137665587</v>
      </c>
      <c r="Z36" s="12">
        <v>-10500018</v>
      </c>
      <c r="AA36" s="13">
        <v>12068846</v>
      </c>
      <c r="AB36" s="13">
        <v>8205090</v>
      </c>
      <c r="AC36" s="8"/>
      <c r="AD36" s="8"/>
      <c r="AE36" s="8"/>
      <c r="AF36" s="8"/>
      <c r="AG36" s="8"/>
      <c r="AH36" s="8"/>
      <c r="AI36" s="8"/>
      <c r="AJ36" s="10">
        <v>648539183352.19995</v>
      </c>
      <c r="AK36" s="10">
        <v>55573176664.199997</v>
      </c>
      <c r="AL36" s="10">
        <v>122657312761.14999</v>
      </c>
      <c r="AM36" s="10">
        <v>40717759207.400002</v>
      </c>
      <c r="AN36" s="8"/>
      <c r="AO36" s="8"/>
      <c r="AP36" s="8"/>
      <c r="AQ36" s="8"/>
      <c r="AR36" s="8"/>
      <c r="AS36" s="8"/>
      <c r="AT36" s="8"/>
      <c r="AU36" s="14">
        <v>45930</v>
      </c>
      <c r="AV36" s="14">
        <v>45657</v>
      </c>
      <c r="AW36" s="14">
        <v>45291</v>
      </c>
      <c r="AX36" s="14">
        <v>44926</v>
      </c>
      <c r="AY36" s="8"/>
      <c r="AZ36" s="8"/>
      <c r="BA36" s="8"/>
      <c r="BB36" s="8"/>
      <c r="BC36" s="8"/>
      <c r="BD36" s="8"/>
      <c r="BE36" s="8"/>
      <c r="BF36" s="8" t="s">
        <v>35</v>
      </c>
      <c r="BG36" s="8" t="s">
        <v>35</v>
      </c>
      <c r="BH36" s="8" t="s">
        <v>35</v>
      </c>
      <c r="BI36" s="8" t="s">
        <v>35</v>
      </c>
      <c r="BJ36" s="8"/>
      <c r="BK36" s="8"/>
      <c r="BL36" s="8"/>
      <c r="BM36" s="8"/>
      <c r="BN36" s="8"/>
      <c r="BO36" s="8"/>
      <c r="BP36" s="8"/>
      <c r="BQ36" s="8" t="s">
        <v>31</v>
      </c>
      <c r="BR36" s="8" t="s">
        <v>49</v>
      </c>
      <c r="BS36" s="10">
        <v>217094977328808</v>
      </c>
      <c r="BT36" s="8" t="s">
        <v>101</v>
      </c>
      <c r="BU36" s="8" t="s">
        <v>42</v>
      </c>
      <c r="BV36" s="8" t="s">
        <v>42</v>
      </c>
      <c r="BW36" s="8" t="s">
        <v>42</v>
      </c>
      <c r="BX36" s="8" t="s">
        <v>42</v>
      </c>
      <c r="BY36" s="8"/>
      <c r="BZ36" s="8"/>
      <c r="CA36" s="8"/>
      <c r="CB36" s="8"/>
      <c r="CC36" s="8"/>
      <c r="CD36" s="8"/>
      <c r="CE36" s="8"/>
      <c r="CF36" s="8" t="s">
        <v>50</v>
      </c>
      <c r="CG36" s="8" t="s">
        <v>51</v>
      </c>
    </row>
    <row r="37" spans="1:85" ht="15.75" customHeight="1" x14ac:dyDescent="0.35">
      <c r="A37" s="8">
        <v>30</v>
      </c>
      <c r="B37" s="8" t="s">
        <v>103</v>
      </c>
      <c r="C37" s="9">
        <v>1.5590000000000001E-3</v>
      </c>
      <c r="D37" s="9">
        <v>7.5600000000000005E-4</v>
      </c>
      <c r="E37" s="9">
        <v>8.34E-4</v>
      </c>
      <c r="F37" s="9">
        <v>5.8799999999999998E-4</v>
      </c>
      <c r="G37" s="9">
        <v>0</v>
      </c>
      <c r="H37" s="9">
        <v>2.43E-4</v>
      </c>
      <c r="I37" s="8"/>
      <c r="J37" s="8"/>
      <c r="K37" s="8"/>
      <c r="L37" s="8"/>
      <c r="M37" s="8"/>
      <c r="N37" s="10">
        <v>144032600</v>
      </c>
      <c r="O37" s="10">
        <v>69899908</v>
      </c>
      <c r="P37" s="10">
        <v>77085476</v>
      </c>
      <c r="Q37" s="10">
        <v>54369404</v>
      </c>
      <c r="R37" s="10">
        <v>0</v>
      </c>
      <c r="S37" s="10">
        <v>22432400</v>
      </c>
      <c r="T37" s="8"/>
      <c r="U37" s="8"/>
      <c r="V37" s="8"/>
      <c r="W37" s="8"/>
      <c r="X37" s="8"/>
      <c r="Y37" s="13">
        <v>74132692</v>
      </c>
      <c r="Z37" s="12">
        <v>-7185568</v>
      </c>
      <c r="AA37" s="13">
        <v>22716072</v>
      </c>
      <c r="AB37" s="13">
        <v>54369404</v>
      </c>
      <c r="AC37" s="12">
        <v>-22432400</v>
      </c>
      <c r="AD37" s="13">
        <v>22432400</v>
      </c>
      <c r="AE37" s="8"/>
      <c r="AF37" s="8"/>
      <c r="AG37" s="8"/>
      <c r="AH37" s="8"/>
      <c r="AI37" s="8"/>
      <c r="AJ37" s="10">
        <v>633553298771.40002</v>
      </c>
      <c r="AK37" s="10">
        <v>397441429486</v>
      </c>
      <c r="AL37" s="10">
        <v>466367129467.20001</v>
      </c>
      <c r="AM37" s="10">
        <v>269808167504.70001</v>
      </c>
      <c r="AN37" s="10">
        <v>0</v>
      </c>
      <c r="AO37" s="10">
        <v>70942464964.800003</v>
      </c>
      <c r="AP37" s="8"/>
      <c r="AQ37" s="8"/>
      <c r="AR37" s="8"/>
      <c r="AS37" s="8"/>
      <c r="AT37" s="8"/>
      <c r="AU37" s="14">
        <v>45930</v>
      </c>
      <c r="AV37" s="14">
        <v>45657</v>
      </c>
      <c r="AW37" s="14">
        <v>45291</v>
      </c>
      <c r="AX37" s="14">
        <v>44926</v>
      </c>
      <c r="AY37" s="14">
        <v>44439</v>
      </c>
      <c r="AZ37" s="14">
        <v>44196</v>
      </c>
      <c r="BA37" s="8"/>
      <c r="BB37" s="8"/>
      <c r="BC37" s="8"/>
      <c r="BD37" s="8"/>
      <c r="BE37" s="8"/>
      <c r="BF37" s="8" t="s">
        <v>35</v>
      </c>
      <c r="BG37" s="8" t="s">
        <v>35</v>
      </c>
      <c r="BH37" s="8" t="s">
        <v>35</v>
      </c>
      <c r="BI37" s="8" t="s">
        <v>35</v>
      </c>
      <c r="BJ37" s="8" t="s">
        <v>35</v>
      </c>
      <c r="BK37" s="8" t="s">
        <v>35</v>
      </c>
      <c r="BL37" s="8"/>
      <c r="BM37" s="8"/>
      <c r="BN37" s="8"/>
      <c r="BO37" s="8"/>
      <c r="BP37" s="8"/>
      <c r="BQ37" s="8" t="s">
        <v>31</v>
      </c>
      <c r="BR37" s="8" t="s">
        <v>49</v>
      </c>
      <c r="BS37" s="10">
        <v>103711385783231</v>
      </c>
      <c r="BT37" s="8" t="s">
        <v>61</v>
      </c>
      <c r="BU37" s="8" t="s">
        <v>27</v>
      </c>
      <c r="BV37" s="8" t="s">
        <v>42</v>
      </c>
      <c r="BW37" s="8" t="s">
        <v>42</v>
      </c>
      <c r="BX37" s="8" t="s">
        <v>42</v>
      </c>
      <c r="BY37" s="8" t="s">
        <v>42</v>
      </c>
      <c r="BZ37" s="8" t="s">
        <v>42</v>
      </c>
      <c r="CA37" s="8"/>
      <c r="CB37" s="8"/>
      <c r="CC37" s="8"/>
      <c r="CD37" s="8"/>
      <c r="CE37" s="8"/>
      <c r="CF37" s="8" t="s">
        <v>50</v>
      </c>
      <c r="CG37" s="8" t="s">
        <v>51</v>
      </c>
    </row>
    <row r="38" spans="1:85" ht="15.75" customHeight="1" x14ac:dyDescent="0.35">
      <c r="A38" s="8">
        <v>31</v>
      </c>
      <c r="B38" s="8" t="s">
        <v>104</v>
      </c>
      <c r="C38" s="9">
        <v>1.547E-3</v>
      </c>
      <c r="D38" s="9">
        <v>9.1600000000000004E-4</v>
      </c>
      <c r="E38" s="9">
        <v>9.7599999999999998E-4</v>
      </c>
      <c r="F38" s="9">
        <v>1.2489999999999999E-3</v>
      </c>
      <c r="G38" s="9">
        <v>1.6850000000000001E-3</v>
      </c>
      <c r="H38" s="9">
        <v>1.1249999999999999E-3</v>
      </c>
      <c r="I38" s="8"/>
      <c r="J38" s="8"/>
      <c r="K38" s="8"/>
      <c r="L38" s="8"/>
      <c r="M38" s="8"/>
      <c r="N38" s="10">
        <v>142959335</v>
      </c>
      <c r="O38" s="10">
        <v>84671600</v>
      </c>
      <c r="P38" s="10">
        <v>90158900</v>
      </c>
      <c r="Q38" s="10">
        <v>115369000</v>
      </c>
      <c r="R38" s="10">
        <v>155732000</v>
      </c>
      <c r="S38" s="10">
        <v>103916200</v>
      </c>
      <c r="T38" s="8"/>
      <c r="U38" s="8"/>
      <c r="V38" s="8"/>
      <c r="W38" s="8"/>
      <c r="X38" s="8"/>
      <c r="Y38" s="13">
        <v>58287735</v>
      </c>
      <c r="Z38" s="12">
        <v>-5487300</v>
      </c>
      <c r="AA38" s="12">
        <v>-25210100</v>
      </c>
      <c r="AB38" s="12">
        <v>-40363000</v>
      </c>
      <c r="AC38" s="13">
        <v>51815800</v>
      </c>
      <c r="AD38" s="13">
        <v>103916200</v>
      </c>
      <c r="AE38" s="8"/>
      <c r="AF38" s="8"/>
      <c r="AG38" s="8"/>
      <c r="AH38" s="8"/>
      <c r="AI38" s="8"/>
      <c r="AJ38" s="10">
        <v>647304339132.5</v>
      </c>
      <c r="AK38" s="10">
        <v>481431273733.5</v>
      </c>
      <c r="AL38" s="10">
        <v>545461344510.90002</v>
      </c>
      <c r="AM38" s="10">
        <v>572518662879.34998</v>
      </c>
      <c r="AN38" s="10">
        <v>546433457017.5</v>
      </c>
      <c r="AO38" s="10">
        <v>328634982140.40002</v>
      </c>
      <c r="AP38" s="8"/>
      <c r="AQ38" s="8"/>
      <c r="AR38" s="8"/>
      <c r="AS38" s="8"/>
      <c r="AT38" s="8"/>
      <c r="AU38" s="14">
        <v>45869</v>
      </c>
      <c r="AV38" s="14">
        <v>45657</v>
      </c>
      <c r="AW38" s="14">
        <v>45291</v>
      </c>
      <c r="AX38" s="14">
        <v>44926</v>
      </c>
      <c r="AY38" s="14">
        <v>44561</v>
      </c>
      <c r="AZ38" s="14">
        <v>44196</v>
      </c>
      <c r="BA38" s="8"/>
      <c r="BB38" s="8"/>
      <c r="BC38" s="8"/>
      <c r="BD38" s="8"/>
      <c r="BE38" s="8"/>
      <c r="BF38" s="8" t="s">
        <v>35</v>
      </c>
      <c r="BG38" s="8" t="s">
        <v>35</v>
      </c>
      <c r="BH38" s="8" t="s">
        <v>35</v>
      </c>
      <c r="BI38" s="8" t="s">
        <v>35</v>
      </c>
      <c r="BJ38" s="8" t="s">
        <v>35</v>
      </c>
      <c r="BK38" s="8" t="s">
        <v>35</v>
      </c>
      <c r="BL38" s="8"/>
      <c r="BM38" s="8"/>
      <c r="BN38" s="8"/>
      <c r="BO38" s="8"/>
      <c r="BP38" s="8"/>
      <c r="BQ38" s="8" t="s">
        <v>31</v>
      </c>
      <c r="BR38" s="8" t="s">
        <v>49</v>
      </c>
      <c r="BS38" s="10">
        <v>391508156430216</v>
      </c>
      <c r="BT38" s="8" t="s">
        <v>37</v>
      </c>
      <c r="BU38" s="8" t="s">
        <v>27</v>
      </c>
      <c r="BV38" s="8" t="s">
        <v>27</v>
      </c>
      <c r="BW38" s="8" t="s">
        <v>27</v>
      </c>
      <c r="BX38" s="8" t="s">
        <v>27</v>
      </c>
      <c r="BY38" s="8" t="s">
        <v>42</v>
      </c>
      <c r="BZ38" s="8" t="s">
        <v>27</v>
      </c>
      <c r="CA38" s="8"/>
      <c r="CB38" s="8"/>
      <c r="CC38" s="8"/>
      <c r="CD38" s="8"/>
      <c r="CE38" s="8"/>
      <c r="CF38" s="8" t="s">
        <v>50</v>
      </c>
      <c r="CG38" s="8" t="s">
        <v>51</v>
      </c>
    </row>
    <row r="39" spans="1:85" ht="15.75" customHeight="1" x14ac:dyDescent="0.35">
      <c r="A39" s="8">
        <v>32</v>
      </c>
      <c r="B39" s="8" t="s">
        <v>105</v>
      </c>
      <c r="C39" s="9">
        <v>1.534E-3</v>
      </c>
      <c r="D39" s="8"/>
      <c r="E39" s="8"/>
      <c r="F39" s="8"/>
      <c r="G39" s="8"/>
      <c r="H39" s="8"/>
      <c r="I39" s="8"/>
      <c r="J39" s="9">
        <v>1.2E-4</v>
      </c>
      <c r="K39" s="9">
        <v>1.2E-4</v>
      </c>
      <c r="L39" s="9">
        <v>6.3E-5</v>
      </c>
      <c r="M39" s="8"/>
      <c r="N39" s="10">
        <v>141781645</v>
      </c>
      <c r="O39" s="8"/>
      <c r="P39" s="8"/>
      <c r="Q39" s="8"/>
      <c r="R39" s="8"/>
      <c r="S39" s="8"/>
      <c r="T39" s="8"/>
      <c r="U39" s="10">
        <v>11118212</v>
      </c>
      <c r="V39" s="10">
        <v>11118212</v>
      </c>
      <c r="W39" s="10">
        <v>5794260</v>
      </c>
      <c r="X39" s="8"/>
      <c r="Y39" s="13">
        <v>141781645</v>
      </c>
      <c r="Z39" s="8"/>
      <c r="AA39" s="8"/>
      <c r="AB39" s="8"/>
      <c r="AC39" s="8"/>
      <c r="AD39" s="8"/>
      <c r="AE39" s="8"/>
      <c r="AF39" s="11">
        <v>0</v>
      </c>
      <c r="AG39" s="13">
        <v>5323952</v>
      </c>
      <c r="AH39" s="13">
        <v>5794260</v>
      </c>
      <c r="AI39" s="8"/>
      <c r="AJ39" s="10">
        <v>752135504165.19995</v>
      </c>
      <c r="AK39" s="8"/>
      <c r="AL39" s="8"/>
      <c r="AM39" s="8"/>
      <c r="AN39" s="8"/>
      <c r="AO39" s="8"/>
      <c r="AP39" s="8"/>
      <c r="AQ39" s="10">
        <v>41137384344</v>
      </c>
      <c r="AR39" s="10">
        <v>41137384344</v>
      </c>
      <c r="AS39" s="10">
        <v>16767139859.1</v>
      </c>
      <c r="AT39" s="8"/>
      <c r="AU39" s="14">
        <v>45808</v>
      </c>
      <c r="AV39" s="8"/>
      <c r="AW39" s="8"/>
      <c r="AX39" s="8"/>
      <c r="AY39" s="8"/>
      <c r="AZ39" s="8"/>
      <c r="BA39" s="8"/>
      <c r="BB39" s="14">
        <v>43069</v>
      </c>
      <c r="BC39" s="14">
        <v>43069</v>
      </c>
      <c r="BD39" s="14">
        <v>42735</v>
      </c>
      <c r="BE39" s="8"/>
      <c r="BF39" s="8" t="s">
        <v>35</v>
      </c>
      <c r="BG39" s="8"/>
      <c r="BH39" s="8"/>
      <c r="BI39" s="8"/>
      <c r="BJ39" s="8"/>
      <c r="BK39" s="8"/>
      <c r="BL39" s="8"/>
      <c r="BM39" s="8" t="s">
        <v>35</v>
      </c>
      <c r="BN39" s="8" t="s">
        <v>35</v>
      </c>
      <c r="BO39" s="8" t="s">
        <v>35</v>
      </c>
      <c r="BP39" s="8"/>
      <c r="BQ39" s="8" t="s">
        <v>31</v>
      </c>
      <c r="BR39" s="8" t="s">
        <v>36</v>
      </c>
      <c r="BS39" s="10">
        <v>5236473023421.5996</v>
      </c>
      <c r="BT39" s="8"/>
      <c r="BU39" s="8"/>
      <c r="BV39" s="8"/>
      <c r="BW39" s="8"/>
      <c r="BX39" s="8"/>
      <c r="BY39" s="8"/>
      <c r="BZ39" s="8"/>
      <c r="CA39" s="8"/>
      <c r="CB39" s="8" t="s">
        <v>27</v>
      </c>
      <c r="CC39" s="8" t="s">
        <v>27</v>
      </c>
      <c r="CD39" s="8" t="s">
        <v>27</v>
      </c>
      <c r="CE39" s="8"/>
      <c r="CF39" s="8" t="s">
        <v>28</v>
      </c>
      <c r="CG39" s="8" t="s">
        <v>29</v>
      </c>
    </row>
    <row r="40" spans="1:85" ht="15.75" customHeight="1" x14ac:dyDescent="0.35">
      <c r="A40" s="8">
        <v>33</v>
      </c>
      <c r="B40" s="8" t="s">
        <v>106</v>
      </c>
      <c r="C40" s="9">
        <v>1.304E-3</v>
      </c>
      <c r="D40" s="9">
        <v>6.8400000000000004E-4</v>
      </c>
      <c r="E40" s="9">
        <v>4.7899999999999999E-4</v>
      </c>
      <c r="F40" s="9">
        <v>6.0999999999999997E-4</v>
      </c>
      <c r="G40" s="9">
        <v>6.7999999999999999E-5</v>
      </c>
      <c r="H40" s="9">
        <v>7.1000000000000005E-5</v>
      </c>
      <c r="I40" s="9">
        <v>6.0999999999999999E-5</v>
      </c>
      <c r="J40" s="9">
        <v>5.0000000000000002E-5</v>
      </c>
      <c r="K40" s="9">
        <v>2.0999999999999999E-5</v>
      </c>
      <c r="L40" s="9">
        <v>1.7E-5</v>
      </c>
      <c r="M40" s="9">
        <v>0</v>
      </c>
      <c r="N40" s="10">
        <v>120507600</v>
      </c>
      <c r="O40" s="10">
        <v>63183600</v>
      </c>
      <c r="P40" s="10">
        <v>44220100</v>
      </c>
      <c r="Q40" s="10">
        <v>56391860</v>
      </c>
      <c r="R40" s="10">
        <v>6292200</v>
      </c>
      <c r="S40" s="10">
        <v>6578600</v>
      </c>
      <c r="T40" s="10">
        <v>5672200</v>
      </c>
      <c r="U40" s="10">
        <v>4625200</v>
      </c>
      <c r="V40" s="10">
        <v>1903600</v>
      </c>
      <c r="W40" s="10">
        <v>1597600</v>
      </c>
      <c r="X40" s="10">
        <v>0</v>
      </c>
      <c r="Y40" s="13">
        <v>57324000</v>
      </c>
      <c r="Z40" s="13">
        <v>18963500</v>
      </c>
      <c r="AA40" s="12">
        <v>-12171760</v>
      </c>
      <c r="AB40" s="13">
        <v>50099660</v>
      </c>
      <c r="AC40" s="12">
        <v>-286400</v>
      </c>
      <c r="AD40" s="13">
        <v>906400</v>
      </c>
      <c r="AE40" s="13">
        <v>1047000</v>
      </c>
      <c r="AF40" s="13">
        <v>2721600</v>
      </c>
      <c r="AG40" s="13">
        <v>306000</v>
      </c>
      <c r="AH40" s="13">
        <v>1597600</v>
      </c>
      <c r="AI40" s="11">
        <v>0</v>
      </c>
      <c r="AJ40" s="10">
        <v>530074354745.59998</v>
      </c>
      <c r="AK40" s="10">
        <v>359253409970.40002</v>
      </c>
      <c r="AL40" s="10">
        <v>267531604790.60001</v>
      </c>
      <c r="AM40" s="10">
        <v>279844605425.54999</v>
      </c>
      <c r="AN40" s="10">
        <v>22078112385</v>
      </c>
      <c r="AO40" s="10">
        <v>20804822438.400002</v>
      </c>
      <c r="AP40" s="10">
        <v>21704518406.799999</v>
      </c>
      <c r="AQ40" s="10">
        <v>16844502525</v>
      </c>
      <c r="AR40" s="10">
        <v>7614399941.1000004</v>
      </c>
      <c r="AS40" s="10">
        <v>4483265037.6499996</v>
      </c>
      <c r="AT40" s="10">
        <v>0</v>
      </c>
      <c r="AU40" s="14">
        <v>45930</v>
      </c>
      <c r="AV40" s="14">
        <v>45657</v>
      </c>
      <c r="AW40" s="14">
        <v>45291</v>
      </c>
      <c r="AX40" s="14">
        <v>44926</v>
      </c>
      <c r="AY40" s="14">
        <v>44561</v>
      </c>
      <c r="AZ40" s="14">
        <v>44196</v>
      </c>
      <c r="BA40" s="14">
        <v>43830</v>
      </c>
      <c r="BB40" s="14">
        <v>43465</v>
      </c>
      <c r="BC40" s="14">
        <v>43100</v>
      </c>
      <c r="BD40" s="14">
        <v>42613</v>
      </c>
      <c r="BE40" s="14">
        <v>42124</v>
      </c>
      <c r="BF40" s="8" t="s">
        <v>35</v>
      </c>
      <c r="BG40" s="8" t="s">
        <v>35</v>
      </c>
      <c r="BH40" s="8" t="s">
        <v>35</v>
      </c>
      <c r="BI40" s="8" t="s">
        <v>35</v>
      </c>
      <c r="BJ40" s="8" t="s">
        <v>35</v>
      </c>
      <c r="BK40" s="8" t="s">
        <v>35</v>
      </c>
      <c r="BL40" s="8" t="s">
        <v>35</v>
      </c>
      <c r="BM40" s="8" t="s">
        <v>35</v>
      </c>
      <c r="BN40" s="8" t="s">
        <v>35</v>
      </c>
      <c r="BO40" s="8" t="s">
        <v>35</v>
      </c>
      <c r="BP40" s="8" t="s">
        <v>35</v>
      </c>
      <c r="BQ40" s="8" t="s">
        <v>31</v>
      </c>
      <c r="BR40" s="8" t="s">
        <v>49</v>
      </c>
      <c r="BS40" s="10">
        <v>710895145075021</v>
      </c>
      <c r="BT40" s="8" t="s">
        <v>41</v>
      </c>
      <c r="BU40" s="8" t="s">
        <v>27</v>
      </c>
      <c r="BV40" s="8" t="s">
        <v>27</v>
      </c>
      <c r="BW40" s="8" t="s">
        <v>42</v>
      </c>
      <c r="BX40" s="8" t="s">
        <v>42</v>
      </c>
      <c r="BY40" s="8" t="s">
        <v>27</v>
      </c>
      <c r="BZ40" s="8" t="s">
        <v>27</v>
      </c>
      <c r="CA40" s="8" t="s">
        <v>27</v>
      </c>
      <c r="CB40" s="8" t="s">
        <v>27</v>
      </c>
      <c r="CC40" s="8" t="s">
        <v>43</v>
      </c>
      <c r="CD40" s="8" t="s">
        <v>27</v>
      </c>
      <c r="CE40" s="8" t="s">
        <v>27</v>
      </c>
      <c r="CF40" s="8" t="s">
        <v>50</v>
      </c>
      <c r="CG40" s="8" t="s">
        <v>51</v>
      </c>
    </row>
    <row r="41" spans="1:85" ht="15.75" customHeight="1" x14ac:dyDescent="0.35">
      <c r="A41" s="8">
        <v>34</v>
      </c>
      <c r="B41" s="8" t="s">
        <v>107</v>
      </c>
      <c r="C41" s="9">
        <v>1.299E-3</v>
      </c>
      <c r="D41" s="9">
        <v>1.6949999999999999E-3</v>
      </c>
      <c r="E41" s="9">
        <v>2.813E-3</v>
      </c>
      <c r="F41" s="9">
        <v>2.7599999999999999E-3</v>
      </c>
      <c r="G41" s="9">
        <v>1.6590000000000001E-3</v>
      </c>
      <c r="H41" s="9">
        <v>2.2100000000000002E-3</v>
      </c>
      <c r="I41" s="9">
        <v>1.9369999999999999E-3</v>
      </c>
      <c r="J41" s="9">
        <v>2.4819999999999998E-3</v>
      </c>
      <c r="K41" s="9">
        <v>2.4589999999999998E-3</v>
      </c>
      <c r="L41" s="9">
        <v>1.505E-3</v>
      </c>
      <c r="M41" s="9">
        <v>2.2569999999999999E-3</v>
      </c>
      <c r="N41" s="10">
        <v>120039247</v>
      </c>
      <c r="O41" s="10">
        <v>156579551</v>
      </c>
      <c r="P41" s="10">
        <v>259948618</v>
      </c>
      <c r="Q41" s="10">
        <v>255058030</v>
      </c>
      <c r="R41" s="10">
        <v>153316830</v>
      </c>
      <c r="S41" s="10">
        <v>204166660</v>
      </c>
      <c r="T41" s="10">
        <v>178942812</v>
      </c>
      <c r="U41" s="10">
        <v>229337994</v>
      </c>
      <c r="V41" s="10">
        <v>227202110</v>
      </c>
      <c r="W41" s="10">
        <v>139065340</v>
      </c>
      <c r="X41" s="10">
        <v>208561528</v>
      </c>
      <c r="Y41" s="12">
        <v>-36540304</v>
      </c>
      <c r="Z41" s="12">
        <v>-103369067</v>
      </c>
      <c r="AA41" s="13">
        <v>4890588</v>
      </c>
      <c r="AB41" s="13">
        <v>101741200</v>
      </c>
      <c r="AC41" s="12">
        <v>-50849830</v>
      </c>
      <c r="AD41" s="13">
        <v>25223848</v>
      </c>
      <c r="AE41" s="12">
        <v>-50395182</v>
      </c>
      <c r="AF41" s="13">
        <v>2135884</v>
      </c>
      <c r="AG41" s="13">
        <v>88136770</v>
      </c>
      <c r="AH41" s="12">
        <v>-69496188</v>
      </c>
      <c r="AI41" s="12">
        <v>-2635612</v>
      </c>
      <c r="AJ41" s="10">
        <v>528014219796</v>
      </c>
      <c r="AK41" s="10">
        <v>890290164323.30005</v>
      </c>
      <c r="AL41" s="10">
        <v>1572689137710.2</v>
      </c>
      <c r="AM41" s="10">
        <v>1265725474911.7</v>
      </c>
      <c r="AN41" s="10">
        <v>537959092740</v>
      </c>
      <c r="AO41" s="10">
        <v>645677061588</v>
      </c>
      <c r="AP41" s="10">
        <v>684719785779.59998</v>
      </c>
      <c r="AQ41" s="10">
        <v>835225378700</v>
      </c>
      <c r="AR41" s="10">
        <v>908808440172.25</v>
      </c>
      <c r="AS41" s="10">
        <v>402420327773.09998</v>
      </c>
      <c r="AT41" s="10">
        <v>482473533276</v>
      </c>
      <c r="AU41" s="14">
        <v>45930</v>
      </c>
      <c r="AV41" s="14">
        <v>45657</v>
      </c>
      <c r="AW41" s="14">
        <v>45291</v>
      </c>
      <c r="AX41" s="14">
        <v>44926</v>
      </c>
      <c r="AY41" s="14">
        <v>44561</v>
      </c>
      <c r="AZ41" s="14">
        <v>44196</v>
      </c>
      <c r="BA41" s="14">
        <v>43830</v>
      </c>
      <c r="BB41" s="14">
        <v>43465</v>
      </c>
      <c r="BC41" s="14">
        <v>43100</v>
      </c>
      <c r="BD41" s="14">
        <v>42735</v>
      </c>
      <c r="BE41" s="14">
        <v>42369</v>
      </c>
      <c r="BF41" s="8" t="s">
        <v>35</v>
      </c>
      <c r="BG41" s="8" t="s">
        <v>35</v>
      </c>
      <c r="BH41" s="8" t="s">
        <v>35</v>
      </c>
      <c r="BI41" s="8" t="s">
        <v>35</v>
      </c>
      <c r="BJ41" s="8" t="s">
        <v>35</v>
      </c>
      <c r="BK41" s="8" t="s">
        <v>35</v>
      </c>
      <c r="BL41" s="8" t="s">
        <v>35</v>
      </c>
      <c r="BM41" s="8" t="s">
        <v>35</v>
      </c>
      <c r="BN41" s="8" t="s">
        <v>35</v>
      </c>
      <c r="BO41" s="8" t="s">
        <v>35</v>
      </c>
      <c r="BP41" s="8" t="s">
        <v>35</v>
      </c>
      <c r="BQ41" s="8" t="s">
        <v>31</v>
      </c>
      <c r="BR41" s="8" t="s">
        <v>36</v>
      </c>
      <c r="BS41" s="10">
        <v>2871224501194500</v>
      </c>
      <c r="BT41" s="8" t="s">
        <v>41</v>
      </c>
      <c r="BU41" s="8" t="s">
        <v>27</v>
      </c>
      <c r="BV41" s="8" t="s">
        <v>27</v>
      </c>
      <c r="BW41" s="8" t="s">
        <v>27</v>
      </c>
      <c r="BX41" s="8" t="s">
        <v>27</v>
      </c>
      <c r="BY41" s="8" t="s">
        <v>42</v>
      </c>
      <c r="BZ41" s="8" t="s">
        <v>42</v>
      </c>
      <c r="CA41" s="8" t="s">
        <v>27</v>
      </c>
      <c r="CB41" s="8" t="s">
        <v>42</v>
      </c>
      <c r="CC41" s="8" t="s">
        <v>42</v>
      </c>
      <c r="CD41" s="8" t="s">
        <v>42</v>
      </c>
      <c r="CE41" s="8" t="s">
        <v>43</v>
      </c>
      <c r="CF41" s="8" t="s">
        <v>108</v>
      </c>
      <c r="CG41" s="8" t="s">
        <v>51</v>
      </c>
    </row>
    <row r="42" spans="1:85" ht="15.75" customHeight="1" x14ac:dyDescent="0.35">
      <c r="A42" s="8">
        <v>35</v>
      </c>
      <c r="B42" s="8" t="s">
        <v>109</v>
      </c>
      <c r="C42" s="9">
        <v>1.2849999999999999E-3</v>
      </c>
      <c r="D42" s="9">
        <v>1.065E-3</v>
      </c>
      <c r="E42" s="9">
        <v>1.0300000000000001E-3</v>
      </c>
      <c r="F42" s="9">
        <v>1.0820000000000001E-3</v>
      </c>
      <c r="G42" s="9">
        <v>1.1479999999999999E-3</v>
      </c>
      <c r="H42" s="9">
        <v>9.1699999999999995E-4</v>
      </c>
      <c r="I42" s="9">
        <v>8.6200000000000003E-4</v>
      </c>
      <c r="J42" s="9">
        <v>6.3000000000000003E-4</v>
      </c>
      <c r="K42" s="9">
        <v>5.53E-4</v>
      </c>
      <c r="L42" s="9">
        <v>3.5399999999999999E-4</v>
      </c>
      <c r="M42" s="9">
        <v>2.6400000000000002E-4</v>
      </c>
      <c r="N42" s="10">
        <v>118752046</v>
      </c>
      <c r="O42" s="10">
        <v>98399355</v>
      </c>
      <c r="P42" s="10">
        <v>95195482</v>
      </c>
      <c r="Q42" s="10">
        <v>99997558</v>
      </c>
      <c r="R42" s="10">
        <v>106032364</v>
      </c>
      <c r="S42" s="10">
        <v>84688874</v>
      </c>
      <c r="T42" s="10">
        <v>79602812</v>
      </c>
      <c r="U42" s="10">
        <v>58173770</v>
      </c>
      <c r="V42" s="10">
        <v>51135846</v>
      </c>
      <c r="W42" s="10">
        <v>32738944</v>
      </c>
      <c r="X42" s="10">
        <v>24432256</v>
      </c>
      <c r="Y42" s="13">
        <v>20352691</v>
      </c>
      <c r="Z42" s="13">
        <v>3203873</v>
      </c>
      <c r="AA42" s="12">
        <v>-4802076</v>
      </c>
      <c r="AB42" s="12">
        <v>-6034806</v>
      </c>
      <c r="AC42" s="13">
        <v>21343490</v>
      </c>
      <c r="AD42" s="13">
        <v>5086062</v>
      </c>
      <c r="AE42" s="13">
        <v>21429042</v>
      </c>
      <c r="AF42" s="13">
        <v>7037924</v>
      </c>
      <c r="AG42" s="13">
        <v>18396902</v>
      </c>
      <c r="AH42" s="13">
        <v>8306688</v>
      </c>
      <c r="AI42" s="13">
        <v>1488352</v>
      </c>
      <c r="AJ42" s="10">
        <v>522352234663</v>
      </c>
      <c r="AK42" s="10">
        <v>559485433313</v>
      </c>
      <c r="AL42" s="10">
        <v>575932665701.65002</v>
      </c>
      <c r="AM42" s="10">
        <v>496237881938.70001</v>
      </c>
      <c r="AN42" s="10">
        <v>372047050110</v>
      </c>
      <c r="AO42" s="10">
        <v>267828563761.20001</v>
      </c>
      <c r="AP42" s="10">
        <v>304597987306</v>
      </c>
      <c r="AQ42" s="10">
        <v>211862885112.5</v>
      </c>
      <c r="AR42" s="10">
        <v>204543384012.10001</v>
      </c>
      <c r="AS42" s="10">
        <v>94738319316</v>
      </c>
      <c r="AT42" s="10">
        <v>56520092581.050003</v>
      </c>
      <c r="AU42" s="14">
        <v>45930</v>
      </c>
      <c r="AV42" s="14">
        <v>45657</v>
      </c>
      <c r="AW42" s="14">
        <v>45291</v>
      </c>
      <c r="AX42" s="14">
        <v>44926</v>
      </c>
      <c r="AY42" s="14">
        <v>44561</v>
      </c>
      <c r="AZ42" s="14">
        <v>44196</v>
      </c>
      <c r="BA42" s="14">
        <v>43830</v>
      </c>
      <c r="BB42" s="14">
        <v>43465</v>
      </c>
      <c r="BC42" s="14">
        <v>43100</v>
      </c>
      <c r="BD42" s="14">
        <v>42735</v>
      </c>
      <c r="BE42" s="14">
        <v>42369</v>
      </c>
      <c r="BF42" s="8" t="s">
        <v>35</v>
      </c>
      <c r="BG42" s="8" t="s">
        <v>35</v>
      </c>
      <c r="BH42" s="8" t="s">
        <v>35</v>
      </c>
      <c r="BI42" s="8" t="s">
        <v>35</v>
      </c>
      <c r="BJ42" s="8" t="s">
        <v>35</v>
      </c>
      <c r="BK42" s="8" t="s">
        <v>35</v>
      </c>
      <c r="BL42" s="8" t="s">
        <v>35</v>
      </c>
      <c r="BM42" s="8" t="s">
        <v>35</v>
      </c>
      <c r="BN42" s="8" t="s">
        <v>35</v>
      </c>
      <c r="BO42" s="8" t="s">
        <v>35</v>
      </c>
      <c r="BP42" s="8" t="s">
        <v>35</v>
      </c>
      <c r="BQ42" s="8" t="s">
        <v>31</v>
      </c>
      <c r="BR42" s="8" t="s">
        <v>36</v>
      </c>
      <c r="BS42" s="10">
        <v>1.32970821927404E+16</v>
      </c>
      <c r="BT42" s="8" t="s">
        <v>46</v>
      </c>
      <c r="BU42" s="8" t="s">
        <v>27</v>
      </c>
      <c r="BV42" s="8" t="s">
        <v>27</v>
      </c>
      <c r="BW42" s="8" t="s">
        <v>27</v>
      </c>
      <c r="BX42" s="8" t="s">
        <v>27</v>
      </c>
      <c r="BY42" s="8" t="s">
        <v>27</v>
      </c>
      <c r="BZ42" s="8" t="s">
        <v>27</v>
      </c>
      <c r="CA42" s="8" t="s">
        <v>27</v>
      </c>
      <c r="CB42" s="8" t="s">
        <v>27</v>
      </c>
      <c r="CC42" s="8" t="s">
        <v>27</v>
      </c>
      <c r="CD42" s="8" t="s">
        <v>27</v>
      </c>
      <c r="CE42" s="8" t="s">
        <v>27</v>
      </c>
      <c r="CF42" s="8" t="s">
        <v>73</v>
      </c>
      <c r="CG42" s="8" t="s">
        <v>39</v>
      </c>
    </row>
    <row r="43" spans="1:85" ht="15.75" customHeight="1" x14ac:dyDescent="0.35">
      <c r="A43" s="8">
        <v>36</v>
      </c>
      <c r="B43" s="8" t="s">
        <v>110</v>
      </c>
      <c r="C43" s="9">
        <v>1.261E-3</v>
      </c>
      <c r="D43" s="9">
        <v>1.1609999999999999E-3</v>
      </c>
      <c r="E43" s="9">
        <v>1.0059999999999999E-3</v>
      </c>
      <c r="F43" s="9">
        <v>1.1039999999999999E-3</v>
      </c>
      <c r="G43" s="9">
        <v>1.108E-3</v>
      </c>
      <c r="H43" s="9">
        <v>6.3299999999999999E-4</v>
      </c>
      <c r="I43" s="9">
        <v>5.3499999999999999E-4</v>
      </c>
      <c r="J43" s="9">
        <v>5.2400000000000005E-4</v>
      </c>
      <c r="K43" s="9">
        <v>3.8000000000000002E-4</v>
      </c>
      <c r="L43" s="9">
        <v>2.52E-4</v>
      </c>
      <c r="M43" s="9">
        <v>2.1599999999999999E-4</v>
      </c>
      <c r="N43" s="10">
        <v>116477079</v>
      </c>
      <c r="O43" s="10">
        <v>107285022</v>
      </c>
      <c r="P43" s="10">
        <v>92987464</v>
      </c>
      <c r="Q43" s="10">
        <v>101991286</v>
      </c>
      <c r="R43" s="10">
        <v>102397636</v>
      </c>
      <c r="S43" s="10">
        <v>58531306</v>
      </c>
      <c r="T43" s="10">
        <v>49435694</v>
      </c>
      <c r="U43" s="10">
        <v>48435986</v>
      </c>
      <c r="V43" s="10">
        <v>35100364</v>
      </c>
      <c r="W43" s="10">
        <v>23308364</v>
      </c>
      <c r="X43" s="10">
        <v>19914764</v>
      </c>
      <c r="Y43" s="13">
        <v>9192057</v>
      </c>
      <c r="Z43" s="13">
        <v>14297558</v>
      </c>
      <c r="AA43" s="12">
        <v>-9003822</v>
      </c>
      <c r="AB43" s="12">
        <v>-406350</v>
      </c>
      <c r="AC43" s="13">
        <v>43866330</v>
      </c>
      <c r="AD43" s="13">
        <v>9095612</v>
      </c>
      <c r="AE43" s="13">
        <v>999708</v>
      </c>
      <c r="AF43" s="13">
        <v>13335622</v>
      </c>
      <c r="AG43" s="13">
        <v>11792000</v>
      </c>
      <c r="AH43" s="13">
        <v>3393600</v>
      </c>
      <c r="AI43" s="12">
        <v>-648800</v>
      </c>
      <c r="AJ43" s="10">
        <v>512345383172</v>
      </c>
      <c r="AK43" s="10">
        <v>610008134840.90002</v>
      </c>
      <c r="AL43" s="10">
        <v>562574156790.5</v>
      </c>
      <c r="AM43" s="10">
        <v>506131757222.84998</v>
      </c>
      <c r="AN43" s="10">
        <v>359293492912.5</v>
      </c>
      <c r="AO43" s="10">
        <v>185105254978.79999</v>
      </c>
      <c r="AP43" s="10">
        <v>189164333684</v>
      </c>
      <c r="AQ43" s="10">
        <v>176398877631.25</v>
      </c>
      <c r="AR43" s="10">
        <v>140401455958</v>
      </c>
      <c r="AS43" s="10">
        <v>67448578309.199997</v>
      </c>
      <c r="AT43" s="10">
        <v>46069601784.599998</v>
      </c>
      <c r="AU43" s="14">
        <v>45930</v>
      </c>
      <c r="AV43" s="14">
        <v>45657</v>
      </c>
      <c r="AW43" s="14">
        <v>45291</v>
      </c>
      <c r="AX43" s="14">
        <v>44926</v>
      </c>
      <c r="AY43" s="14">
        <v>44561</v>
      </c>
      <c r="AZ43" s="14">
        <v>44196</v>
      </c>
      <c r="BA43" s="14">
        <v>43830</v>
      </c>
      <c r="BB43" s="14">
        <v>43465</v>
      </c>
      <c r="BC43" s="14">
        <v>43100</v>
      </c>
      <c r="BD43" s="14">
        <v>42735</v>
      </c>
      <c r="BE43" s="14">
        <v>42369</v>
      </c>
      <c r="BF43" s="8" t="s">
        <v>35</v>
      </c>
      <c r="BG43" s="8" t="s">
        <v>35</v>
      </c>
      <c r="BH43" s="8" t="s">
        <v>35</v>
      </c>
      <c r="BI43" s="8" t="s">
        <v>35</v>
      </c>
      <c r="BJ43" s="8" t="s">
        <v>35</v>
      </c>
      <c r="BK43" s="8" t="s">
        <v>35</v>
      </c>
      <c r="BL43" s="8" t="s">
        <v>35</v>
      </c>
      <c r="BM43" s="8" t="s">
        <v>35</v>
      </c>
      <c r="BN43" s="8" t="s">
        <v>35</v>
      </c>
      <c r="BO43" s="8" t="s">
        <v>35</v>
      </c>
      <c r="BP43" s="8" t="s">
        <v>35</v>
      </c>
      <c r="BQ43" s="8" t="s">
        <v>31</v>
      </c>
      <c r="BR43" s="8" t="s">
        <v>49</v>
      </c>
      <c r="BS43" s="10">
        <v>4.6953019694596496E+16</v>
      </c>
      <c r="BT43" s="8" t="s">
        <v>46</v>
      </c>
      <c r="BU43" s="8" t="s">
        <v>27</v>
      </c>
      <c r="BV43" s="8" t="s">
        <v>27</v>
      </c>
      <c r="BW43" s="8" t="s">
        <v>27</v>
      </c>
      <c r="BX43" s="8" t="s">
        <v>27</v>
      </c>
      <c r="BY43" s="8" t="s">
        <v>27</v>
      </c>
      <c r="BZ43" s="8" t="s">
        <v>27</v>
      </c>
      <c r="CA43" s="8" t="s">
        <v>27</v>
      </c>
      <c r="CB43" s="8" t="s">
        <v>27</v>
      </c>
      <c r="CC43" s="8" t="s">
        <v>27</v>
      </c>
      <c r="CD43" s="8" t="s">
        <v>27</v>
      </c>
      <c r="CE43" s="8" t="s">
        <v>27</v>
      </c>
      <c r="CF43" s="8" t="s">
        <v>85</v>
      </c>
      <c r="CG43" s="8" t="s">
        <v>39</v>
      </c>
    </row>
    <row r="44" spans="1:85" ht="15.75" customHeight="1" x14ac:dyDescent="0.35">
      <c r="A44" s="8">
        <v>37</v>
      </c>
      <c r="B44" s="8" t="s">
        <v>111</v>
      </c>
      <c r="C44" s="9">
        <v>1.2520000000000001E-3</v>
      </c>
      <c r="D44" s="9">
        <v>1.016E-3</v>
      </c>
      <c r="E44" s="9">
        <v>8.2100000000000001E-4</v>
      </c>
      <c r="F44" s="9">
        <v>1.08E-3</v>
      </c>
      <c r="G44" s="9">
        <v>1.3129999999999999E-3</v>
      </c>
      <c r="H44" s="9">
        <v>1.178E-3</v>
      </c>
      <c r="I44" s="9">
        <v>5.1500000000000005E-4</v>
      </c>
      <c r="J44" s="9">
        <v>2.7799999999999998E-4</v>
      </c>
      <c r="K44" s="9">
        <v>1.9900000000000001E-4</v>
      </c>
      <c r="L44" s="9">
        <v>1.3999999999999999E-4</v>
      </c>
      <c r="M44" s="9">
        <v>3.5799999999999997E-4</v>
      </c>
      <c r="N44" s="10">
        <v>115699414</v>
      </c>
      <c r="O44" s="10">
        <v>93874657</v>
      </c>
      <c r="P44" s="10">
        <v>75856987</v>
      </c>
      <c r="Q44" s="10">
        <v>99772274</v>
      </c>
      <c r="R44" s="10">
        <v>121337492</v>
      </c>
      <c r="S44" s="10">
        <v>108854598</v>
      </c>
      <c r="T44" s="10">
        <v>47584808</v>
      </c>
      <c r="U44" s="10">
        <v>25704200</v>
      </c>
      <c r="V44" s="10">
        <v>18432400</v>
      </c>
      <c r="W44" s="10">
        <v>12942600</v>
      </c>
      <c r="X44" s="10">
        <v>33070000</v>
      </c>
      <c r="Y44" s="13">
        <v>21824757</v>
      </c>
      <c r="Z44" s="13">
        <v>18017670</v>
      </c>
      <c r="AA44" s="12">
        <v>-23915287</v>
      </c>
      <c r="AB44" s="12">
        <v>-21565218</v>
      </c>
      <c r="AC44" s="13">
        <v>12482894</v>
      </c>
      <c r="AD44" s="13">
        <v>61269790</v>
      </c>
      <c r="AE44" s="13">
        <v>21880608</v>
      </c>
      <c r="AF44" s="13">
        <v>7271800</v>
      </c>
      <c r="AG44" s="13">
        <v>5489800</v>
      </c>
      <c r="AH44" s="12">
        <v>-20127400</v>
      </c>
      <c r="AI44" s="12">
        <v>-693052</v>
      </c>
      <c r="AJ44" s="10">
        <v>508924683832.59998</v>
      </c>
      <c r="AK44" s="10">
        <v>533758611962.40002</v>
      </c>
      <c r="AL44" s="10">
        <v>458934770932.34998</v>
      </c>
      <c r="AM44" s="10">
        <v>495119910093.04999</v>
      </c>
      <c r="AN44" s="10">
        <v>425749783080</v>
      </c>
      <c r="AO44" s="10">
        <v>344252665785.59998</v>
      </c>
      <c r="AP44" s="10">
        <v>182081969022.39999</v>
      </c>
      <c r="AQ44" s="10">
        <v>93612051743.75</v>
      </c>
      <c r="AR44" s="10">
        <v>73729600058.699997</v>
      </c>
      <c r="AS44" s="10">
        <v>37452648703.5</v>
      </c>
      <c r="AT44" s="10">
        <v>76502123340.449997</v>
      </c>
      <c r="AU44" s="14">
        <v>45930</v>
      </c>
      <c r="AV44" s="14">
        <v>45657</v>
      </c>
      <c r="AW44" s="14">
        <v>45291</v>
      </c>
      <c r="AX44" s="14">
        <v>44926</v>
      </c>
      <c r="AY44" s="14">
        <v>44561</v>
      </c>
      <c r="AZ44" s="14">
        <v>44196</v>
      </c>
      <c r="BA44" s="14">
        <v>43830</v>
      </c>
      <c r="BB44" s="14">
        <v>43465</v>
      </c>
      <c r="BC44" s="14">
        <v>43100</v>
      </c>
      <c r="BD44" s="14">
        <v>42735</v>
      </c>
      <c r="BE44" s="14">
        <v>42369</v>
      </c>
      <c r="BF44" s="8" t="s">
        <v>35</v>
      </c>
      <c r="BG44" s="8" t="s">
        <v>35</v>
      </c>
      <c r="BH44" s="8" t="s">
        <v>35</v>
      </c>
      <c r="BI44" s="8" t="s">
        <v>35</v>
      </c>
      <c r="BJ44" s="8" t="s">
        <v>35</v>
      </c>
      <c r="BK44" s="8" t="s">
        <v>35</v>
      </c>
      <c r="BL44" s="8" t="s">
        <v>35</v>
      </c>
      <c r="BM44" s="8" t="s">
        <v>35</v>
      </c>
      <c r="BN44" s="8" t="s">
        <v>35</v>
      </c>
      <c r="BO44" s="8" t="s">
        <v>35</v>
      </c>
      <c r="BP44" s="8" t="s">
        <v>35</v>
      </c>
      <c r="BQ44" s="8" t="s">
        <v>31</v>
      </c>
      <c r="BR44" s="8" t="s">
        <v>49</v>
      </c>
      <c r="BS44" s="10">
        <v>2325533040086640</v>
      </c>
      <c r="BT44" s="8" t="s">
        <v>46</v>
      </c>
      <c r="BU44" s="8" t="s">
        <v>27</v>
      </c>
      <c r="BV44" s="8" t="s">
        <v>27</v>
      </c>
      <c r="BW44" s="8" t="s">
        <v>27</v>
      </c>
      <c r="BX44" s="8" t="s">
        <v>27</v>
      </c>
      <c r="BY44" s="8" t="s">
        <v>27</v>
      </c>
      <c r="BZ44" s="8" t="s">
        <v>42</v>
      </c>
      <c r="CA44" s="8" t="s">
        <v>42</v>
      </c>
      <c r="CB44" s="8" t="s">
        <v>27</v>
      </c>
      <c r="CC44" s="8" t="s">
        <v>27</v>
      </c>
      <c r="CD44" s="8" t="s">
        <v>27</v>
      </c>
      <c r="CE44" s="8" t="s">
        <v>42</v>
      </c>
      <c r="CF44" s="8" t="s">
        <v>50</v>
      </c>
      <c r="CG44" s="8" t="s">
        <v>51</v>
      </c>
    </row>
    <row r="45" spans="1:85" ht="15.75" customHeight="1" x14ac:dyDescent="0.35">
      <c r="A45" s="8">
        <v>38</v>
      </c>
      <c r="B45" s="8" t="s">
        <v>112</v>
      </c>
      <c r="C45" s="9">
        <v>1.24E-3</v>
      </c>
      <c r="D45" s="9">
        <v>6.2059999999999997E-3</v>
      </c>
      <c r="E45" s="9">
        <v>6.2700000000000004E-3</v>
      </c>
      <c r="F45" s="9">
        <v>5.1209999999999997E-3</v>
      </c>
      <c r="G45" s="9">
        <v>4.7200000000000002E-3</v>
      </c>
      <c r="H45" s="8"/>
      <c r="I45" s="8"/>
      <c r="J45" s="8"/>
      <c r="K45" s="9">
        <v>0</v>
      </c>
      <c r="L45" s="9">
        <v>0</v>
      </c>
      <c r="M45" s="9">
        <v>1.181E-3</v>
      </c>
      <c r="N45" s="10">
        <v>114531300</v>
      </c>
      <c r="O45" s="10">
        <v>573412300</v>
      </c>
      <c r="P45" s="10">
        <v>579327500</v>
      </c>
      <c r="Q45" s="10">
        <v>473139400</v>
      </c>
      <c r="R45" s="10">
        <v>436168800</v>
      </c>
      <c r="S45" s="8"/>
      <c r="T45" s="8"/>
      <c r="U45" s="8"/>
      <c r="V45" s="10">
        <v>0</v>
      </c>
      <c r="W45" s="10">
        <v>0</v>
      </c>
      <c r="X45" s="10">
        <v>109156016</v>
      </c>
      <c r="Y45" s="12">
        <v>-458881000</v>
      </c>
      <c r="Z45" s="12">
        <v>-5915200</v>
      </c>
      <c r="AA45" s="13">
        <v>106188100</v>
      </c>
      <c r="AB45" s="13">
        <v>36970600</v>
      </c>
      <c r="AC45" s="13">
        <v>436168800</v>
      </c>
      <c r="AD45" s="8"/>
      <c r="AE45" s="8"/>
      <c r="AF45" s="8"/>
      <c r="AG45" s="11">
        <v>0</v>
      </c>
      <c r="AH45" s="12">
        <v>-109156016</v>
      </c>
      <c r="AI45" s="12">
        <v>-11034000</v>
      </c>
      <c r="AJ45" s="10">
        <v>503786524252.20001</v>
      </c>
      <c r="AK45" s="10">
        <v>3260344837548.3999</v>
      </c>
      <c r="AL45" s="10">
        <v>3504931372357.6499</v>
      </c>
      <c r="AM45" s="10">
        <v>2347954274349.75</v>
      </c>
      <c r="AN45" s="10">
        <v>1530431929290</v>
      </c>
      <c r="AO45" s="8"/>
      <c r="AP45" s="8"/>
      <c r="AQ45" s="8"/>
      <c r="AR45" s="10">
        <v>0</v>
      </c>
      <c r="AS45" s="10">
        <v>0</v>
      </c>
      <c r="AT45" s="10">
        <v>252514877680.35001</v>
      </c>
      <c r="AU45" s="14">
        <v>45930</v>
      </c>
      <c r="AV45" s="14">
        <v>45657</v>
      </c>
      <c r="AW45" s="14">
        <v>45291</v>
      </c>
      <c r="AX45" s="14">
        <v>44926</v>
      </c>
      <c r="AY45" s="14">
        <v>44561</v>
      </c>
      <c r="AZ45" s="8"/>
      <c r="BA45" s="8"/>
      <c r="BB45" s="8"/>
      <c r="BC45" s="14">
        <v>42551</v>
      </c>
      <c r="BD45" s="14">
        <v>42551</v>
      </c>
      <c r="BE45" s="14">
        <v>42369</v>
      </c>
      <c r="BF45" s="8" t="s">
        <v>35</v>
      </c>
      <c r="BG45" s="8" t="s">
        <v>35</v>
      </c>
      <c r="BH45" s="8" t="s">
        <v>35</v>
      </c>
      <c r="BI45" s="8" t="s">
        <v>35</v>
      </c>
      <c r="BJ45" s="8" t="s">
        <v>35</v>
      </c>
      <c r="BK45" s="8"/>
      <c r="BL45" s="8"/>
      <c r="BM45" s="8"/>
      <c r="BN45" s="8" t="s">
        <v>35</v>
      </c>
      <c r="BO45" s="8" t="s">
        <v>35</v>
      </c>
      <c r="BP45" s="8" t="s">
        <v>35</v>
      </c>
      <c r="BQ45" s="8" t="s">
        <v>31</v>
      </c>
      <c r="BR45" s="8" t="s">
        <v>49</v>
      </c>
      <c r="BS45" s="10">
        <v>213180466035558</v>
      </c>
      <c r="BT45" s="8" t="s">
        <v>57</v>
      </c>
      <c r="BU45" s="8" t="s">
        <v>27</v>
      </c>
      <c r="BV45" s="8" t="s">
        <v>27</v>
      </c>
      <c r="BW45" s="8" t="s">
        <v>27</v>
      </c>
      <c r="BX45" s="8" t="s">
        <v>27</v>
      </c>
      <c r="BY45" s="8" t="s">
        <v>27</v>
      </c>
      <c r="BZ45" s="8"/>
      <c r="CA45" s="8"/>
      <c r="CB45" s="8"/>
      <c r="CC45" s="8" t="s">
        <v>27</v>
      </c>
      <c r="CD45" s="8" t="s">
        <v>27</v>
      </c>
      <c r="CE45" s="8" t="s">
        <v>27</v>
      </c>
      <c r="CF45" s="8" t="s">
        <v>65</v>
      </c>
      <c r="CG45" s="8" t="s">
        <v>65</v>
      </c>
    </row>
    <row r="46" spans="1:85" ht="15.75" customHeight="1" x14ac:dyDescent="0.35">
      <c r="A46" s="8">
        <v>39</v>
      </c>
      <c r="B46" s="8" t="s">
        <v>113</v>
      </c>
      <c r="C46" s="9">
        <v>1.2149999999999999E-3</v>
      </c>
      <c r="D46" s="9">
        <v>4.7399999999999997E-4</v>
      </c>
      <c r="E46" s="9">
        <v>8.4099999999999995E-4</v>
      </c>
      <c r="F46" s="9">
        <v>8.9599999999999999E-4</v>
      </c>
      <c r="G46" s="9">
        <v>4.3000000000000002E-5</v>
      </c>
      <c r="H46" s="9">
        <v>4.5000000000000003E-5</v>
      </c>
      <c r="I46" s="8"/>
      <c r="J46" s="8"/>
      <c r="K46" s="8"/>
      <c r="L46" s="8"/>
      <c r="M46" s="8"/>
      <c r="N46" s="10">
        <v>112234000</v>
      </c>
      <c r="O46" s="10">
        <v>43781200</v>
      </c>
      <c r="P46" s="10">
        <v>77695189</v>
      </c>
      <c r="Q46" s="10">
        <v>82797912</v>
      </c>
      <c r="R46" s="10">
        <v>3959000</v>
      </c>
      <c r="S46" s="10">
        <v>4167000</v>
      </c>
      <c r="T46" s="8"/>
      <c r="U46" s="8"/>
      <c r="V46" s="8"/>
      <c r="W46" s="8"/>
      <c r="X46" s="8"/>
      <c r="Y46" s="13">
        <v>68452800</v>
      </c>
      <c r="Z46" s="12">
        <v>-33913989</v>
      </c>
      <c r="AA46" s="12">
        <v>-5102723</v>
      </c>
      <c r="AB46" s="13">
        <v>78838912</v>
      </c>
      <c r="AC46" s="12">
        <v>-208000</v>
      </c>
      <c r="AD46" s="13">
        <v>4167000</v>
      </c>
      <c r="AE46" s="8"/>
      <c r="AF46" s="8"/>
      <c r="AG46" s="8"/>
      <c r="AH46" s="8"/>
      <c r="AI46" s="8"/>
      <c r="AJ46" s="10">
        <v>493681436904.59998</v>
      </c>
      <c r="AK46" s="10">
        <v>248933985941.10001</v>
      </c>
      <c r="AL46" s="10">
        <v>470055893087.70001</v>
      </c>
      <c r="AM46" s="10">
        <v>410884638548.45001</v>
      </c>
      <c r="AN46" s="10">
        <v>13891364977.5</v>
      </c>
      <c r="AO46" s="10">
        <v>13178137471.200001</v>
      </c>
      <c r="AP46" s="8"/>
      <c r="AQ46" s="8"/>
      <c r="AR46" s="8"/>
      <c r="AS46" s="8"/>
      <c r="AT46" s="8"/>
      <c r="AU46" s="14">
        <v>45930</v>
      </c>
      <c r="AV46" s="14">
        <v>45657</v>
      </c>
      <c r="AW46" s="14">
        <v>45291</v>
      </c>
      <c r="AX46" s="14">
        <v>44926</v>
      </c>
      <c r="AY46" s="14">
        <v>44561</v>
      </c>
      <c r="AZ46" s="14">
        <v>44196</v>
      </c>
      <c r="BA46" s="8"/>
      <c r="BB46" s="8"/>
      <c r="BC46" s="8"/>
      <c r="BD46" s="8"/>
      <c r="BE46" s="8"/>
      <c r="BF46" s="8" t="s">
        <v>35</v>
      </c>
      <c r="BG46" s="8" t="s">
        <v>35</v>
      </c>
      <c r="BH46" s="8" t="s">
        <v>35</v>
      </c>
      <c r="BI46" s="8" t="s">
        <v>35</v>
      </c>
      <c r="BJ46" s="8" t="s">
        <v>35</v>
      </c>
      <c r="BK46" s="8" t="s">
        <v>35</v>
      </c>
      <c r="BL46" s="8"/>
      <c r="BM46" s="8"/>
      <c r="BN46" s="8"/>
      <c r="BO46" s="8"/>
      <c r="BP46" s="8"/>
      <c r="BQ46" s="8" t="s">
        <v>31</v>
      </c>
      <c r="BR46" s="8" t="s">
        <v>36</v>
      </c>
      <c r="BS46" s="10">
        <v>3051766731609000</v>
      </c>
      <c r="BT46" s="8" t="s">
        <v>61</v>
      </c>
      <c r="BU46" s="8" t="s">
        <v>27</v>
      </c>
      <c r="BV46" s="8" t="s">
        <v>27</v>
      </c>
      <c r="BW46" s="8" t="s">
        <v>27</v>
      </c>
      <c r="BX46" s="8" t="s">
        <v>27</v>
      </c>
      <c r="BY46" s="8" t="s">
        <v>27</v>
      </c>
      <c r="BZ46" s="8" t="s">
        <v>42</v>
      </c>
      <c r="CA46" s="8"/>
      <c r="CB46" s="8"/>
      <c r="CC46" s="8"/>
      <c r="CD46" s="8"/>
      <c r="CE46" s="8"/>
      <c r="CF46" s="8" t="s">
        <v>114</v>
      </c>
      <c r="CG46" s="8" t="s">
        <v>115</v>
      </c>
    </row>
    <row r="47" spans="1:85" ht="15.75" customHeight="1" x14ac:dyDescent="0.35">
      <c r="A47" s="8">
        <v>40</v>
      </c>
      <c r="B47" s="8" t="s">
        <v>116</v>
      </c>
      <c r="C47" s="9">
        <v>1.2030000000000001E-3</v>
      </c>
      <c r="D47" s="9">
        <v>1.273E-3</v>
      </c>
      <c r="E47" s="9">
        <v>8.5599999999999999E-4</v>
      </c>
      <c r="F47" s="8"/>
      <c r="G47" s="8"/>
      <c r="H47" s="8"/>
      <c r="I47" s="8"/>
      <c r="J47" s="8"/>
      <c r="K47" s="8"/>
      <c r="L47" s="8"/>
      <c r="M47" s="8"/>
      <c r="N47" s="10">
        <v>111113055</v>
      </c>
      <c r="O47" s="10">
        <v>117660655</v>
      </c>
      <c r="P47" s="10">
        <v>79100855</v>
      </c>
      <c r="Q47" s="8"/>
      <c r="R47" s="8"/>
      <c r="S47" s="8"/>
      <c r="T47" s="8"/>
      <c r="U47" s="8"/>
      <c r="V47" s="8"/>
      <c r="W47" s="8"/>
      <c r="X47" s="8"/>
      <c r="Y47" s="12">
        <v>-6547600</v>
      </c>
      <c r="Z47" s="13">
        <v>38559800</v>
      </c>
      <c r="AA47" s="13">
        <v>79100855</v>
      </c>
      <c r="AB47" s="8"/>
      <c r="AC47" s="8"/>
      <c r="AD47" s="8"/>
      <c r="AE47" s="8"/>
      <c r="AF47" s="8"/>
      <c r="AG47" s="8"/>
      <c r="AH47" s="8"/>
      <c r="AI47" s="8"/>
      <c r="AJ47" s="10">
        <v>488750758798.40002</v>
      </c>
      <c r="AK47" s="10">
        <v>669002581784.80005</v>
      </c>
      <c r="AL47" s="10">
        <v>478560172373.29999</v>
      </c>
      <c r="AM47" s="8"/>
      <c r="AN47" s="8"/>
      <c r="AO47" s="8"/>
      <c r="AP47" s="8"/>
      <c r="AQ47" s="8"/>
      <c r="AR47" s="8"/>
      <c r="AS47" s="8"/>
      <c r="AT47" s="8"/>
      <c r="AU47" s="14">
        <v>45930</v>
      </c>
      <c r="AV47" s="14">
        <v>45657</v>
      </c>
      <c r="AW47" s="14">
        <v>45291</v>
      </c>
      <c r="AX47" s="8"/>
      <c r="AY47" s="8"/>
      <c r="AZ47" s="8"/>
      <c r="BA47" s="8"/>
      <c r="BB47" s="8"/>
      <c r="BC47" s="8"/>
      <c r="BD47" s="8"/>
      <c r="BE47" s="8"/>
      <c r="BF47" s="8" t="s">
        <v>35</v>
      </c>
      <c r="BG47" s="8" t="s">
        <v>35</v>
      </c>
      <c r="BH47" s="8" t="s">
        <v>35</v>
      </c>
      <c r="BI47" s="8"/>
      <c r="BJ47" s="8"/>
      <c r="BK47" s="8"/>
      <c r="BL47" s="8"/>
      <c r="BM47" s="8"/>
      <c r="BN47" s="8"/>
      <c r="BO47" s="8"/>
      <c r="BP47" s="8"/>
      <c r="BQ47" s="8" t="s">
        <v>31</v>
      </c>
      <c r="BR47" s="8" t="s">
        <v>49</v>
      </c>
      <c r="BS47" s="10">
        <v>259952073432408</v>
      </c>
      <c r="BT47" s="8" t="s">
        <v>57</v>
      </c>
      <c r="BU47" s="8" t="s">
        <v>27</v>
      </c>
      <c r="BV47" s="8" t="s">
        <v>42</v>
      </c>
      <c r="BW47" s="8" t="s">
        <v>42</v>
      </c>
      <c r="BX47" s="8"/>
      <c r="BY47" s="8"/>
      <c r="BZ47" s="8"/>
      <c r="CA47" s="8"/>
      <c r="CB47" s="8"/>
      <c r="CC47" s="8"/>
      <c r="CD47" s="8"/>
      <c r="CE47" s="8"/>
      <c r="CF47" s="8" t="s">
        <v>117</v>
      </c>
      <c r="CG47" s="8" t="s">
        <v>118</v>
      </c>
    </row>
    <row r="48" spans="1:85" ht="15.75" customHeight="1" x14ac:dyDescent="0.35">
      <c r="A48" s="8">
        <v>41</v>
      </c>
      <c r="B48" s="8" t="s">
        <v>119</v>
      </c>
      <c r="C48" s="9">
        <v>1.201E-3</v>
      </c>
      <c r="D48" s="9">
        <v>8.3900000000000001E-4</v>
      </c>
      <c r="E48" s="9">
        <v>7.36E-4</v>
      </c>
      <c r="F48" s="9">
        <v>6.0599999999999998E-4</v>
      </c>
      <c r="G48" s="9">
        <v>0</v>
      </c>
      <c r="H48" s="9">
        <v>1.9999999999999999E-6</v>
      </c>
      <c r="I48" s="9">
        <v>0</v>
      </c>
      <c r="J48" s="9">
        <v>1.7570000000000001E-3</v>
      </c>
      <c r="K48" s="9">
        <v>1.7669999999999999E-3</v>
      </c>
      <c r="L48" s="9">
        <v>1.016E-3</v>
      </c>
      <c r="M48" s="8"/>
      <c r="N48" s="10">
        <v>110976073</v>
      </c>
      <c r="O48" s="10">
        <v>77554309</v>
      </c>
      <c r="P48" s="10">
        <v>67996852</v>
      </c>
      <c r="Q48" s="10">
        <v>55999988</v>
      </c>
      <c r="R48" s="10">
        <v>0</v>
      </c>
      <c r="S48" s="10">
        <v>197000</v>
      </c>
      <c r="T48" s="10">
        <v>0</v>
      </c>
      <c r="U48" s="10">
        <v>162392098</v>
      </c>
      <c r="V48" s="10">
        <v>163230948</v>
      </c>
      <c r="W48" s="10">
        <v>93921472</v>
      </c>
      <c r="X48" s="8"/>
      <c r="Y48" s="13">
        <v>33421764</v>
      </c>
      <c r="Z48" s="13">
        <v>9557457</v>
      </c>
      <c r="AA48" s="13">
        <v>11996864</v>
      </c>
      <c r="AB48" s="13">
        <v>55999988</v>
      </c>
      <c r="AC48" s="12">
        <v>-197000</v>
      </c>
      <c r="AD48" s="13">
        <v>197000</v>
      </c>
      <c r="AE48" s="12">
        <v>-162392098</v>
      </c>
      <c r="AF48" s="12">
        <v>-838850</v>
      </c>
      <c r="AG48" s="13">
        <v>69309476</v>
      </c>
      <c r="AH48" s="13">
        <v>93921472</v>
      </c>
      <c r="AI48" s="8"/>
      <c r="AJ48" s="10">
        <v>488148218744.20001</v>
      </c>
      <c r="AK48" s="10">
        <v>440963319077.79999</v>
      </c>
      <c r="AL48" s="10">
        <v>411380954219.70001</v>
      </c>
      <c r="AM48" s="10">
        <v>277899940630.40002</v>
      </c>
      <c r="AN48" s="10">
        <v>0</v>
      </c>
      <c r="AO48" s="10">
        <v>623012504.39999998</v>
      </c>
      <c r="AP48" s="10">
        <v>0</v>
      </c>
      <c r="AQ48" s="10">
        <v>591415313181.25</v>
      </c>
      <c r="AR48" s="10">
        <v>652923792038.69995</v>
      </c>
      <c r="AS48" s="10">
        <v>271785259787.39999</v>
      </c>
      <c r="AT48" s="8"/>
      <c r="AU48" s="14">
        <v>45930</v>
      </c>
      <c r="AV48" s="14">
        <v>45657</v>
      </c>
      <c r="AW48" s="14">
        <v>45291</v>
      </c>
      <c r="AX48" s="14">
        <v>44926</v>
      </c>
      <c r="AY48" s="14">
        <v>44377</v>
      </c>
      <c r="AZ48" s="14">
        <v>44196</v>
      </c>
      <c r="BA48" s="14">
        <v>43555</v>
      </c>
      <c r="BB48" s="14">
        <v>43465</v>
      </c>
      <c r="BC48" s="14">
        <v>43100</v>
      </c>
      <c r="BD48" s="14">
        <v>42735</v>
      </c>
      <c r="BE48" s="8"/>
      <c r="BF48" s="8" t="s">
        <v>35</v>
      </c>
      <c r="BG48" s="8" t="s">
        <v>35</v>
      </c>
      <c r="BH48" s="8" t="s">
        <v>35</v>
      </c>
      <c r="BI48" s="8" t="s">
        <v>35</v>
      </c>
      <c r="BJ48" s="8" t="s">
        <v>35</v>
      </c>
      <c r="BK48" s="8" t="s">
        <v>35</v>
      </c>
      <c r="BL48" s="8" t="s">
        <v>35</v>
      </c>
      <c r="BM48" s="8" t="s">
        <v>35</v>
      </c>
      <c r="BN48" s="8" t="s">
        <v>35</v>
      </c>
      <c r="BO48" s="8" t="s">
        <v>35</v>
      </c>
      <c r="BP48" s="8"/>
      <c r="BQ48" s="8" t="s">
        <v>31</v>
      </c>
      <c r="BR48" s="8" t="s">
        <v>36</v>
      </c>
      <c r="BS48" s="10">
        <v>1245600027300230</v>
      </c>
      <c r="BT48" s="8" t="s">
        <v>41</v>
      </c>
      <c r="BU48" s="8" t="s">
        <v>27</v>
      </c>
      <c r="BV48" s="8" t="s">
        <v>27</v>
      </c>
      <c r="BW48" s="8" t="s">
        <v>42</v>
      </c>
      <c r="BX48" s="8" t="s">
        <v>42</v>
      </c>
      <c r="BY48" s="8" t="s">
        <v>42</v>
      </c>
      <c r="BZ48" s="8" t="s">
        <v>27</v>
      </c>
      <c r="CA48" s="8" t="s">
        <v>27</v>
      </c>
      <c r="CB48" s="8" t="s">
        <v>27</v>
      </c>
      <c r="CC48" s="8" t="s">
        <v>42</v>
      </c>
      <c r="CD48" s="8" t="s">
        <v>42</v>
      </c>
      <c r="CE48" s="8"/>
      <c r="CF48" s="8" t="s">
        <v>120</v>
      </c>
      <c r="CG48" s="8" t="s">
        <v>51</v>
      </c>
    </row>
    <row r="49" spans="1:85" ht="15.75" customHeight="1" x14ac:dyDescent="0.35">
      <c r="A49" s="8">
        <v>42</v>
      </c>
      <c r="B49" s="8" t="s">
        <v>121</v>
      </c>
      <c r="C49" s="9">
        <v>1.1980000000000001E-3</v>
      </c>
      <c r="D49" s="9">
        <v>6.6100000000000002E-4</v>
      </c>
      <c r="E49" s="9">
        <v>4.73E-4</v>
      </c>
      <c r="F49" s="9">
        <v>5.6099999999999998E-4</v>
      </c>
      <c r="G49" s="9">
        <v>3.97E-4</v>
      </c>
      <c r="H49" s="9">
        <v>3.6099999999999999E-4</v>
      </c>
      <c r="I49" s="9">
        <v>2.7300000000000002E-4</v>
      </c>
      <c r="J49" s="9">
        <v>3.6400000000000001E-4</v>
      </c>
      <c r="K49" s="9">
        <v>4.28E-4</v>
      </c>
      <c r="L49" s="9">
        <v>5.0299999999999997E-4</v>
      </c>
      <c r="M49" s="9">
        <v>5.7600000000000001E-4</v>
      </c>
      <c r="N49" s="10">
        <v>110706047</v>
      </c>
      <c r="O49" s="10">
        <v>61121524</v>
      </c>
      <c r="P49" s="10">
        <v>43728327</v>
      </c>
      <c r="Q49" s="10">
        <v>51831514</v>
      </c>
      <c r="R49" s="10">
        <v>36698484</v>
      </c>
      <c r="S49" s="10">
        <v>33340162</v>
      </c>
      <c r="T49" s="10">
        <v>25267564</v>
      </c>
      <c r="U49" s="10">
        <v>33602256</v>
      </c>
      <c r="V49" s="10">
        <v>39553480</v>
      </c>
      <c r="W49" s="10">
        <v>46474444</v>
      </c>
      <c r="X49" s="10">
        <v>53223956</v>
      </c>
      <c r="Y49" s="13">
        <v>49584523</v>
      </c>
      <c r="Z49" s="13">
        <v>17393197</v>
      </c>
      <c r="AA49" s="12">
        <v>-8103187</v>
      </c>
      <c r="AB49" s="13">
        <v>15133030</v>
      </c>
      <c r="AC49" s="13">
        <v>3358322</v>
      </c>
      <c r="AD49" s="13">
        <v>8072598</v>
      </c>
      <c r="AE49" s="12">
        <v>-8334692</v>
      </c>
      <c r="AF49" s="12">
        <v>-5951224</v>
      </c>
      <c r="AG49" s="12">
        <v>-6920964</v>
      </c>
      <c r="AH49" s="12">
        <v>-6749512</v>
      </c>
      <c r="AI49" s="12">
        <v>-316696</v>
      </c>
      <c r="AJ49" s="10">
        <v>528286342645.95001</v>
      </c>
      <c r="AK49" s="10">
        <v>347528724475.79999</v>
      </c>
      <c r="AL49" s="10">
        <v>264556378175</v>
      </c>
      <c r="AM49" s="10">
        <v>257213888462.29999</v>
      </c>
      <c r="AN49" s="10">
        <v>128767879912.5</v>
      </c>
      <c r="AO49" s="10">
        <v>105438262269.60001</v>
      </c>
      <c r="AP49" s="10">
        <v>96685643921.199997</v>
      </c>
      <c r="AQ49" s="10">
        <v>122375959125</v>
      </c>
      <c r="AR49" s="10">
        <v>158213920076.39999</v>
      </c>
      <c r="AS49" s="10">
        <v>134485422361.2</v>
      </c>
      <c r="AT49" s="10">
        <v>123125057368.5</v>
      </c>
      <c r="AU49" s="14">
        <v>45900</v>
      </c>
      <c r="AV49" s="14">
        <v>45657</v>
      </c>
      <c r="AW49" s="14">
        <v>45291</v>
      </c>
      <c r="AX49" s="14">
        <v>44926</v>
      </c>
      <c r="AY49" s="14">
        <v>44561</v>
      </c>
      <c r="AZ49" s="14">
        <v>44196</v>
      </c>
      <c r="BA49" s="14">
        <v>43830</v>
      </c>
      <c r="BB49" s="14">
        <v>43465</v>
      </c>
      <c r="BC49" s="14">
        <v>43100</v>
      </c>
      <c r="BD49" s="14">
        <v>42735</v>
      </c>
      <c r="BE49" s="14">
        <v>42369</v>
      </c>
      <c r="BF49" s="8" t="s">
        <v>35</v>
      </c>
      <c r="BG49" s="8" t="s">
        <v>35</v>
      </c>
      <c r="BH49" s="8" t="s">
        <v>35</v>
      </c>
      <c r="BI49" s="8" t="s">
        <v>35</v>
      </c>
      <c r="BJ49" s="8" t="s">
        <v>35</v>
      </c>
      <c r="BK49" s="8" t="s">
        <v>35</v>
      </c>
      <c r="BL49" s="8" t="s">
        <v>35</v>
      </c>
      <c r="BM49" s="8" t="s">
        <v>35</v>
      </c>
      <c r="BN49" s="8" t="s">
        <v>35</v>
      </c>
      <c r="BO49" s="8" t="s">
        <v>35</v>
      </c>
      <c r="BP49" s="8" t="s">
        <v>35</v>
      </c>
      <c r="BQ49" s="8" t="s">
        <v>31</v>
      </c>
      <c r="BR49" s="8" t="s">
        <v>49</v>
      </c>
      <c r="BS49" s="10">
        <v>3705996787923680</v>
      </c>
      <c r="BT49" s="8" t="s">
        <v>41</v>
      </c>
      <c r="BU49" s="8" t="s">
        <v>27</v>
      </c>
      <c r="BV49" s="8" t="s">
        <v>27</v>
      </c>
      <c r="BW49" s="8" t="s">
        <v>27</v>
      </c>
      <c r="BX49" s="8" t="s">
        <v>42</v>
      </c>
      <c r="BY49" s="8" t="s">
        <v>27</v>
      </c>
      <c r="BZ49" s="8" t="s">
        <v>27</v>
      </c>
      <c r="CA49" s="8" t="s">
        <v>27</v>
      </c>
      <c r="CB49" s="8" t="s">
        <v>42</v>
      </c>
      <c r="CC49" s="8" t="s">
        <v>42</v>
      </c>
      <c r="CD49" s="8" t="s">
        <v>27</v>
      </c>
      <c r="CE49" s="8" t="s">
        <v>42</v>
      </c>
      <c r="CF49" s="8" t="s">
        <v>50</v>
      </c>
      <c r="CG49" s="8" t="s">
        <v>51</v>
      </c>
    </row>
    <row r="50" spans="1:85" ht="15.75" customHeight="1" x14ac:dyDescent="0.35">
      <c r="A50" s="8">
        <v>43</v>
      </c>
      <c r="B50" s="8" t="s">
        <v>122</v>
      </c>
      <c r="C50" s="9">
        <v>1.1019999999999999E-3</v>
      </c>
      <c r="D50" s="9">
        <v>4.73E-4</v>
      </c>
      <c r="E50" s="9">
        <v>4.2900000000000002E-4</v>
      </c>
      <c r="F50" s="9">
        <v>4.1300000000000001E-4</v>
      </c>
      <c r="G50" s="9">
        <v>7.9199999999999995E-4</v>
      </c>
      <c r="H50" s="9">
        <v>1.204E-3</v>
      </c>
      <c r="I50" s="9">
        <v>1.709E-3</v>
      </c>
      <c r="J50" s="9">
        <v>9.5299999999999996E-4</v>
      </c>
      <c r="K50" s="9">
        <v>1.6659999999999999E-3</v>
      </c>
      <c r="L50" s="9">
        <v>1.0070000000000001E-3</v>
      </c>
      <c r="M50" s="8"/>
      <c r="N50" s="10">
        <v>101829600</v>
      </c>
      <c r="O50" s="10">
        <v>43737100</v>
      </c>
      <c r="P50" s="10">
        <v>39622300</v>
      </c>
      <c r="Q50" s="10">
        <v>38170000</v>
      </c>
      <c r="R50" s="10">
        <v>73209148</v>
      </c>
      <c r="S50" s="10">
        <v>111231254</v>
      </c>
      <c r="T50" s="10">
        <v>157954280</v>
      </c>
      <c r="U50" s="10">
        <v>88019038</v>
      </c>
      <c r="V50" s="10">
        <v>153966736</v>
      </c>
      <c r="W50" s="10">
        <v>93088564</v>
      </c>
      <c r="X50" s="8"/>
      <c r="Y50" s="13">
        <v>58092500</v>
      </c>
      <c r="Z50" s="13">
        <v>4114800</v>
      </c>
      <c r="AA50" s="13">
        <v>1452300</v>
      </c>
      <c r="AB50" s="12">
        <v>-35039148</v>
      </c>
      <c r="AC50" s="12">
        <v>-38022106</v>
      </c>
      <c r="AD50" s="12">
        <v>-46723026</v>
      </c>
      <c r="AE50" s="13">
        <v>69935242</v>
      </c>
      <c r="AF50" s="12">
        <v>-65947698</v>
      </c>
      <c r="AG50" s="13">
        <v>60878172</v>
      </c>
      <c r="AH50" s="13">
        <v>93088564</v>
      </c>
      <c r="AI50" s="8"/>
      <c r="AJ50" s="10">
        <v>461073367009.5</v>
      </c>
      <c r="AK50" s="10">
        <v>248683239220.20001</v>
      </c>
      <c r="AL50" s="10">
        <v>239714914882.64999</v>
      </c>
      <c r="AM50" s="10">
        <v>189418625183.70001</v>
      </c>
      <c r="AN50" s="10">
        <v>256876735800</v>
      </c>
      <c r="AO50" s="10">
        <v>351768840368.40002</v>
      </c>
      <c r="AP50" s="10">
        <v>604407740905.19995</v>
      </c>
      <c r="AQ50" s="10">
        <v>320556280512.5</v>
      </c>
      <c r="AR50" s="10">
        <v>615866944029.69995</v>
      </c>
      <c r="AS50" s="10">
        <v>260647979175.66</v>
      </c>
      <c r="AT50" s="8"/>
      <c r="AU50" s="14">
        <v>45869</v>
      </c>
      <c r="AV50" s="14">
        <v>45657</v>
      </c>
      <c r="AW50" s="14">
        <v>45291</v>
      </c>
      <c r="AX50" s="14">
        <v>44926</v>
      </c>
      <c r="AY50" s="14">
        <v>44561</v>
      </c>
      <c r="AZ50" s="14">
        <v>44196</v>
      </c>
      <c r="BA50" s="14">
        <v>43830</v>
      </c>
      <c r="BB50" s="14">
        <v>43465</v>
      </c>
      <c r="BC50" s="14">
        <v>43100</v>
      </c>
      <c r="BD50" s="14">
        <v>42643</v>
      </c>
      <c r="BE50" s="8"/>
      <c r="BF50" s="8" t="s">
        <v>35</v>
      </c>
      <c r="BG50" s="8" t="s">
        <v>35</v>
      </c>
      <c r="BH50" s="8" t="s">
        <v>35</v>
      </c>
      <c r="BI50" s="8" t="s">
        <v>35</v>
      </c>
      <c r="BJ50" s="8" t="s">
        <v>35</v>
      </c>
      <c r="BK50" s="8" t="s">
        <v>35</v>
      </c>
      <c r="BL50" s="8" t="s">
        <v>35</v>
      </c>
      <c r="BM50" s="8" t="s">
        <v>35</v>
      </c>
      <c r="BN50" s="8" t="s">
        <v>35</v>
      </c>
      <c r="BO50" s="8" t="s">
        <v>35</v>
      </c>
      <c r="BP50" s="8"/>
      <c r="BQ50" s="8" t="s">
        <v>31</v>
      </c>
      <c r="BR50" s="8" t="s">
        <v>36</v>
      </c>
      <c r="BS50" s="10">
        <v>1357926394732100</v>
      </c>
      <c r="BT50" s="8" t="s">
        <v>91</v>
      </c>
      <c r="BU50" s="8" t="s">
        <v>27</v>
      </c>
      <c r="BV50" s="8" t="s">
        <v>27</v>
      </c>
      <c r="BW50" s="8" t="s">
        <v>42</v>
      </c>
      <c r="BX50" s="8" t="s">
        <v>27</v>
      </c>
      <c r="BY50" s="8" t="s">
        <v>27</v>
      </c>
      <c r="BZ50" s="8" t="s">
        <v>27</v>
      </c>
      <c r="CA50" s="8" t="s">
        <v>27</v>
      </c>
      <c r="CB50" s="8" t="s">
        <v>27</v>
      </c>
      <c r="CC50" s="8" t="s">
        <v>27</v>
      </c>
      <c r="CD50" s="8" t="s">
        <v>27</v>
      </c>
      <c r="CE50" s="8"/>
      <c r="CF50" s="8" t="s">
        <v>50</v>
      </c>
      <c r="CG50" s="8" t="s">
        <v>51</v>
      </c>
    </row>
    <row r="51" spans="1:85" ht="15.75" customHeight="1" x14ac:dyDescent="0.35">
      <c r="A51" s="8">
        <v>44</v>
      </c>
      <c r="B51" s="8" t="s">
        <v>123</v>
      </c>
      <c r="C51" s="9">
        <v>1.0889999999999999E-3</v>
      </c>
      <c r="D51" s="9">
        <v>1.647E-3</v>
      </c>
      <c r="E51" s="9">
        <v>1.536E-3</v>
      </c>
      <c r="F51" s="9">
        <v>1.572E-3</v>
      </c>
      <c r="G51" s="9">
        <v>0</v>
      </c>
      <c r="H51" s="9">
        <v>0</v>
      </c>
      <c r="I51" s="9">
        <v>1.353E-3</v>
      </c>
      <c r="J51" s="9">
        <v>9.3800000000000003E-4</v>
      </c>
      <c r="K51" s="9">
        <v>7.0100000000000002E-4</v>
      </c>
      <c r="L51" s="9">
        <v>4.2849999999999997E-3</v>
      </c>
      <c r="M51" s="9">
        <v>9.4399999999999996E-4</v>
      </c>
      <c r="N51" s="10">
        <v>100589000</v>
      </c>
      <c r="O51" s="10">
        <v>152191500</v>
      </c>
      <c r="P51" s="10">
        <v>141937300</v>
      </c>
      <c r="Q51" s="10">
        <v>145254800</v>
      </c>
      <c r="R51" s="10">
        <v>0</v>
      </c>
      <c r="S51" s="10">
        <v>0</v>
      </c>
      <c r="T51" s="10">
        <v>124989800</v>
      </c>
      <c r="U51" s="10">
        <v>86685800</v>
      </c>
      <c r="V51" s="10">
        <v>64768000</v>
      </c>
      <c r="W51" s="10">
        <v>395963200</v>
      </c>
      <c r="X51" s="10">
        <v>87243200</v>
      </c>
      <c r="Y51" s="12">
        <v>-51602500</v>
      </c>
      <c r="Z51" s="13">
        <v>10254200</v>
      </c>
      <c r="AA51" s="12">
        <v>-3317500</v>
      </c>
      <c r="AB51" s="13">
        <v>145254800</v>
      </c>
      <c r="AC51" s="11">
        <v>0</v>
      </c>
      <c r="AD51" s="12">
        <v>-124989800</v>
      </c>
      <c r="AE51" s="13">
        <v>38304000</v>
      </c>
      <c r="AF51" s="13">
        <v>21917800</v>
      </c>
      <c r="AG51" s="12">
        <v>-331195200</v>
      </c>
      <c r="AH51" s="13">
        <v>308720000</v>
      </c>
      <c r="AI51" s="11">
        <v>0</v>
      </c>
      <c r="AJ51" s="10">
        <v>442458809821</v>
      </c>
      <c r="AK51" s="10">
        <v>865340299306.19995</v>
      </c>
      <c r="AL51" s="10">
        <v>858720664380.84998</v>
      </c>
      <c r="AM51" s="10">
        <v>720826945623.94995</v>
      </c>
      <c r="AN51" s="10">
        <v>0</v>
      </c>
      <c r="AO51" s="10">
        <v>0</v>
      </c>
      <c r="AP51" s="10">
        <v>478270058082.40002</v>
      </c>
      <c r="AQ51" s="10">
        <v>315700764887.5</v>
      </c>
      <c r="AR51" s="10">
        <v>259072000041.20001</v>
      </c>
      <c r="AS51" s="10">
        <v>1145818510578</v>
      </c>
      <c r="AT51" s="10">
        <v>201823104052.5</v>
      </c>
      <c r="AU51" s="14">
        <v>45930</v>
      </c>
      <c r="AV51" s="14">
        <v>45657</v>
      </c>
      <c r="AW51" s="14">
        <v>45291</v>
      </c>
      <c r="AX51" s="14">
        <v>44926</v>
      </c>
      <c r="AY51" s="14">
        <v>44074</v>
      </c>
      <c r="AZ51" s="14">
        <v>44074</v>
      </c>
      <c r="BA51" s="14">
        <v>43830</v>
      </c>
      <c r="BB51" s="14">
        <v>43465</v>
      </c>
      <c r="BC51" s="14">
        <v>43100</v>
      </c>
      <c r="BD51" s="14">
        <v>42735</v>
      </c>
      <c r="BE51" s="14">
        <v>42369</v>
      </c>
      <c r="BF51" s="8" t="s">
        <v>35</v>
      </c>
      <c r="BG51" s="8" t="s">
        <v>35</v>
      </c>
      <c r="BH51" s="8" t="s">
        <v>35</v>
      </c>
      <c r="BI51" s="8" t="s">
        <v>35</v>
      </c>
      <c r="BJ51" s="8" t="s">
        <v>35</v>
      </c>
      <c r="BK51" s="8" t="s">
        <v>35</v>
      </c>
      <c r="BL51" s="8" t="s">
        <v>35</v>
      </c>
      <c r="BM51" s="8" t="s">
        <v>35</v>
      </c>
      <c r="BN51" s="8" t="s">
        <v>35</v>
      </c>
      <c r="BO51" s="8" t="s">
        <v>35</v>
      </c>
      <c r="BP51" s="8" t="s">
        <v>35</v>
      </c>
      <c r="BQ51" s="8" t="s">
        <v>31</v>
      </c>
      <c r="BR51" s="8" t="s">
        <v>36</v>
      </c>
      <c r="BS51" s="10">
        <v>3423734544932720</v>
      </c>
      <c r="BT51" s="8" t="s">
        <v>41</v>
      </c>
      <c r="BU51" s="8" t="s">
        <v>27</v>
      </c>
      <c r="BV51" s="8" t="s">
        <v>27</v>
      </c>
      <c r="BW51" s="8" t="s">
        <v>27</v>
      </c>
      <c r="BX51" s="8" t="s">
        <v>27</v>
      </c>
      <c r="BY51" s="8" t="s">
        <v>27</v>
      </c>
      <c r="BZ51" s="8" t="s">
        <v>27</v>
      </c>
      <c r="CA51" s="8" t="s">
        <v>27</v>
      </c>
      <c r="CB51" s="8" t="s">
        <v>27</v>
      </c>
      <c r="CC51" s="8" t="s">
        <v>27</v>
      </c>
      <c r="CD51" s="8" t="s">
        <v>27</v>
      </c>
      <c r="CE51" s="8" t="s">
        <v>27</v>
      </c>
      <c r="CF51" s="8" t="s">
        <v>120</v>
      </c>
      <c r="CG51" s="8" t="s">
        <v>51</v>
      </c>
    </row>
    <row r="52" spans="1:85" ht="15.75" customHeight="1" x14ac:dyDescent="0.35">
      <c r="A52" s="8">
        <v>45</v>
      </c>
      <c r="B52" s="8" t="s">
        <v>124</v>
      </c>
      <c r="C52" s="9">
        <v>9.77E-4</v>
      </c>
      <c r="D52" s="9">
        <v>1.3420000000000001E-3</v>
      </c>
      <c r="E52" s="9">
        <v>1.2179999999999999E-3</v>
      </c>
      <c r="F52" s="9">
        <v>1.1820000000000001E-3</v>
      </c>
      <c r="G52" s="9">
        <v>2.52E-4</v>
      </c>
      <c r="H52" s="9">
        <v>2.5000000000000001E-4</v>
      </c>
      <c r="I52" s="9">
        <v>3.9800000000000002E-4</v>
      </c>
      <c r="J52" s="9">
        <v>3.1E-4</v>
      </c>
      <c r="K52" s="9">
        <v>3.5500000000000001E-4</v>
      </c>
      <c r="L52" s="9">
        <v>4.17E-4</v>
      </c>
      <c r="M52" s="9">
        <v>3.9500000000000001E-4</v>
      </c>
      <c r="N52" s="10">
        <v>90289784</v>
      </c>
      <c r="O52" s="10">
        <v>123970484</v>
      </c>
      <c r="P52" s="10">
        <v>112519484</v>
      </c>
      <c r="Q52" s="10">
        <v>109244784</v>
      </c>
      <c r="R52" s="10">
        <v>23300584</v>
      </c>
      <c r="S52" s="10">
        <v>23072784</v>
      </c>
      <c r="T52" s="10">
        <v>36755184</v>
      </c>
      <c r="U52" s="10">
        <v>28682984</v>
      </c>
      <c r="V52" s="10">
        <v>32763384</v>
      </c>
      <c r="W52" s="10">
        <v>38554784</v>
      </c>
      <c r="X52" s="10">
        <v>36507184</v>
      </c>
      <c r="Y52" s="12">
        <v>-33680700</v>
      </c>
      <c r="Z52" s="13">
        <v>11451000</v>
      </c>
      <c r="AA52" s="13">
        <v>3274700</v>
      </c>
      <c r="AB52" s="13">
        <v>85944200</v>
      </c>
      <c r="AC52" s="13">
        <v>227800</v>
      </c>
      <c r="AD52" s="12">
        <v>-13682400</v>
      </c>
      <c r="AE52" s="13">
        <v>8072200</v>
      </c>
      <c r="AF52" s="12">
        <v>-4080400</v>
      </c>
      <c r="AG52" s="12">
        <v>-5791400</v>
      </c>
      <c r="AH52" s="13">
        <v>2047600</v>
      </c>
      <c r="AI52" s="11">
        <v>0</v>
      </c>
      <c r="AJ52" s="10">
        <v>430860472854</v>
      </c>
      <c r="AK52" s="10">
        <v>704879416645</v>
      </c>
      <c r="AL52" s="10">
        <v>680742877642</v>
      </c>
      <c r="AM52" s="10">
        <v>542127240963</v>
      </c>
      <c r="AN52" s="10">
        <v>81757241062.5</v>
      </c>
      <c r="AO52" s="10">
        <v>72967679366.399994</v>
      </c>
      <c r="AP52" s="10">
        <v>140642708383.60001</v>
      </c>
      <c r="AQ52" s="10">
        <v>104460476693.75</v>
      </c>
      <c r="AR52" s="10">
        <v>131053535968.55</v>
      </c>
      <c r="AS52" s="10">
        <v>101206307981</v>
      </c>
      <c r="AT52" s="10">
        <v>77577766060.199997</v>
      </c>
      <c r="AU52" s="14">
        <v>45900</v>
      </c>
      <c r="AV52" s="14">
        <v>45657</v>
      </c>
      <c r="AW52" s="14">
        <v>45291</v>
      </c>
      <c r="AX52" s="14">
        <v>44926</v>
      </c>
      <c r="AY52" s="14">
        <v>44561</v>
      </c>
      <c r="AZ52" s="14">
        <v>44196</v>
      </c>
      <c r="BA52" s="14">
        <v>43830</v>
      </c>
      <c r="BB52" s="14">
        <v>43465</v>
      </c>
      <c r="BC52" s="14">
        <v>43100</v>
      </c>
      <c r="BD52" s="14">
        <v>42704</v>
      </c>
      <c r="BE52" s="14">
        <v>42338</v>
      </c>
      <c r="BF52" s="8" t="s">
        <v>35</v>
      </c>
      <c r="BG52" s="8" t="s">
        <v>35</v>
      </c>
      <c r="BH52" s="8" t="s">
        <v>35</v>
      </c>
      <c r="BI52" s="8" t="s">
        <v>35</v>
      </c>
      <c r="BJ52" s="8" t="s">
        <v>35</v>
      </c>
      <c r="BK52" s="8" t="s">
        <v>35</v>
      </c>
      <c r="BL52" s="8" t="s">
        <v>35</v>
      </c>
      <c r="BM52" s="8" t="s">
        <v>35</v>
      </c>
      <c r="BN52" s="8" t="s">
        <v>35</v>
      </c>
      <c r="BO52" s="8" t="s">
        <v>35</v>
      </c>
      <c r="BP52" s="8" t="s">
        <v>35</v>
      </c>
      <c r="BQ52" s="8" t="s">
        <v>31</v>
      </c>
      <c r="BR52" s="8" t="s">
        <v>49</v>
      </c>
      <c r="BS52" s="10">
        <v>2544273447894100</v>
      </c>
      <c r="BT52" s="8" t="s">
        <v>41</v>
      </c>
      <c r="BU52" s="8" t="s">
        <v>27</v>
      </c>
      <c r="BV52" s="8" t="s">
        <v>27</v>
      </c>
      <c r="BW52" s="8" t="s">
        <v>27</v>
      </c>
      <c r="BX52" s="8" t="s">
        <v>27</v>
      </c>
      <c r="BY52" s="8" t="s">
        <v>27</v>
      </c>
      <c r="BZ52" s="8" t="s">
        <v>27</v>
      </c>
      <c r="CA52" s="8" t="s">
        <v>27</v>
      </c>
      <c r="CB52" s="8" t="s">
        <v>27</v>
      </c>
      <c r="CC52" s="8" t="s">
        <v>27</v>
      </c>
      <c r="CD52" s="8" t="s">
        <v>27</v>
      </c>
      <c r="CE52" s="8" t="s">
        <v>27</v>
      </c>
      <c r="CF52" s="8" t="s">
        <v>50</v>
      </c>
      <c r="CG52" s="8" t="s">
        <v>51</v>
      </c>
    </row>
    <row r="53" spans="1:85" ht="15.75" customHeight="1" x14ac:dyDescent="0.35">
      <c r="A53" s="8">
        <v>46</v>
      </c>
      <c r="B53" s="8" t="s">
        <v>125</v>
      </c>
      <c r="C53" s="9">
        <v>9.4600000000000001E-4</v>
      </c>
      <c r="D53" s="9">
        <v>9.4600000000000001E-4</v>
      </c>
      <c r="E53" s="9">
        <v>5.0600000000000005E-4</v>
      </c>
      <c r="F53" s="9">
        <v>1.5100000000000001E-3</v>
      </c>
      <c r="G53" s="9">
        <v>2.6440000000000001E-3</v>
      </c>
      <c r="H53" s="9">
        <v>2.1329999999999999E-3</v>
      </c>
      <c r="I53" s="8"/>
      <c r="J53" s="8"/>
      <c r="K53" s="8"/>
      <c r="L53" s="8"/>
      <c r="M53" s="8"/>
      <c r="N53" s="10">
        <v>87430916</v>
      </c>
      <c r="O53" s="10">
        <v>87430916</v>
      </c>
      <c r="P53" s="10">
        <v>46712716</v>
      </c>
      <c r="Q53" s="10">
        <v>139489516</v>
      </c>
      <c r="R53" s="10">
        <v>244316020</v>
      </c>
      <c r="S53" s="10">
        <v>197107316</v>
      </c>
      <c r="T53" s="8"/>
      <c r="U53" s="8"/>
      <c r="V53" s="8"/>
      <c r="W53" s="8"/>
      <c r="X53" s="8"/>
      <c r="Y53" s="11">
        <v>0</v>
      </c>
      <c r="Z53" s="13">
        <v>40718200</v>
      </c>
      <c r="AA53" s="12">
        <v>-92776800</v>
      </c>
      <c r="AB53" s="12">
        <v>-104826504</v>
      </c>
      <c r="AC53" s="13">
        <v>47208704</v>
      </c>
      <c r="AD53" s="13">
        <v>197107316</v>
      </c>
      <c r="AE53" s="8"/>
      <c r="AF53" s="8"/>
      <c r="AG53" s="8"/>
      <c r="AH53" s="8"/>
      <c r="AI53" s="8"/>
      <c r="AJ53" s="10">
        <v>537700133756.70001</v>
      </c>
      <c r="AK53" s="10">
        <v>537700133756.70001</v>
      </c>
      <c r="AL53" s="10">
        <v>242906123254.20001</v>
      </c>
      <c r="AM53" s="10">
        <v>552727206648.44995</v>
      </c>
      <c r="AN53" s="10">
        <v>720732258506</v>
      </c>
      <c r="AO53" s="10">
        <v>487840607338.40002</v>
      </c>
      <c r="AP53" s="8"/>
      <c r="AQ53" s="8"/>
      <c r="AR53" s="8"/>
      <c r="AS53" s="8"/>
      <c r="AT53" s="8"/>
      <c r="AU53" s="14">
        <v>45473</v>
      </c>
      <c r="AV53" s="14">
        <v>45473</v>
      </c>
      <c r="AW53" s="14">
        <v>45107</v>
      </c>
      <c r="AX53" s="14">
        <v>44742</v>
      </c>
      <c r="AY53" s="14">
        <v>44377</v>
      </c>
      <c r="AZ53" s="14">
        <v>44012</v>
      </c>
      <c r="BA53" s="8"/>
      <c r="BB53" s="8"/>
      <c r="BC53" s="8"/>
      <c r="BD53" s="8"/>
      <c r="BE53" s="8"/>
      <c r="BF53" s="8" t="s">
        <v>24</v>
      </c>
      <c r="BG53" s="8" t="s">
        <v>24</v>
      </c>
      <c r="BH53" s="8" t="s">
        <v>24</v>
      </c>
      <c r="BI53" s="8" t="s">
        <v>24</v>
      </c>
      <c r="BJ53" s="8" t="s">
        <v>24</v>
      </c>
      <c r="BK53" s="8" t="s">
        <v>24</v>
      </c>
      <c r="BL53" s="8"/>
      <c r="BM53" s="8"/>
      <c r="BN53" s="8"/>
      <c r="BO53" s="8"/>
      <c r="BP53" s="8"/>
      <c r="BQ53" s="8" t="s">
        <v>31</v>
      </c>
      <c r="BR53" s="8" t="s">
        <v>53</v>
      </c>
      <c r="BS53" s="10">
        <v>2288610933625740</v>
      </c>
      <c r="BT53" s="8" t="s">
        <v>46</v>
      </c>
      <c r="BU53" s="8" t="s">
        <v>27</v>
      </c>
      <c r="BV53" s="8" t="s">
        <v>27</v>
      </c>
      <c r="BW53" s="8" t="s">
        <v>27</v>
      </c>
      <c r="BX53" s="8" t="s">
        <v>27</v>
      </c>
      <c r="BY53" s="8" t="s">
        <v>27</v>
      </c>
      <c r="BZ53" s="8" t="s">
        <v>27</v>
      </c>
      <c r="CA53" s="8"/>
      <c r="CB53" s="8"/>
      <c r="CC53" s="8"/>
      <c r="CD53" s="8"/>
      <c r="CE53" s="8"/>
      <c r="CF53" s="8" t="s">
        <v>126</v>
      </c>
      <c r="CG53" s="8" t="s">
        <v>39</v>
      </c>
    </row>
    <row r="54" spans="1:85" ht="15.75" customHeight="1" x14ac:dyDescent="0.35">
      <c r="A54" s="8">
        <v>47</v>
      </c>
      <c r="B54" s="8" t="s">
        <v>127</v>
      </c>
      <c r="C54" s="9">
        <v>9.1100000000000003E-4</v>
      </c>
      <c r="D54" s="9">
        <v>8.0800000000000002E-4</v>
      </c>
      <c r="E54" s="9">
        <v>6.7000000000000002E-4</v>
      </c>
      <c r="F54" s="9">
        <v>3.48E-4</v>
      </c>
      <c r="G54" s="9">
        <v>1.16E-4</v>
      </c>
      <c r="H54" s="9">
        <v>1.4200000000000001E-4</v>
      </c>
      <c r="I54" s="9">
        <v>1.05E-4</v>
      </c>
      <c r="J54" s="9">
        <v>5.4100000000000003E-4</v>
      </c>
      <c r="K54" s="9">
        <v>1.01E-3</v>
      </c>
      <c r="L54" s="8"/>
      <c r="M54" s="8"/>
      <c r="N54" s="10">
        <v>84145492</v>
      </c>
      <c r="O54" s="10">
        <v>74622257</v>
      </c>
      <c r="P54" s="10">
        <v>61936293</v>
      </c>
      <c r="Q54" s="10">
        <v>32189400</v>
      </c>
      <c r="R54" s="10">
        <v>10751400</v>
      </c>
      <c r="S54" s="10">
        <v>13086884</v>
      </c>
      <c r="T54" s="10">
        <v>9676752</v>
      </c>
      <c r="U54" s="10">
        <v>49960752</v>
      </c>
      <c r="V54" s="10">
        <v>93313080</v>
      </c>
      <c r="W54" s="8"/>
      <c r="X54" s="8"/>
      <c r="Y54" s="13">
        <v>9523235</v>
      </c>
      <c r="Z54" s="13">
        <v>12685964</v>
      </c>
      <c r="AA54" s="13">
        <v>29746893</v>
      </c>
      <c r="AB54" s="13">
        <v>21438000</v>
      </c>
      <c r="AC54" s="12">
        <v>-2335484</v>
      </c>
      <c r="AD54" s="13">
        <v>3410132</v>
      </c>
      <c r="AE54" s="12">
        <v>-40284000</v>
      </c>
      <c r="AF54" s="12">
        <v>-43352328</v>
      </c>
      <c r="AG54" s="13">
        <v>93313080</v>
      </c>
      <c r="AH54" s="8"/>
      <c r="AI54" s="8"/>
      <c r="AJ54" s="10">
        <v>411415823211</v>
      </c>
      <c r="AK54" s="10">
        <v>424292067666.90002</v>
      </c>
      <c r="AL54" s="10">
        <v>374714572337.54999</v>
      </c>
      <c r="AM54" s="10">
        <v>151692547434.75</v>
      </c>
      <c r="AN54" s="10">
        <v>33060555039.599998</v>
      </c>
      <c r="AO54" s="10">
        <v>30623308454</v>
      </c>
      <c r="AP54" s="10">
        <v>36045901164</v>
      </c>
      <c r="AQ54" s="10">
        <v>191724385932.79999</v>
      </c>
      <c r="AR54" s="10">
        <v>272940758982.92999</v>
      </c>
      <c r="AS54" s="8"/>
      <c r="AT54" s="8"/>
      <c r="AU54" s="14">
        <v>45838</v>
      </c>
      <c r="AV54" s="14">
        <v>45657</v>
      </c>
      <c r="AW54" s="14">
        <v>45291</v>
      </c>
      <c r="AX54" s="14">
        <v>44834</v>
      </c>
      <c r="AY54" s="14">
        <v>44286</v>
      </c>
      <c r="AZ54" s="14">
        <v>43921</v>
      </c>
      <c r="BA54" s="14">
        <v>43555</v>
      </c>
      <c r="BB54" s="14">
        <v>43190</v>
      </c>
      <c r="BC54" s="14">
        <v>42825</v>
      </c>
      <c r="BD54" s="8"/>
      <c r="BE54" s="8"/>
      <c r="BF54" s="8" t="s">
        <v>35</v>
      </c>
      <c r="BG54" s="8" t="s">
        <v>35</v>
      </c>
      <c r="BH54" s="8" t="s">
        <v>35</v>
      </c>
      <c r="BI54" s="8" t="s">
        <v>35</v>
      </c>
      <c r="BJ54" s="8" t="s">
        <v>35</v>
      </c>
      <c r="BK54" s="8" t="s">
        <v>35</v>
      </c>
      <c r="BL54" s="8" t="s">
        <v>35</v>
      </c>
      <c r="BM54" s="8" t="s">
        <v>35</v>
      </c>
      <c r="BN54" s="8" t="s">
        <v>35</v>
      </c>
      <c r="BO54" s="8"/>
      <c r="BP54" s="8"/>
      <c r="BQ54" s="8" t="s">
        <v>31</v>
      </c>
      <c r="BR54" s="8" t="s">
        <v>53</v>
      </c>
      <c r="BS54" s="10">
        <v>1505736958164200</v>
      </c>
      <c r="BT54" s="8" t="s">
        <v>46</v>
      </c>
      <c r="BU54" s="8" t="s">
        <v>27</v>
      </c>
      <c r="BV54" s="8" t="s">
        <v>27</v>
      </c>
      <c r="BW54" s="8" t="s">
        <v>27</v>
      </c>
      <c r="BX54" s="8" t="s">
        <v>27</v>
      </c>
      <c r="BY54" s="8" t="s">
        <v>27</v>
      </c>
      <c r="BZ54" s="8" t="s">
        <v>27</v>
      </c>
      <c r="CA54" s="8" t="s">
        <v>27</v>
      </c>
      <c r="CB54" s="8" t="s">
        <v>27</v>
      </c>
      <c r="CC54" s="8" t="s">
        <v>27</v>
      </c>
      <c r="CD54" s="8"/>
      <c r="CE54" s="8"/>
      <c r="CF54" s="8" t="s">
        <v>128</v>
      </c>
      <c r="CG54" s="8" t="s">
        <v>39</v>
      </c>
    </row>
    <row r="55" spans="1:85" ht="15.75" customHeight="1" x14ac:dyDescent="0.35">
      <c r="A55" s="8">
        <v>48</v>
      </c>
      <c r="B55" s="8" t="s">
        <v>129</v>
      </c>
      <c r="C55" s="9">
        <v>9.0899999999999998E-4</v>
      </c>
      <c r="D55" s="9">
        <v>8.5800000000000004E-4</v>
      </c>
      <c r="E55" s="9">
        <v>1.5820000000000001E-3</v>
      </c>
      <c r="F55" s="9">
        <v>1.175E-3</v>
      </c>
      <c r="G55" s="9">
        <v>1.629E-3</v>
      </c>
      <c r="H55" s="9">
        <v>1.3270000000000001E-3</v>
      </c>
      <c r="I55" s="9">
        <v>1.183E-3</v>
      </c>
      <c r="J55" s="8"/>
      <c r="K55" s="8"/>
      <c r="L55" s="8"/>
      <c r="M55" s="8"/>
      <c r="N55" s="10">
        <v>83980664</v>
      </c>
      <c r="O55" s="10">
        <v>79248969</v>
      </c>
      <c r="P55" s="10">
        <v>146201290</v>
      </c>
      <c r="Q55" s="10">
        <v>108546622</v>
      </c>
      <c r="R55" s="10">
        <v>150560000</v>
      </c>
      <c r="S55" s="10">
        <v>122658000</v>
      </c>
      <c r="T55" s="10">
        <v>109348000</v>
      </c>
      <c r="U55" s="8"/>
      <c r="V55" s="8"/>
      <c r="W55" s="8"/>
      <c r="X55" s="8"/>
      <c r="Y55" s="13">
        <v>4731695</v>
      </c>
      <c r="Z55" s="12">
        <v>-66952321</v>
      </c>
      <c r="AA55" s="13">
        <v>37654668</v>
      </c>
      <c r="AB55" s="12">
        <v>-42013378</v>
      </c>
      <c r="AC55" s="13">
        <v>27902000</v>
      </c>
      <c r="AD55" s="13">
        <v>13310000</v>
      </c>
      <c r="AE55" s="13">
        <v>109348000</v>
      </c>
      <c r="AF55" s="8"/>
      <c r="AG55" s="8"/>
      <c r="AH55" s="8"/>
      <c r="AI55" s="8"/>
      <c r="AJ55" s="10">
        <v>445507872775.40002</v>
      </c>
      <c r="AK55" s="10">
        <v>450598926759.70001</v>
      </c>
      <c r="AL55" s="10">
        <v>884517803857.94995</v>
      </c>
      <c r="AM55" s="10">
        <v>538662612048</v>
      </c>
      <c r="AN55" s="10">
        <v>526960000407.20001</v>
      </c>
      <c r="AO55" s="10">
        <v>387905924624.40002</v>
      </c>
      <c r="AP55" s="10">
        <v>418417137233.20001</v>
      </c>
      <c r="AQ55" s="8"/>
      <c r="AR55" s="8"/>
      <c r="AS55" s="8"/>
      <c r="AT55" s="8"/>
      <c r="AU55" s="14">
        <v>45808</v>
      </c>
      <c r="AV55" s="14">
        <v>45657</v>
      </c>
      <c r="AW55" s="14">
        <v>45291</v>
      </c>
      <c r="AX55" s="14">
        <v>44926</v>
      </c>
      <c r="AY55" s="14">
        <v>44530</v>
      </c>
      <c r="AZ55" s="14">
        <v>44196</v>
      </c>
      <c r="BA55" s="14">
        <v>43830</v>
      </c>
      <c r="BB55" s="8"/>
      <c r="BC55" s="8"/>
      <c r="BD55" s="8"/>
      <c r="BE55" s="8"/>
      <c r="BF55" s="8" t="s">
        <v>35</v>
      </c>
      <c r="BG55" s="8" t="s">
        <v>35</v>
      </c>
      <c r="BH55" s="8" t="s">
        <v>35</v>
      </c>
      <c r="BI55" s="8" t="s">
        <v>35</v>
      </c>
      <c r="BJ55" s="8" t="s">
        <v>35</v>
      </c>
      <c r="BK55" s="8" t="s">
        <v>35</v>
      </c>
      <c r="BL55" s="8" t="s">
        <v>35</v>
      </c>
      <c r="BM55" s="8"/>
      <c r="BN55" s="8"/>
      <c r="BO55" s="8"/>
      <c r="BP55" s="8"/>
      <c r="BQ55" s="8" t="s">
        <v>31</v>
      </c>
      <c r="BR55" s="8" t="s">
        <v>36</v>
      </c>
      <c r="BS55" s="10">
        <v>200197945180546</v>
      </c>
      <c r="BT55" s="8" t="s">
        <v>41</v>
      </c>
      <c r="BU55" s="8" t="s">
        <v>27</v>
      </c>
      <c r="BV55" s="8" t="s">
        <v>27</v>
      </c>
      <c r="BW55" s="8" t="s">
        <v>27</v>
      </c>
      <c r="BX55" s="8" t="s">
        <v>27</v>
      </c>
      <c r="BY55" s="8" t="s">
        <v>27</v>
      </c>
      <c r="BZ55" s="8" t="s">
        <v>27</v>
      </c>
      <c r="CA55" s="8" t="s">
        <v>27</v>
      </c>
      <c r="CB55" s="8"/>
      <c r="CC55" s="8"/>
      <c r="CD55" s="8"/>
      <c r="CE55" s="8"/>
      <c r="CF55" s="8" t="s">
        <v>58</v>
      </c>
      <c r="CG55" s="8" t="s">
        <v>59</v>
      </c>
    </row>
    <row r="56" spans="1:85" ht="15.75" customHeight="1" x14ac:dyDescent="0.35">
      <c r="A56" s="8">
        <v>49</v>
      </c>
      <c r="B56" s="8" t="s">
        <v>130</v>
      </c>
      <c r="C56" s="9">
        <v>9.0499999999999999E-4</v>
      </c>
      <c r="D56" s="9">
        <v>9.0499999999999999E-4</v>
      </c>
      <c r="E56" s="8"/>
      <c r="F56" s="8"/>
      <c r="G56" s="8"/>
      <c r="H56" s="8"/>
      <c r="I56" s="8"/>
      <c r="J56" s="8"/>
      <c r="K56" s="8"/>
      <c r="L56" s="8"/>
      <c r="M56" s="8"/>
      <c r="N56" s="10">
        <v>83641900</v>
      </c>
      <c r="O56" s="10">
        <v>83641900</v>
      </c>
      <c r="P56" s="8"/>
      <c r="Q56" s="8"/>
      <c r="R56" s="8"/>
      <c r="S56" s="8"/>
      <c r="T56" s="8"/>
      <c r="U56" s="8"/>
      <c r="V56" s="8"/>
      <c r="W56" s="8"/>
      <c r="X56" s="8"/>
      <c r="Y56" s="11">
        <v>0</v>
      </c>
      <c r="Z56" s="13">
        <v>83641900</v>
      </c>
      <c r="AA56" s="8"/>
      <c r="AB56" s="8"/>
      <c r="AC56" s="8"/>
      <c r="AD56" s="8"/>
      <c r="AE56" s="8"/>
      <c r="AF56" s="8"/>
      <c r="AG56" s="8"/>
      <c r="AH56" s="8"/>
      <c r="AI56" s="8"/>
      <c r="AJ56" s="10">
        <v>514397685288.90002</v>
      </c>
      <c r="AK56" s="10">
        <v>514397685288.90002</v>
      </c>
      <c r="AL56" s="8"/>
      <c r="AM56" s="8"/>
      <c r="AN56" s="8"/>
      <c r="AO56" s="8"/>
      <c r="AP56" s="8"/>
      <c r="AQ56" s="8"/>
      <c r="AR56" s="8"/>
      <c r="AS56" s="8"/>
      <c r="AT56" s="8"/>
      <c r="AU56" s="14">
        <v>45473</v>
      </c>
      <c r="AV56" s="14">
        <v>45473</v>
      </c>
      <c r="AW56" s="8"/>
      <c r="AX56" s="8"/>
      <c r="AY56" s="8"/>
      <c r="AZ56" s="8"/>
      <c r="BA56" s="8"/>
      <c r="BB56" s="8"/>
      <c r="BC56" s="8"/>
      <c r="BD56" s="8"/>
      <c r="BE56" s="8"/>
      <c r="BF56" s="8" t="s">
        <v>35</v>
      </c>
      <c r="BG56" s="8" t="s">
        <v>35</v>
      </c>
      <c r="BH56" s="8"/>
      <c r="BI56" s="8"/>
      <c r="BJ56" s="8"/>
      <c r="BK56" s="8"/>
      <c r="BL56" s="8"/>
      <c r="BM56" s="8"/>
      <c r="BN56" s="8"/>
      <c r="BO56" s="8"/>
      <c r="BP56" s="8"/>
      <c r="BQ56" s="8" t="s">
        <v>31</v>
      </c>
      <c r="BR56" s="8" t="s">
        <v>36</v>
      </c>
      <c r="BS56" s="10">
        <v>81427916407750.797</v>
      </c>
      <c r="BT56" s="8" t="s">
        <v>57</v>
      </c>
      <c r="BU56" s="8" t="s">
        <v>27</v>
      </c>
      <c r="BV56" s="8" t="s">
        <v>43</v>
      </c>
      <c r="BW56" s="8"/>
      <c r="BX56" s="8"/>
      <c r="BY56" s="8"/>
      <c r="BZ56" s="8"/>
      <c r="CA56" s="8"/>
      <c r="CB56" s="8"/>
      <c r="CC56" s="8"/>
      <c r="CD56" s="8"/>
      <c r="CE56" s="8"/>
      <c r="CF56" s="8" t="s">
        <v>131</v>
      </c>
      <c r="CG56" s="8" t="s">
        <v>132</v>
      </c>
    </row>
    <row r="57" spans="1:85" ht="15.75" customHeight="1" x14ac:dyDescent="0.35">
      <c r="A57" s="8">
        <v>50</v>
      </c>
      <c r="B57" s="8" t="s">
        <v>133</v>
      </c>
      <c r="C57" s="9">
        <v>8.9700000000000001E-4</v>
      </c>
      <c r="D57" s="9">
        <v>7.7800000000000005E-4</v>
      </c>
      <c r="E57" s="9">
        <v>7.1500000000000003E-4</v>
      </c>
      <c r="F57" s="9">
        <v>5.8799999999999998E-4</v>
      </c>
      <c r="G57" s="9">
        <v>3.6200000000000002E-4</v>
      </c>
      <c r="H57" s="9">
        <v>1.26E-4</v>
      </c>
      <c r="I57" s="9">
        <v>1.3799999999999999E-4</v>
      </c>
      <c r="J57" s="9">
        <v>8.3999999999999995E-5</v>
      </c>
      <c r="K57" s="9">
        <v>5.3000000000000001E-5</v>
      </c>
      <c r="L57" s="9">
        <v>3.6999999999999998E-5</v>
      </c>
      <c r="M57" s="9">
        <v>2.5999999999999998E-5</v>
      </c>
      <c r="N57" s="10">
        <v>82899483</v>
      </c>
      <c r="O57" s="10">
        <v>71897463</v>
      </c>
      <c r="P57" s="10">
        <v>66093969</v>
      </c>
      <c r="Q57" s="10">
        <v>54298196</v>
      </c>
      <c r="R57" s="10">
        <v>33482728</v>
      </c>
      <c r="S57" s="10">
        <v>11608196</v>
      </c>
      <c r="T57" s="10">
        <v>12743396</v>
      </c>
      <c r="U57" s="10">
        <v>7729796</v>
      </c>
      <c r="V57" s="10">
        <v>4880396</v>
      </c>
      <c r="W57" s="10">
        <v>3439996</v>
      </c>
      <c r="X57" s="10">
        <v>2448396</v>
      </c>
      <c r="Y57" s="13">
        <v>11002020</v>
      </c>
      <c r="Z57" s="13">
        <v>5803494</v>
      </c>
      <c r="AA57" s="13">
        <v>11795773</v>
      </c>
      <c r="AB57" s="13">
        <v>20815468</v>
      </c>
      <c r="AC57" s="13">
        <v>21874532</v>
      </c>
      <c r="AD57" s="12">
        <v>-1135200</v>
      </c>
      <c r="AE57" s="13">
        <v>5013600</v>
      </c>
      <c r="AF57" s="13">
        <v>2849400</v>
      </c>
      <c r="AG57" s="13">
        <v>1440400</v>
      </c>
      <c r="AH57" s="13">
        <v>991600</v>
      </c>
      <c r="AI57" s="11">
        <v>0</v>
      </c>
      <c r="AJ57" s="10">
        <v>364648287484.59998</v>
      </c>
      <c r="AK57" s="10">
        <v>408799257188.20001</v>
      </c>
      <c r="AL57" s="10">
        <v>399868512101.54999</v>
      </c>
      <c r="AM57" s="10">
        <v>269454797800.10001</v>
      </c>
      <c r="AN57" s="10">
        <v>117484414275</v>
      </c>
      <c r="AO57" s="10">
        <v>36710919835.199997</v>
      </c>
      <c r="AP57" s="10">
        <v>48762256892</v>
      </c>
      <c r="AQ57" s="10">
        <v>28151121687.5</v>
      </c>
      <c r="AR57" s="10">
        <v>19521583987.349998</v>
      </c>
      <c r="AS57" s="10">
        <v>9954488407.2000008</v>
      </c>
      <c r="AT57" s="10">
        <v>5663970185.5500002</v>
      </c>
      <c r="AU57" s="14">
        <v>45930</v>
      </c>
      <c r="AV57" s="14">
        <v>45657</v>
      </c>
      <c r="AW57" s="14">
        <v>45291</v>
      </c>
      <c r="AX57" s="14">
        <v>44926</v>
      </c>
      <c r="AY57" s="14">
        <v>44561</v>
      </c>
      <c r="AZ57" s="14">
        <v>44196</v>
      </c>
      <c r="BA57" s="14">
        <v>43830</v>
      </c>
      <c r="BB57" s="14">
        <v>43465</v>
      </c>
      <c r="BC57" s="14">
        <v>43100</v>
      </c>
      <c r="BD57" s="14">
        <v>42735</v>
      </c>
      <c r="BE57" s="14">
        <v>42369</v>
      </c>
      <c r="BF57" s="8" t="s">
        <v>35</v>
      </c>
      <c r="BG57" s="8" t="s">
        <v>35</v>
      </c>
      <c r="BH57" s="8" t="s">
        <v>35</v>
      </c>
      <c r="BI57" s="8" t="s">
        <v>35</v>
      </c>
      <c r="BJ57" s="8" t="s">
        <v>35</v>
      </c>
      <c r="BK57" s="8" t="s">
        <v>35</v>
      </c>
      <c r="BL57" s="8" t="s">
        <v>35</v>
      </c>
      <c r="BM57" s="8" t="s">
        <v>35</v>
      </c>
      <c r="BN57" s="8" t="s">
        <v>35</v>
      </c>
      <c r="BO57" s="8" t="s">
        <v>35</v>
      </c>
      <c r="BP57" s="8" t="s">
        <v>35</v>
      </c>
      <c r="BQ57" s="8" t="s">
        <v>31</v>
      </c>
      <c r="BR57" s="8" t="s">
        <v>49</v>
      </c>
      <c r="BS57" s="10">
        <v>2276411380813120</v>
      </c>
      <c r="BT57" s="8" t="s">
        <v>41</v>
      </c>
      <c r="BU57" s="8" t="s">
        <v>27</v>
      </c>
      <c r="BV57" s="8" t="s">
        <v>27</v>
      </c>
      <c r="BW57" s="8" t="s">
        <v>42</v>
      </c>
      <c r="BX57" s="8" t="s">
        <v>27</v>
      </c>
      <c r="BY57" s="8" t="s">
        <v>42</v>
      </c>
      <c r="BZ57" s="8" t="s">
        <v>27</v>
      </c>
      <c r="CA57" s="8" t="s">
        <v>42</v>
      </c>
      <c r="CB57" s="8" t="s">
        <v>27</v>
      </c>
      <c r="CC57" s="8" t="s">
        <v>27</v>
      </c>
      <c r="CD57" s="8" t="s">
        <v>27</v>
      </c>
      <c r="CE57" s="8" t="s">
        <v>27</v>
      </c>
      <c r="CF57" s="8" t="s">
        <v>50</v>
      </c>
      <c r="CG57" s="8" t="s">
        <v>51</v>
      </c>
    </row>
    <row r="58" spans="1:85" ht="15.75" customHeight="1" x14ac:dyDescent="0.35">
      <c r="A58" s="8">
        <v>51</v>
      </c>
      <c r="B58" s="8" t="s">
        <v>134</v>
      </c>
      <c r="C58" s="9">
        <v>8.8900000000000003E-4</v>
      </c>
      <c r="D58" s="9">
        <v>8.7000000000000001E-4</v>
      </c>
      <c r="E58" s="9">
        <v>7.9500000000000003E-4</v>
      </c>
      <c r="F58" s="9">
        <v>9.1399999999999999E-4</v>
      </c>
      <c r="G58" s="9">
        <v>6.2799999999999998E-4</v>
      </c>
      <c r="H58" s="9">
        <v>2.1949999999999999E-3</v>
      </c>
      <c r="I58" s="9">
        <v>1.523E-3</v>
      </c>
      <c r="J58" s="9">
        <v>1.485E-3</v>
      </c>
      <c r="K58" s="9">
        <v>1.291E-3</v>
      </c>
      <c r="L58" s="9">
        <v>2.7190000000000001E-3</v>
      </c>
      <c r="M58" s="9">
        <v>2.1350000000000002E-3</v>
      </c>
      <c r="N58" s="10">
        <v>82174320</v>
      </c>
      <c r="O58" s="10">
        <v>80370702</v>
      </c>
      <c r="P58" s="10">
        <v>73445420</v>
      </c>
      <c r="Q58" s="10">
        <v>84487320</v>
      </c>
      <c r="R58" s="10">
        <v>57985520</v>
      </c>
      <c r="S58" s="10">
        <v>202773320</v>
      </c>
      <c r="T58" s="10">
        <v>140753520</v>
      </c>
      <c r="U58" s="10">
        <v>137200664</v>
      </c>
      <c r="V58" s="10">
        <v>119267120</v>
      </c>
      <c r="W58" s="10">
        <v>251254232</v>
      </c>
      <c r="X58" s="10">
        <v>197275520</v>
      </c>
      <c r="Y58" s="13">
        <v>1803618</v>
      </c>
      <c r="Z58" s="13">
        <v>6925282</v>
      </c>
      <c r="AA58" s="12">
        <v>-11041900</v>
      </c>
      <c r="AB58" s="13">
        <v>26501800</v>
      </c>
      <c r="AC58" s="12">
        <v>-144787800</v>
      </c>
      <c r="AD58" s="13">
        <v>62019800</v>
      </c>
      <c r="AE58" s="13">
        <v>3552856</v>
      </c>
      <c r="AF58" s="13">
        <v>17933544</v>
      </c>
      <c r="AG58" s="12">
        <v>-131987112</v>
      </c>
      <c r="AH58" s="13">
        <v>53978712</v>
      </c>
      <c r="AI58" s="13">
        <v>22436400</v>
      </c>
      <c r="AJ58" s="10">
        <v>372076394410</v>
      </c>
      <c r="AK58" s="10">
        <v>456976949019.09998</v>
      </c>
      <c r="AL58" s="10">
        <v>444344790723.40002</v>
      </c>
      <c r="AM58" s="10">
        <v>419268325777.95001</v>
      </c>
      <c r="AN58" s="10">
        <v>203459970690</v>
      </c>
      <c r="AO58" s="10">
        <v>641270623734</v>
      </c>
      <c r="AP58" s="10">
        <v>538589502387.59998</v>
      </c>
      <c r="AQ58" s="10">
        <v>499670702306.25</v>
      </c>
      <c r="AR58" s="10">
        <v>477068480128.40002</v>
      </c>
      <c r="AS58" s="10">
        <v>727066934301</v>
      </c>
      <c r="AT58" s="10">
        <v>456365169921.75</v>
      </c>
      <c r="AU58" s="14">
        <v>45869</v>
      </c>
      <c r="AV58" s="14">
        <v>45657</v>
      </c>
      <c r="AW58" s="14">
        <v>45291</v>
      </c>
      <c r="AX58" s="14">
        <v>44926</v>
      </c>
      <c r="AY58" s="14">
        <v>44561</v>
      </c>
      <c r="AZ58" s="14">
        <v>44196</v>
      </c>
      <c r="BA58" s="14">
        <v>43830</v>
      </c>
      <c r="BB58" s="14">
        <v>43465</v>
      </c>
      <c r="BC58" s="14">
        <v>43100</v>
      </c>
      <c r="BD58" s="14">
        <v>42735</v>
      </c>
      <c r="BE58" s="14">
        <v>42369</v>
      </c>
      <c r="BF58" s="8" t="s">
        <v>35</v>
      </c>
      <c r="BG58" s="8" t="s">
        <v>35</v>
      </c>
      <c r="BH58" s="8" t="s">
        <v>35</v>
      </c>
      <c r="BI58" s="8" t="s">
        <v>35</v>
      </c>
      <c r="BJ58" s="8" t="s">
        <v>35</v>
      </c>
      <c r="BK58" s="8" t="s">
        <v>35</v>
      </c>
      <c r="BL58" s="8" t="s">
        <v>35</v>
      </c>
      <c r="BM58" s="8" t="s">
        <v>35</v>
      </c>
      <c r="BN58" s="8" t="s">
        <v>35</v>
      </c>
      <c r="BO58" s="8" t="s">
        <v>35</v>
      </c>
      <c r="BP58" s="8" t="s">
        <v>35</v>
      </c>
      <c r="BQ58" s="8" t="s">
        <v>31</v>
      </c>
      <c r="BR58" s="8" t="s">
        <v>49</v>
      </c>
      <c r="BS58" s="10">
        <v>1.14903367565669E+16</v>
      </c>
      <c r="BT58" s="8" t="s">
        <v>41</v>
      </c>
      <c r="BU58" s="8" t="s">
        <v>27</v>
      </c>
      <c r="BV58" s="8" t="s">
        <v>27</v>
      </c>
      <c r="BW58" s="8" t="s">
        <v>27</v>
      </c>
      <c r="BX58" s="8" t="s">
        <v>27</v>
      </c>
      <c r="BY58" s="8" t="s">
        <v>27</v>
      </c>
      <c r="BZ58" s="8" t="s">
        <v>27</v>
      </c>
      <c r="CA58" s="8" t="s">
        <v>27</v>
      </c>
      <c r="CB58" s="8" t="s">
        <v>27</v>
      </c>
      <c r="CC58" s="8" t="s">
        <v>27</v>
      </c>
      <c r="CD58" s="8" t="s">
        <v>27</v>
      </c>
      <c r="CE58" s="8" t="s">
        <v>27</v>
      </c>
      <c r="CF58" s="8" t="s">
        <v>50</v>
      </c>
      <c r="CG58" s="8" t="s">
        <v>51</v>
      </c>
    </row>
    <row r="59" spans="1:85" ht="15.75" customHeight="1" x14ac:dyDescent="0.35">
      <c r="A59" s="8">
        <v>52</v>
      </c>
      <c r="B59" s="8" t="s">
        <v>135</v>
      </c>
      <c r="C59" s="9">
        <v>8.83E-4</v>
      </c>
      <c r="D59" s="9">
        <v>4.1199999999999999E-4</v>
      </c>
      <c r="E59" s="9">
        <v>1.9900000000000001E-4</v>
      </c>
      <c r="F59" s="9">
        <v>3.8000000000000002E-5</v>
      </c>
      <c r="G59" s="8"/>
      <c r="H59" s="8"/>
      <c r="I59" s="8"/>
      <c r="J59" s="8"/>
      <c r="K59" s="8"/>
      <c r="L59" s="8"/>
      <c r="M59" s="8"/>
      <c r="N59" s="10">
        <v>81567600</v>
      </c>
      <c r="O59" s="10">
        <v>38074400</v>
      </c>
      <c r="P59" s="10">
        <v>18415000</v>
      </c>
      <c r="Q59" s="10">
        <v>3520200</v>
      </c>
      <c r="R59" s="8"/>
      <c r="S59" s="8"/>
      <c r="T59" s="8"/>
      <c r="U59" s="8"/>
      <c r="V59" s="8"/>
      <c r="W59" s="8"/>
      <c r="X59" s="8"/>
      <c r="Y59" s="13">
        <v>43493200</v>
      </c>
      <c r="Z59" s="13">
        <v>19659400</v>
      </c>
      <c r="AA59" s="13">
        <v>14894800</v>
      </c>
      <c r="AB59" s="13">
        <v>3520200</v>
      </c>
      <c r="AC59" s="8"/>
      <c r="AD59" s="8"/>
      <c r="AE59" s="8"/>
      <c r="AF59" s="8"/>
      <c r="AG59" s="8"/>
      <c r="AH59" s="8"/>
      <c r="AI59" s="8"/>
      <c r="AJ59" s="10">
        <v>358789760499.79999</v>
      </c>
      <c r="AK59" s="10">
        <v>216485892430.29999</v>
      </c>
      <c r="AL59" s="10">
        <v>111410749990.5</v>
      </c>
      <c r="AM59" s="10">
        <v>17468992516.25</v>
      </c>
      <c r="AN59" s="8"/>
      <c r="AO59" s="8"/>
      <c r="AP59" s="8"/>
      <c r="AQ59" s="8"/>
      <c r="AR59" s="8"/>
      <c r="AS59" s="8"/>
      <c r="AT59" s="8"/>
      <c r="AU59" s="14">
        <v>45930</v>
      </c>
      <c r="AV59" s="14">
        <v>45657</v>
      </c>
      <c r="AW59" s="14">
        <v>45291</v>
      </c>
      <c r="AX59" s="14">
        <v>44926</v>
      </c>
      <c r="AY59" s="8"/>
      <c r="AZ59" s="8"/>
      <c r="BA59" s="8"/>
      <c r="BB59" s="8"/>
      <c r="BC59" s="8"/>
      <c r="BD59" s="8"/>
      <c r="BE59" s="8"/>
      <c r="BF59" s="8" t="s">
        <v>35</v>
      </c>
      <c r="BG59" s="8" t="s">
        <v>35</v>
      </c>
      <c r="BH59" s="8" t="s">
        <v>35</v>
      </c>
      <c r="BI59" s="8" t="s">
        <v>35</v>
      </c>
      <c r="BJ59" s="8"/>
      <c r="BK59" s="8"/>
      <c r="BL59" s="8"/>
      <c r="BM59" s="8"/>
      <c r="BN59" s="8"/>
      <c r="BO59" s="8"/>
      <c r="BP59" s="8"/>
      <c r="BQ59" s="8" t="s">
        <v>31</v>
      </c>
      <c r="BR59" s="8" t="s">
        <v>36</v>
      </c>
      <c r="BS59" s="10">
        <v>176981109404489</v>
      </c>
      <c r="BT59" s="8"/>
      <c r="BU59" s="8" t="s">
        <v>27</v>
      </c>
      <c r="BV59" s="8" t="s">
        <v>27</v>
      </c>
      <c r="BW59" s="8" t="s">
        <v>27</v>
      </c>
      <c r="BX59" s="8" t="s">
        <v>27</v>
      </c>
      <c r="BY59" s="8"/>
      <c r="BZ59" s="8"/>
      <c r="CA59" s="8"/>
      <c r="CB59" s="8"/>
      <c r="CC59" s="8"/>
      <c r="CD59" s="8"/>
      <c r="CE59" s="8"/>
      <c r="CF59" s="8" t="s">
        <v>50</v>
      </c>
      <c r="CG59" s="8" t="s">
        <v>51</v>
      </c>
    </row>
    <row r="60" spans="1:85" ht="15.75" customHeight="1" x14ac:dyDescent="0.35">
      <c r="A60" s="8">
        <v>53</v>
      </c>
      <c r="B60" s="8" t="s">
        <v>136</v>
      </c>
      <c r="C60" s="9">
        <v>8.4699999999999999E-4</v>
      </c>
      <c r="D60" s="9">
        <v>3.3790000000000001E-3</v>
      </c>
      <c r="E60" s="9">
        <v>4.0810000000000004E-3</v>
      </c>
      <c r="F60" s="9">
        <v>1.573E-3</v>
      </c>
      <c r="G60" s="9">
        <v>4.6E-5</v>
      </c>
      <c r="H60" s="8"/>
      <c r="I60" s="9">
        <v>0</v>
      </c>
      <c r="J60" s="9">
        <v>0</v>
      </c>
      <c r="K60" s="9">
        <v>4.1E-5</v>
      </c>
      <c r="L60" s="9">
        <v>0</v>
      </c>
      <c r="M60" s="9">
        <v>0</v>
      </c>
      <c r="N60" s="10">
        <v>78305230</v>
      </c>
      <c r="O60" s="10">
        <v>312226975</v>
      </c>
      <c r="P60" s="10">
        <v>377042083</v>
      </c>
      <c r="Q60" s="10">
        <v>145378172</v>
      </c>
      <c r="R60" s="10">
        <v>4233596</v>
      </c>
      <c r="S60" s="8"/>
      <c r="T60" s="10">
        <v>0</v>
      </c>
      <c r="U60" s="10">
        <v>0</v>
      </c>
      <c r="V60" s="10">
        <v>3778194</v>
      </c>
      <c r="W60" s="10">
        <v>0</v>
      </c>
      <c r="X60" s="10">
        <v>0</v>
      </c>
      <c r="Y60" s="12">
        <v>-233921745</v>
      </c>
      <c r="Z60" s="12">
        <v>-64815108</v>
      </c>
      <c r="AA60" s="13">
        <v>231663911</v>
      </c>
      <c r="AB60" s="13">
        <v>141144576</v>
      </c>
      <c r="AC60" s="13">
        <v>4233596</v>
      </c>
      <c r="AD60" s="8"/>
      <c r="AE60" s="11">
        <v>0</v>
      </c>
      <c r="AF60" s="12">
        <v>-3778194</v>
      </c>
      <c r="AG60" s="13">
        <v>3778194</v>
      </c>
      <c r="AH60" s="11">
        <v>0</v>
      </c>
      <c r="AI60" s="11">
        <v>0</v>
      </c>
      <c r="AJ60" s="10">
        <v>344439639178.59998</v>
      </c>
      <c r="AK60" s="10">
        <v>1775280380473.8</v>
      </c>
      <c r="AL60" s="10">
        <v>2281104600362.6499</v>
      </c>
      <c r="AM60" s="10">
        <v>721439179178.30005</v>
      </c>
      <c r="AN60" s="10">
        <v>14854869180</v>
      </c>
      <c r="AO60" s="8"/>
      <c r="AP60" s="10">
        <v>0</v>
      </c>
      <c r="AQ60" s="10">
        <v>0</v>
      </c>
      <c r="AR60" s="10">
        <v>15112775995.5</v>
      </c>
      <c r="AS60" s="10">
        <v>0</v>
      </c>
      <c r="AT60" s="10">
        <v>0</v>
      </c>
      <c r="AU60" s="14">
        <v>45930</v>
      </c>
      <c r="AV60" s="14">
        <v>45657</v>
      </c>
      <c r="AW60" s="14">
        <v>45291</v>
      </c>
      <c r="AX60" s="14">
        <v>44926</v>
      </c>
      <c r="AY60" s="14">
        <v>44561</v>
      </c>
      <c r="AZ60" s="8"/>
      <c r="BA60" s="14">
        <v>43465</v>
      </c>
      <c r="BB60" s="14">
        <v>43465</v>
      </c>
      <c r="BC60" s="14">
        <v>43100</v>
      </c>
      <c r="BD60" s="14">
        <v>42124</v>
      </c>
      <c r="BE60" s="14">
        <v>42124</v>
      </c>
      <c r="BF60" s="8" t="s">
        <v>35</v>
      </c>
      <c r="BG60" s="8" t="s">
        <v>35</v>
      </c>
      <c r="BH60" s="8" t="s">
        <v>35</v>
      </c>
      <c r="BI60" s="8" t="s">
        <v>35</v>
      </c>
      <c r="BJ60" s="8" t="s">
        <v>35</v>
      </c>
      <c r="BK60" s="8"/>
      <c r="BL60" s="8" t="s">
        <v>35</v>
      </c>
      <c r="BM60" s="8" t="s">
        <v>35</v>
      </c>
      <c r="BN60" s="8" t="s">
        <v>35</v>
      </c>
      <c r="BO60" s="8" t="s">
        <v>35</v>
      </c>
      <c r="BP60" s="8" t="s">
        <v>35</v>
      </c>
      <c r="BQ60" s="8" t="s">
        <v>31</v>
      </c>
      <c r="BR60" s="8" t="s">
        <v>36</v>
      </c>
      <c r="BS60" s="10">
        <v>801037070587715</v>
      </c>
      <c r="BT60" s="8" t="s">
        <v>37</v>
      </c>
      <c r="BU60" s="8" t="s">
        <v>42</v>
      </c>
      <c r="BV60" s="8" t="s">
        <v>43</v>
      </c>
      <c r="BW60" s="8" t="s">
        <v>43</v>
      </c>
      <c r="BX60" s="8" t="s">
        <v>43</v>
      </c>
      <c r="BY60" s="8" t="s">
        <v>42</v>
      </c>
      <c r="BZ60" s="8"/>
      <c r="CA60" s="8" t="s">
        <v>27</v>
      </c>
      <c r="CB60" s="8" t="s">
        <v>43</v>
      </c>
      <c r="CC60" s="8" t="s">
        <v>42</v>
      </c>
      <c r="CD60" s="8" t="s">
        <v>42</v>
      </c>
      <c r="CE60" s="8" t="s">
        <v>42</v>
      </c>
      <c r="CF60" s="8" t="s">
        <v>78</v>
      </c>
      <c r="CG60" s="8" t="s">
        <v>71</v>
      </c>
    </row>
    <row r="61" spans="1:85" ht="15.75" customHeight="1" x14ac:dyDescent="0.35">
      <c r="A61" s="8">
        <v>54</v>
      </c>
      <c r="B61" s="8" t="s">
        <v>137</v>
      </c>
      <c r="C61" s="9">
        <v>8.2899999999999998E-4</v>
      </c>
      <c r="D61" s="9">
        <v>7.4799999999999997E-4</v>
      </c>
      <c r="E61" s="9">
        <v>4.15E-4</v>
      </c>
      <c r="F61" s="9">
        <v>3.48E-4</v>
      </c>
      <c r="G61" s="9">
        <v>2.0000000000000001E-4</v>
      </c>
      <c r="H61" s="8"/>
      <c r="I61" s="9">
        <v>2.3699999999999999E-4</v>
      </c>
      <c r="J61" s="9">
        <v>2.3699999999999999E-4</v>
      </c>
      <c r="K61" s="9">
        <v>2.5500000000000002E-4</v>
      </c>
      <c r="L61" s="9">
        <v>2.05E-4</v>
      </c>
      <c r="M61" s="8"/>
      <c r="N61" s="10">
        <v>76595500</v>
      </c>
      <c r="O61" s="10">
        <v>69101800</v>
      </c>
      <c r="P61" s="10">
        <v>38388900</v>
      </c>
      <c r="Q61" s="10">
        <v>32191400</v>
      </c>
      <c r="R61" s="10">
        <v>18486600</v>
      </c>
      <c r="S61" s="8"/>
      <c r="T61" s="10">
        <v>21873200</v>
      </c>
      <c r="U61" s="10">
        <v>21873200</v>
      </c>
      <c r="V61" s="10">
        <v>23564800</v>
      </c>
      <c r="W61" s="10">
        <v>18914400</v>
      </c>
      <c r="X61" s="8"/>
      <c r="Y61" s="13">
        <v>7493700</v>
      </c>
      <c r="Z61" s="13">
        <v>30712900</v>
      </c>
      <c r="AA61" s="13">
        <v>6197500</v>
      </c>
      <c r="AB61" s="13">
        <v>13704800</v>
      </c>
      <c r="AC61" s="13">
        <v>18486600</v>
      </c>
      <c r="AD61" s="8"/>
      <c r="AE61" s="11">
        <v>0</v>
      </c>
      <c r="AF61" s="12">
        <v>-1691600</v>
      </c>
      <c r="AG61" s="13">
        <v>4650400</v>
      </c>
      <c r="AH61" s="13">
        <v>18914400</v>
      </c>
      <c r="AI61" s="8"/>
      <c r="AJ61" s="10">
        <v>365511710016.59998</v>
      </c>
      <c r="AK61" s="10">
        <v>392903495185.5</v>
      </c>
      <c r="AL61" s="10">
        <v>232252844767.54999</v>
      </c>
      <c r="AM61" s="10">
        <v>159749822556.5</v>
      </c>
      <c r="AN61" s="10">
        <v>64865902672.5</v>
      </c>
      <c r="AO61" s="8"/>
      <c r="AP61" s="10">
        <v>75462539965.25</v>
      </c>
      <c r="AQ61" s="10">
        <v>75462539965.25</v>
      </c>
      <c r="AR61" s="10">
        <v>94259200009.949997</v>
      </c>
      <c r="AS61" s="10">
        <v>54733545003.900002</v>
      </c>
      <c r="AT61" s="8"/>
      <c r="AU61" s="14">
        <v>45900</v>
      </c>
      <c r="AV61" s="14">
        <v>45657</v>
      </c>
      <c r="AW61" s="14">
        <v>45291</v>
      </c>
      <c r="AX61" s="14">
        <v>44926</v>
      </c>
      <c r="AY61" s="14">
        <v>44561</v>
      </c>
      <c r="AZ61" s="8"/>
      <c r="BA61" s="14">
        <v>43343</v>
      </c>
      <c r="BB61" s="14">
        <v>43343</v>
      </c>
      <c r="BC61" s="14">
        <v>43100</v>
      </c>
      <c r="BD61" s="14">
        <v>42735</v>
      </c>
      <c r="BE61" s="8"/>
      <c r="BF61" s="8" t="s">
        <v>35</v>
      </c>
      <c r="BG61" s="8" t="s">
        <v>35</v>
      </c>
      <c r="BH61" s="8" t="s">
        <v>35</v>
      </c>
      <c r="BI61" s="8" t="s">
        <v>35</v>
      </c>
      <c r="BJ61" s="8" t="s">
        <v>35</v>
      </c>
      <c r="BK61" s="8"/>
      <c r="BL61" s="8" t="s">
        <v>35</v>
      </c>
      <c r="BM61" s="8" t="s">
        <v>35</v>
      </c>
      <c r="BN61" s="8" t="s">
        <v>35</v>
      </c>
      <c r="BO61" s="8" t="s">
        <v>35</v>
      </c>
      <c r="BP61" s="8"/>
      <c r="BQ61" s="8" t="s">
        <v>31</v>
      </c>
      <c r="BR61" s="8" t="s">
        <v>36</v>
      </c>
      <c r="BS61" s="10">
        <v>34736047846810.801</v>
      </c>
      <c r="BT61" s="8"/>
      <c r="BU61" s="8" t="s">
        <v>27</v>
      </c>
      <c r="BV61" s="8" t="s">
        <v>42</v>
      </c>
      <c r="BW61" s="8" t="s">
        <v>43</v>
      </c>
      <c r="BX61" s="8" t="s">
        <v>43</v>
      </c>
      <c r="BY61" s="8" t="s">
        <v>42</v>
      </c>
      <c r="BZ61" s="8"/>
      <c r="CA61" s="8" t="s">
        <v>27</v>
      </c>
      <c r="CB61" s="8" t="s">
        <v>42</v>
      </c>
      <c r="CC61" s="8" t="s">
        <v>42</v>
      </c>
      <c r="CD61" s="8" t="s">
        <v>43</v>
      </c>
      <c r="CE61" s="8"/>
      <c r="CF61" s="8" t="s">
        <v>70</v>
      </c>
      <c r="CG61" s="8" t="s">
        <v>71</v>
      </c>
    </row>
    <row r="62" spans="1:85" ht="15.75" customHeight="1" x14ac:dyDescent="0.35">
      <c r="A62" s="8">
        <v>55</v>
      </c>
      <c r="B62" s="8" t="s">
        <v>138</v>
      </c>
      <c r="C62" s="9">
        <v>8.1599999999999999E-4</v>
      </c>
      <c r="D62" s="9">
        <v>7.9000000000000001E-4</v>
      </c>
      <c r="E62" s="9">
        <v>7.9600000000000005E-4</v>
      </c>
      <c r="F62" s="9">
        <v>1.062E-3</v>
      </c>
      <c r="G62" s="9">
        <v>0</v>
      </c>
      <c r="H62" s="8"/>
      <c r="I62" s="9">
        <v>0</v>
      </c>
      <c r="J62" s="9">
        <v>0</v>
      </c>
      <c r="K62" s="9">
        <v>0</v>
      </c>
      <c r="L62" s="9">
        <v>0</v>
      </c>
      <c r="M62" s="9">
        <v>4.0000000000000003E-5</v>
      </c>
      <c r="N62" s="10">
        <v>75373700</v>
      </c>
      <c r="O62" s="10">
        <v>73017900</v>
      </c>
      <c r="P62" s="10">
        <v>73532200</v>
      </c>
      <c r="Q62" s="10">
        <v>98122200</v>
      </c>
      <c r="R62" s="10">
        <v>0</v>
      </c>
      <c r="S62" s="8"/>
      <c r="T62" s="10">
        <v>0</v>
      </c>
      <c r="U62" s="10">
        <v>0</v>
      </c>
      <c r="V62" s="10">
        <v>0</v>
      </c>
      <c r="W62" s="10">
        <v>0</v>
      </c>
      <c r="X62" s="10">
        <v>3694400</v>
      </c>
      <c r="Y62" s="13">
        <v>2355800</v>
      </c>
      <c r="Z62" s="12">
        <v>-514300</v>
      </c>
      <c r="AA62" s="12">
        <v>-24590000</v>
      </c>
      <c r="AB62" s="13">
        <v>98122200</v>
      </c>
      <c r="AC62" s="11">
        <v>0</v>
      </c>
      <c r="AD62" s="8"/>
      <c r="AE62" s="11">
        <v>0</v>
      </c>
      <c r="AF62" s="11">
        <v>0</v>
      </c>
      <c r="AG62" s="11">
        <v>0</v>
      </c>
      <c r="AH62" s="12">
        <v>-3694400</v>
      </c>
      <c r="AI62" s="13">
        <v>564000</v>
      </c>
      <c r="AJ62" s="10">
        <v>331544777187.40002</v>
      </c>
      <c r="AK62" s="10">
        <v>415169910549.40002</v>
      </c>
      <c r="AL62" s="10">
        <v>444869809641.34998</v>
      </c>
      <c r="AM62" s="10">
        <v>486931417925.15002</v>
      </c>
      <c r="AN62" s="10">
        <v>0</v>
      </c>
      <c r="AO62" s="8"/>
      <c r="AP62" s="10">
        <v>0</v>
      </c>
      <c r="AQ62" s="10">
        <v>0</v>
      </c>
      <c r="AR62" s="10">
        <v>0</v>
      </c>
      <c r="AS62" s="10">
        <v>0</v>
      </c>
      <c r="AT62" s="10">
        <v>8546399900.5500002</v>
      </c>
      <c r="AU62" s="14">
        <v>45930</v>
      </c>
      <c r="AV62" s="14">
        <v>45657</v>
      </c>
      <c r="AW62" s="14">
        <v>45291</v>
      </c>
      <c r="AX62" s="14">
        <v>44926</v>
      </c>
      <c r="AY62" s="14">
        <v>44316</v>
      </c>
      <c r="AZ62" s="8"/>
      <c r="BA62" s="14">
        <v>43465</v>
      </c>
      <c r="BB62" s="14">
        <v>43465</v>
      </c>
      <c r="BC62" s="14">
        <v>42735</v>
      </c>
      <c r="BD62" s="14">
        <v>42735</v>
      </c>
      <c r="BE62" s="14">
        <v>42369</v>
      </c>
      <c r="BF62" s="8" t="s">
        <v>35</v>
      </c>
      <c r="BG62" s="8" t="s">
        <v>35</v>
      </c>
      <c r="BH62" s="8" t="s">
        <v>35</v>
      </c>
      <c r="BI62" s="8" t="s">
        <v>35</v>
      </c>
      <c r="BJ62" s="8" t="s">
        <v>35</v>
      </c>
      <c r="BK62" s="8"/>
      <c r="BL62" s="8" t="s">
        <v>35</v>
      </c>
      <c r="BM62" s="8" t="s">
        <v>35</v>
      </c>
      <c r="BN62" s="8" t="s">
        <v>35</v>
      </c>
      <c r="BO62" s="8" t="s">
        <v>35</v>
      </c>
      <c r="BP62" s="8" t="s">
        <v>35</v>
      </c>
      <c r="BQ62" s="8" t="s">
        <v>31</v>
      </c>
      <c r="BR62" s="8" t="s">
        <v>49</v>
      </c>
      <c r="BS62" s="10">
        <v>4237035170374590</v>
      </c>
      <c r="BT62" s="8" t="s">
        <v>41</v>
      </c>
      <c r="BU62" s="8" t="s">
        <v>27</v>
      </c>
      <c r="BV62" s="8" t="s">
        <v>27</v>
      </c>
      <c r="BW62" s="8" t="s">
        <v>27</v>
      </c>
      <c r="BX62" s="8" t="s">
        <v>27</v>
      </c>
      <c r="BY62" s="8" t="s">
        <v>27</v>
      </c>
      <c r="BZ62" s="8"/>
      <c r="CA62" s="8" t="s">
        <v>27</v>
      </c>
      <c r="CB62" s="8" t="s">
        <v>27</v>
      </c>
      <c r="CC62" s="8" t="s">
        <v>42</v>
      </c>
      <c r="CD62" s="8" t="s">
        <v>27</v>
      </c>
      <c r="CE62" s="8" t="s">
        <v>27</v>
      </c>
      <c r="CF62" s="8" t="s">
        <v>50</v>
      </c>
      <c r="CG62" s="8" t="s">
        <v>51</v>
      </c>
    </row>
    <row r="63" spans="1:85" ht="15.75" customHeight="1" x14ac:dyDescent="0.35">
      <c r="A63" s="8">
        <v>56</v>
      </c>
      <c r="B63" s="8" t="s">
        <v>139</v>
      </c>
      <c r="C63" s="9">
        <v>8.0900000000000004E-4</v>
      </c>
      <c r="D63" s="9">
        <v>8.2799999999999996E-4</v>
      </c>
      <c r="E63" s="8"/>
      <c r="F63" s="8"/>
      <c r="G63" s="8"/>
      <c r="H63" s="8"/>
      <c r="I63" s="8"/>
      <c r="J63" s="8"/>
      <c r="K63" s="8"/>
      <c r="L63" s="8"/>
      <c r="M63" s="8"/>
      <c r="N63" s="10">
        <v>74742003</v>
      </c>
      <c r="O63" s="10">
        <v>76472903</v>
      </c>
      <c r="P63" s="8"/>
      <c r="Q63" s="8"/>
      <c r="R63" s="8"/>
      <c r="S63" s="8"/>
      <c r="T63" s="8"/>
      <c r="U63" s="8"/>
      <c r="V63" s="8"/>
      <c r="W63" s="8"/>
      <c r="X63" s="8"/>
      <c r="Y63" s="12">
        <v>-1730900</v>
      </c>
      <c r="Z63" s="13">
        <v>76472903</v>
      </c>
      <c r="AA63" s="8"/>
      <c r="AB63" s="8"/>
      <c r="AC63" s="8"/>
      <c r="AD63" s="8"/>
      <c r="AE63" s="8"/>
      <c r="AF63" s="8"/>
      <c r="AG63" s="8"/>
      <c r="AH63" s="8"/>
      <c r="AI63" s="8"/>
      <c r="AJ63" s="10">
        <v>328766144418.59998</v>
      </c>
      <c r="AK63" s="10">
        <v>434814590742.29999</v>
      </c>
      <c r="AL63" s="8"/>
      <c r="AM63" s="8"/>
      <c r="AN63" s="8"/>
      <c r="AO63" s="8"/>
      <c r="AP63" s="8"/>
      <c r="AQ63" s="8"/>
      <c r="AR63" s="8"/>
      <c r="AS63" s="8"/>
      <c r="AT63" s="8"/>
      <c r="AU63" s="14">
        <v>45930</v>
      </c>
      <c r="AV63" s="14">
        <v>45657</v>
      </c>
      <c r="AW63" s="8"/>
      <c r="AX63" s="8"/>
      <c r="AY63" s="8"/>
      <c r="AZ63" s="8"/>
      <c r="BA63" s="8"/>
      <c r="BB63" s="8"/>
      <c r="BC63" s="8"/>
      <c r="BD63" s="8"/>
      <c r="BE63" s="8"/>
      <c r="BF63" s="8" t="s">
        <v>35</v>
      </c>
      <c r="BG63" s="8" t="s">
        <v>35</v>
      </c>
      <c r="BH63" s="8"/>
      <c r="BI63" s="8"/>
      <c r="BJ63" s="8"/>
      <c r="BK63" s="8"/>
      <c r="BL63" s="8"/>
      <c r="BM63" s="8"/>
      <c r="BN63" s="8"/>
      <c r="BO63" s="8"/>
      <c r="BP63" s="8"/>
      <c r="BQ63" s="8" t="s">
        <v>31</v>
      </c>
      <c r="BR63" s="8" t="s">
        <v>36</v>
      </c>
      <c r="BS63" s="10">
        <v>218906343411994</v>
      </c>
      <c r="BT63" s="8" t="s">
        <v>61</v>
      </c>
      <c r="BU63" s="8" t="s">
        <v>27</v>
      </c>
      <c r="BV63" s="8" t="s">
        <v>27</v>
      </c>
      <c r="BW63" s="8"/>
      <c r="BX63" s="8"/>
      <c r="BY63" s="8"/>
      <c r="BZ63" s="8"/>
      <c r="CA63" s="8"/>
      <c r="CB63" s="8"/>
      <c r="CC63" s="8"/>
      <c r="CD63" s="8"/>
      <c r="CE63" s="8"/>
      <c r="CF63" s="8" t="s">
        <v>140</v>
      </c>
      <c r="CG63" s="8" t="s">
        <v>39</v>
      </c>
    </row>
    <row r="64" spans="1:85" ht="15.75" customHeight="1" x14ac:dyDescent="0.35">
      <c r="A64" s="8">
        <v>57</v>
      </c>
      <c r="B64" s="8" t="s">
        <v>141</v>
      </c>
      <c r="C64" s="9">
        <v>8.0699999999999999E-4</v>
      </c>
      <c r="D64" s="9">
        <v>8.0699999999999999E-4</v>
      </c>
      <c r="E64" s="9">
        <v>9.2199999999999997E-4</v>
      </c>
      <c r="F64" s="9">
        <v>2.0999999999999999E-5</v>
      </c>
      <c r="G64" s="8"/>
      <c r="H64" s="8"/>
      <c r="I64" s="8"/>
      <c r="J64" s="8"/>
      <c r="K64" s="8"/>
      <c r="L64" s="8"/>
      <c r="M64" s="8"/>
      <c r="N64" s="10">
        <v>74536643</v>
      </c>
      <c r="O64" s="10">
        <v>74536643</v>
      </c>
      <c r="P64" s="10">
        <v>85198838</v>
      </c>
      <c r="Q64" s="10">
        <v>1938230</v>
      </c>
      <c r="R64" s="8"/>
      <c r="S64" s="8"/>
      <c r="T64" s="8"/>
      <c r="U64" s="8"/>
      <c r="V64" s="8"/>
      <c r="W64" s="8"/>
      <c r="X64" s="8"/>
      <c r="Y64" s="11">
        <v>0</v>
      </c>
      <c r="Z64" s="12">
        <v>-10662195</v>
      </c>
      <c r="AA64" s="13">
        <v>83260608</v>
      </c>
      <c r="AB64" s="13">
        <v>1938230</v>
      </c>
      <c r="AC64" s="8"/>
      <c r="AD64" s="8"/>
      <c r="AE64" s="8"/>
      <c r="AF64" s="8"/>
      <c r="AG64" s="8"/>
      <c r="AH64" s="8"/>
      <c r="AI64" s="8"/>
      <c r="AJ64" s="10">
        <v>458400354832.90002</v>
      </c>
      <c r="AK64" s="10">
        <v>458400354832.90002</v>
      </c>
      <c r="AL64" s="10">
        <v>515452969444.15002</v>
      </c>
      <c r="AM64" s="10">
        <v>9618466306.3500004</v>
      </c>
      <c r="AN64" s="8"/>
      <c r="AO64" s="8"/>
      <c r="AP64" s="8"/>
      <c r="AQ64" s="8"/>
      <c r="AR64" s="8"/>
      <c r="AS64" s="8"/>
      <c r="AT64" s="8"/>
      <c r="AU64" s="14">
        <v>45473</v>
      </c>
      <c r="AV64" s="14">
        <v>45473</v>
      </c>
      <c r="AW64" s="14">
        <v>45291</v>
      </c>
      <c r="AX64" s="14">
        <v>44926</v>
      </c>
      <c r="AY64" s="8"/>
      <c r="AZ64" s="8"/>
      <c r="BA64" s="8"/>
      <c r="BB64" s="8"/>
      <c r="BC64" s="8"/>
      <c r="BD64" s="8"/>
      <c r="BE64" s="8"/>
      <c r="BF64" s="8" t="s">
        <v>35</v>
      </c>
      <c r="BG64" s="8" t="s">
        <v>35</v>
      </c>
      <c r="BH64" s="8" t="s">
        <v>35</v>
      </c>
      <c r="BI64" s="8" t="s">
        <v>35</v>
      </c>
      <c r="BJ64" s="8"/>
      <c r="BK64" s="8"/>
      <c r="BL64" s="8"/>
      <c r="BM64" s="8"/>
      <c r="BN64" s="8"/>
      <c r="BO64" s="8"/>
      <c r="BP64" s="8"/>
      <c r="BQ64" s="8" t="s">
        <v>31</v>
      </c>
      <c r="BR64" s="8" t="s">
        <v>36</v>
      </c>
      <c r="BS64" s="10">
        <v>76318358769142.797</v>
      </c>
      <c r="BT64" s="8" t="s">
        <v>61</v>
      </c>
      <c r="BU64" s="8" t="s">
        <v>42</v>
      </c>
      <c r="BV64" s="8" t="s">
        <v>42</v>
      </c>
      <c r="BW64" s="8" t="s">
        <v>42</v>
      </c>
      <c r="BX64" s="8" t="s">
        <v>42</v>
      </c>
      <c r="BY64" s="8"/>
      <c r="BZ64" s="8"/>
      <c r="CA64" s="8"/>
      <c r="CB64" s="8"/>
      <c r="CC64" s="8"/>
      <c r="CD64" s="8"/>
      <c r="CE64" s="8"/>
      <c r="CF64" s="8" t="s">
        <v>131</v>
      </c>
      <c r="CG64" s="8" t="s">
        <v>132</v>
      </c>
    </row>
    <row r="65" spans="1:85" ht="15.75" customHeight="1" x14ac:dyDescent="0.35">
      <c r="A65" s="8">
        <v>58</v>
      </c>
      <c r="B65" s="8" t="s">
        <v>142</v>
      </c>
      <c r="C65" s="9">
        <v>7.76E-4</v>
      </c>
      <c r="D65" s="9">
        <v>5.5599999999999996E-4</v>
      </c>
      <c r="E65" s="9">
        <v>3.8999999999999999E-4</v>
      </c>
      <c r="F65" s="9">
        <v>2.4600000000000002E-4</v>
      </c>
      <c r="G65" s="9">
        <v>1.35E-4</v>
      </c>
      <c r="H65" s="9">
        <v>9.7E-5</v>
      </c>
      <c r="I65" s="9">
        <v>9.3999999999999994E-5</v>
      </c>
      <c r="J65" s="9">
        <v>2.4600000000000002E-4</v>
      </c>
      <c r="K65" s="9">
        <v>2.0240000000000002E-3</v>
      </c>
      <c r="L65" s="9">
        <v>2.0560000000000001E-3</v>
      </c>
      <c r="M65" s="9">
        <v>1.062E-3</v>
      </c>
      <c r="N65" s="10">
        <v>71697500</v>
      </c>
      <c r="O65" s="10">
        <v>51395700</v>
      </c>
      <c r="P65" s="10">
        <v>35995600</v>
      </c>
      <c r="Q65" s="10">
        <v>22730000</v>
      </c>
      <c r="R65" s="10">
        <v>12429600</v>
      </c>
      <c r="S65" s="10">
        <v>8983600</v>
      </c>
      <c r="T65" s="10">
        <v>8716600</v>
      </c>
      <c r="U65" s="10">
        <v>22769800</v>
      </c>
      <c r="V65" s="10">
        <v>187062600</v>
      </c>
      <c r="W65" s="10">
        <v>189975356</v>
      </c>
      <c r="X65" s="10">
        <v>98110000</v>
      </c>
      <c r="Y65" s="13">
        <v>20301800</v>
      </c>
      <c r="Z65" s="13">
        <v>15400100</v>
      </c>
      <c r="AA65" s="13">
        <v>13265600</v>
      </c>
      <c r="AB65" s="13">
        <v>10300400</v>
      </c>
      <c r="AC65" s="13">
        <v>3446000</v>
      </c>
      <c r="AD65" s="13">
        <v>267000</v>
      </c>
      <c r="AE65" s="12">
        <v>-14053200</v>
      </c>
      <c r="AF65" s="12">
        <v>-164292800</v>
      </c>
      <c r="AG65" s="12">
        <v>-2912756</v>
      </c>
      <c r="AH65" s="13">
        <v>91865356</v>
      </c>
      <c r="AI65" s="12">
        <v>-41274540</v>
      </c>
      <c r="AJ65" s="10">
        <v>315374350279.79999</v>
      </c>
      <c r="AK65" s="10">
        <v>292229003797.59998</v>
      </c>
      <c r="AL65" s="10">
        <v>217773379875.35001</v>
      </c>
      <c r="AM65" s="10">
        <v>112797625095.64999</v>
      </c>
      <c r="AN65" s="10">
        <v>43613061510</v>
      </c>
      <c r="AO65" s="10">
        <v>28410634980</v>
      </c>
      <c r="AP65" s="10">
        <v>33353831960.400002</v>
      </c>
      <c r="AQ65" s="10">
        <v>82925268925</v>
      </c>
      <c r="AR65" s="10">
        <v>748250400059</v>
      </c>
      <c r="AS65" s="10">
        <v>549741186651</v>
      </c>
      <c r="AT65" s="10">
        <v>226961697067.95001</v>
      </c>
      <c r="AU65" s="14">
        <v>45930</v>
      </c>
      <c r="AV65" s="14">
        <v>45657</v>
      </c>
      <c r="AW65" s="14">
        <v>45291</v>
      </c>
      <c r="AX65" s="14">
        <v>44926</v>
      </c>
      <c r="AY65" s="14">
        <v>44561</v>
      </c>
      <c r="AZ65" s="14">
        <v>44196</v>
      </c>
      <c r="BA65" s="14">
        <v>43830</v>
      </c>
      <c r="BB65" s="14">
        <v>43465</v>
      </c>
      <c r="BC65" s="14">
        <v>43100</v>
      </c>
      <c r="BD65" s="14">
        <v>42735</v>
      </c>
      <c r="BE65" s="14">
        <v>42369</v>
      </c>
      <c r="BF65" s="8" t="s">
        <v>35</v>
      </c>
      <c r="BG65" s="8" t="s">
        <v>35</v>
      </c>
      <c r="BH65" s="8" t="s">
        <v>35</v>
      </c>
      <c r="BI65" s="8" t="s">
        <v>35</v>
      </c>
      <c r="BJ65" s="8" t="s">
        <v>35</v>
      </c>
      <c r="BK65" s="8" t="s">
        <v>35</v>
      </c>
      <c r="BL65" s="8" t="s">
        <v>35</v>
      </c>
      <c r="BM65" s="8" t="s">
        <v>35</v>
      </c>
      <c r="BN65" s="8" t="s">
        <v>35</v>
      </c>
      <c r="BO65" s="8" t="s">
        <v>35</v>
      </c>
      <c r="BP65" s="8" t="s">
        <v>35</v>
      </c>
      <c r="BQ65" s="8" t="s">
        <v>31</v>
      </c>
      <c r="BR65" s="8" t="s">
        <v>36</v>
      </c>
      <c r="BS65" s="10">
        <v>4058377526550180</v>
      </c>
      <c r="BT65" s="8" t="s">
        <v>41</v>
      </c>
      <c r="BU65" s="8" t="s">
        <v>27</v>
      </c>
      <c r="BV65" s="8" t="s">
        <v>27</v>
      </c>
      <c r="BW65" s="8" t="s">
        <v>27</v>
      </c>
      <c r="BX65" s="8" t="s">
        <v>27</v>
      </c>
      <c r="BY65" s="8" t="s">
        <v>27</v>
      </c>
      <c r="BZ65" s="8" t="s">
        <v>27</v>
      </c>
      <c r="CA65" s="8" t="s">
        <v>27</v>
      </c>
      <c r="CB65" s="8" t="s">
        <v>27</v>
      </c>
      <c r="CC65" s="8" t="s">
        <v>27</v>
      </c>
      <c r="CD65" s="8" t="s">
        <v>27</v>
      </c>
      <c r="CE65" s="8" t="s">
        <v>42</v>
      </c>
      <c r="CF65" s="8" t="s">
        <v>143</v>
      </c>
      <c r="CG65" s="8" t="s">
        <v>39</v>
      </c>
    </row>
    <row r="66" spans="1:85" ht="15.75" customHeight="1" x14ac:dyDescent="0.35">
      <c r="A66" s="8">
        <v>59</v>
      </c>
      <c r="B66" s="8" t="s">
        <v>144</v>
      </c>
      <c r="C66" s="9">
        <v>7.6300000000000001E-4</v>
      </c>
      <c r="D66" s="9">
        <v>4.2099999999999999E-4</v>
      </c>
      <c r="E66" s="9">
        <v>6.0000000000000002E-6</v>
      </c>
      <c r="F66" s="9">
        <v>5.0000000000000004E-6</v>
      </c>
      <c r="G66" s="9">
        <v>7.8999999999999996E-5</v>
      </c>
      <c r="H66" s="9">
        <v>1.64E-4</v>
      </c>
      <c r="I66" s="9">
        <v>9.0300000000000005E-4</v>
      </c>
      <c r="J66" s="9">
        <v>7.7499999999999997E-4</v>
      </c>
      <c r="K66" s="9">
        <v>5.3300000000000005E-4</v>
      </c>
      <c r="L66" s="9">
        <v>2.24E-4</v>
      </c>
      <c r="M66" s="9">
        <v>0</v>
      </c>
      <c r="N66" s="10">
        <v>70537782</v>
      </c>
      <c r="O66" s="10">
        <v>38857805</v>
      </c>
      <c r="P66" s="10">
        <v>587800</v>
      </c>
      <c r="Q66" s="10">
        <v>416200</v>
      </c>
      <c r="R66" s="10">
        <v>7254200</v>
      </c>
      <c r="S66" s="10">
        <v>15111400</v>
      </c>
      <c r="T66" s="10">
        <v>83457200</v>
      </c>
      <c r="U66" s="10">
        <v>71586800</v>
      </c>
      <c r="V66" s="10">
        <v>49241000</v>
      </c>
      <c r="W66" s="10">
        <v>20658800</v>
      </c>
      <c r="X66" s="10">
        <v>0</v>
      </c>
      <c r="Y66" s="13">
        <v>31679977</v>
      </c>
      <c r="Z66" s="13">
        <v>38270005</v>
      </c>
      <c r="AA66" s="13">
        <v>171600</v>
      </c>
      <c r="AB66" s="12">
        <v>-6838000</v>
      </c>
      <c r="AC66" s="12">
        <v>-7857200</v>
      </c>
      <c r="AD66" s="12">
        <v>-68345800</v>
      </c>
      <c r="AE66" s="13">
        <v>11870400</v>
      </c>
      <c r="AF66" s="13">
        <v>22345800</v>
      </c>
      <c r="AG66" s="13">
        <v>28582200</v>
      </c>
      <c r="AH66" s="13">
        <v>20658800</v>
      </c>
      <c r="AI66" s="11">
        <v>0</v>
      </c>
      <c r="AJ66" s="10">
        <v>310273122087.59998</v>
      </c>
      <c r="AK66" s="10">
        <v>220940227274.20001</v>
      </c>
      <c r="AL66" s="10">
        <v>3556190039.8499999</v>
      </c>
      <c r="AM66" s="10">
        <v>2065392538.55</v>
      </c>
      <c r="AN66" s="10">
        <v>25453584270</v>
      </c>
      <c r="AO66" s="10">
        <v>47789802403.199997</v>
      </c>
      <c r="AP66" s="10">
        <v>319346697780.79999</v>
      </c>
      <c r="AQ66" s="10">
        <v>260711760418.75</v>
      </c>
      <c r="AR66" s="10">
        <v>196964000083.75</v>
      </c>
      <c r="AS66" s="10">
        <v>59781402584.400002</v>
      </c>
      <c r="AT66" s="10">
        <v>0</v>
      </c>
      <c r="AU66" s="14">
        <v>45930</v>
      </c>
      <c r="AV66" s="14">
        <v>45657</v>
      </c>
      <c r="AW66" s="14">
        <v>45291</v>
      </c>
      <c r="AX66" s="14">
        <v>44926</v>
      </c>
      <c r="AY66" s="14">
        <v>44561</v>
      </c>
      <c r="AZ66" s="14">
        <v>44196</v>
      </c>
      <c r="BA66" s="14">
        <v>43830</v>
      </c>
      <c r="BB66" s="14">
        <v>43465</v>
      </c>
      <c r="BC66" s="14">
        <v>43100</v>
      </c>
      <c r="BD66" s="14">
        <v>42735</v>
      </c>
      <c r="BE66" s="14">
        <v>41882</v>
      </c>
      <c r="BF66" s="8" t="s">
        <v>35</v>
      </c>
      <c r="BG66" s="8" t="s">
        <v>35</v>
      </c>
      <c r="BH66" s="8" t="s">
        <v>35</v>
      </c>
      <c r="BI66" s="8" t="s">
        <v>35</v>
      </c>
      <c r="BJ66" s="8" t="s">
        <v>35</v>
      </c>
      <c r="BK66" s="8" t="s">
        <v>35</v>
      </c>
      <c r="BL66" s="8" t="s">
        <v>35</v>
      </c>
      <c r="BM66" s="8" t="s">
        <v>35</v>
      </c>
      <c r="BN66" s="8" t="s">
        <v>35</v>
      </c>
      <c r="BO66" s="8" t="s">
        <v>35</v>
      </c>
      <c r="BP66" s="8" t="s">
        <v>35</v>
      </c>
      <c r="BQ66" s="8" t="s">
        <v>31</v>
      </c>
      <c r="BR66" s="8" t="s">
        <v>49</v>
      </c>
      <c r="BS66" s="10">
        <v>7275496075161050</v>
      </c>
      <c r="BT66" s="8" t="s">
        <v>57</v>
      </c>
      <c r="BU66" s="8" t="s">
        <v>27</v>
      </c>
      <c r="BV66" s="8" t="s">
        <v>27</v>
      </c>
      <c r="BW66" s="8" t="s">
        <v>43</v>
      </c>
      <c r="BX66" s="8" t="s">
        <v>43</v>
      </c>
      <c r="BY66" s="8" t="s">
        <v>42</v>
      </c>
      <c r="BZ66" s="8" t="s">
        <v>42</v>
      </c>
      <c r="CA66" s="8" t="s">
        <v>42</v>
      </c>
      <c r="CB66" s="8" t="s">
        <v>42</v>
      </c>
      <c r="CC66" s="8" t="s">
        <v>42</v>
      </c>
      <c r="CD66" s="8" t="s">
        <v>43</v>
      </c>
      <c r="CE66" s="8" t="s">
        <v>27</v>
      </c>
      <c r="CF66" s="8" t="s">
        <v>145</v>
      </c>
      <c r="CG66" s="8" t="s">
        <v>146</v>
      </c>
    </row>
    <row r="67" spans="1:85" ht="15.75" customHeight="1" x14ac:dyDescent="0.35">
      <c r="A67" s="8">
        <v>60</v>
      </c>
      <c r="B67" s="8" t="s">
        <v>147</v>
      </c>
      <c r="C67" s="9">
        <v>7.5000000000000002E-4</v>
      </c>
      <c r="D67" s="9">
        <v>5.8299999999999997E-4</v>
      </c>
      <c r="E67" s="9">
        <v>1.524E-3</v>
      </c>
      <c r="F67" s="9">
        <v>1.939E-3</v>
      </c>
      <c r="G67" s="9">
        <v>5.9800000000000001E-4</v>
      </c>
      <c r="H67" s="9">
        <v>6.2699999999999995E-4</v>
      </c>
      <c r="I67" s="9">
        <v>1.9710000000000001E-3</v>
      </c>
      <c r="J67" s="9">
        <v>2.1210000000000001E-3</v>
      </c>
      <c r="K67" s="9">
        <v>5.7600000000000001E-4</v>
      </c>
      <c r="L67" s="9">
        <v>6.2600000000000004E-4</v>
      </c>
      <c r="M67" s="9">
        <v>8.3699999999999996E-4</v>
      </c>
      <c r="N67" s="10">
        <v>69289817</v>
      </c>
      <c r="O67" s="10">
        <v>53856642</v>
      </c>
      <c r="P67" s="10">
        <v>140818942</v>
      </c>
      <c r="Q67" s="10">
        <v>179160742</v>
      </c>
      <c r="R67" s="10">
        <v>55245542</v>
      </c>
      <c r="S67" s="10">
        <v>57944204</v>
      </c>
      <c r="T67" s="10">
        <v>182159354</v>
      </c>
      <c r="U67" s="10">
        <v>195988866</v>
      </c>
      <c r="V67" s="10">
        <v>53215360</v>
      </c>
      <c r="W67" s="10">
        <v>57872604</v>
      </c>
      <c r="X67" s="10">
        <v>77367356</v>
      </c>
      <c r="Y67" s="13">
        <v>15433175</v>
      </c>
      <c r="Z67" s="12">
        <v>-86962300</v>
      </c>
      <c r="AA67" s="12">
        <v>-38341800</v>
      </c>
      <c r="AB67" s="13">
        <v>123915200</v>
      </c>
      <c r="AC67" s="12">
        <v>-2698662</v>
      </c>
      <c r="AD67" s="12">
        <v>-124215150</v>
      </c>
      <c r="AE67" s="12">
        <v>-13829512</v>
      </c>
      <c r="AF67" s="13">
        <v>142773506</v>
      </c>
      <c r="AG67" s="12">
        <v>-4657244</v>
      </c>
      <c r="AH67" s="12">
        <v>-19494752</v>
      </c>
      <c r="AI67" s="13">
        <v>2458800</v>
      </c>
      <c r="AJ67" s="10">
        <v>304783723559</v>
      </c>
      <c r="AK67" s="10">
        <v>306221587342.40002</v>
      </c>
      <c r="AL67" s="10">
        <v>851954598367</v>
      </c>
      <c r="AM67" s="10">
        <v>889085182891.40002</v>
      </c>
      <c r="AN67" s="10">
        <v>193845917917.5</v>
      </c>
      <c r="AO67" s="10">
        <v>183248545006.79999</v>
      </c>
      <c r="AP67" s="10">
        <v>697027795969.59998</v>
      </c>
      <c r="AQ67" s="10">
        <v>713771285593.75</v>
      </c>
      <c r="AR67" s="10">
        <v>212861439977.35001</v>
      </c>
      <c r="AS67" s="10">
        <v>167468847911.10001</v>
      </c>
      <c r="AT67" s="10">
        <v>178976928139.95001</v>
      </c>
      <c r="AU67" s="14">
        <v>45930</v>
      </c>
      <c r="AV67" s="14">
        <v>45657</v>
      </c>
      <c r="AW67" s="14">
        <v>45291</v>
      </c>
      <c r="AX67" s="14">
        <v>44926</v>
      </c>
      <c r="AY67" s="14">
        <v>44561</v>
      </c>
      <c r="AZ67" s="14">
        <v>44196</v>
      </c>
      <c r="BA67" s="14">
        <v>43830</v>
      </c>
      <c r="BB67" s="14">
        <v>43465</v>
      </c>
      <c r="BC67" s="14">
        <v>43100</v>
      </c>
      <c r="BD67" s="14">
        <v>42735</v>
      </c>
      <c r="BE67" s="14">
        <v>42369</v>
      </c>
      <c r="BF67" s="8" t="s">
        <v>35</v>
      </c>
      <c r="BG67" s="8" t="s">
        <v>35</v>
      </c>
      <c r="BH67" s="8" t="s">
        <v>35</v>
      </c>
      <c r="BI67" s="8" t="s">
        <v>35</v>
      </c>
      <c r="BJ67" s="8" t="s">
        <v>35</v>
      </c>
      <c r="BK67" s="8" t="s">
        <v>35</v>
      </c>
      <c r="BL67" s="8" t="s">
        <v>35</v>
      </c>
      <c r="BM67" s="8" t="s">
        <v>35</v>
      </c>
      <c r="BN67" s="8" t="s">
        <v>35</v>
      </c>
      <c r="BO67" s="8" t="s">
        <v>35</v>
      </c>
      <c r="BP67" s="8" t="s">
        <v>35</v>
      </c>
      <c r="BQ67" s="8" t="s">
        <v>31</v>
      </c>
      <c r="BR67" s="8" t="s">
        <v>36</v>
      </c>
      <c r="BS67" s="10">
        <v>9081533255972860</v>
      </c>
      <c r="BT67" s="8" t="s">
        <v>57</v>
      </c>
      <c r="BU67" s="8" t="s">
        <v>27</v>
      </c>
      <c r="BV67" s="8" t="s">
        <v>27</v>
      </c>
      <c r="BW67" s="8" t="s">
        <v>27</v>
      </c>
      <c r="BX67" s="8" t="s">
        <v>27</v>
      </c>
      <c r="BY67" s="8" t="s">
        <v>27</v>
      </c>
      <c r="BZ67" s="8" t="s">
        <v>27</v>
      </c>
      <c r="CA67" s="8" t="s">
        <v>27</v>
      </c>
      <c r="CB67" s="8" t="s">
        <v>27</v>
      </c>
      <c r="CC67" s="8" t="s">
        <v>27</v>
      </c>
      <c r="CD67" s="8" t="s">
        <v>27</v>
      </c>
      <c r="CE67" s="8" t="s">
        <v>27</v>
      </c>
      <c r="CF67" s="8" t="s">
        <v>82</v>
      </c>
      <c r="CG67" s="8" t="s">
        <v>39</v>
      </c>
    </row>
    <row r="68" spans="1:85" ht="15.75" customHeight="1" x14ac:dyDescent="0.35">
      <c r="A68" s="8">
        <v>61</v>
      </c>
      <c r="B68" s="8" t="s">
        <v>148</v>
      </c>
      <c r="C68" s="9">
        <v>7.2999999999999996E-4</v>
      </c>
      <c r="D68" s="9">
        <v>7.2999999999999996E-4</v>
      </c>
      <c r="E68" s="9">
        <v>8.0800000000000002E-4</v>
      </c>
      <c r="F68" s="9">
        <v>1.513E-3</v>
      </c>
      <c r="G68" s="9">
        <v>7.5600000000000005E-4</v>
      </c>
      <c r="H68" s="9">
        <v>1.8599999999999999E-4</v>
      </c>
      <c r="I68" s="9">
        <v>2.4800000000000001E-4</v>
      </c>
      <c r="J68" s="9">
        <v>1.74E-4</v>
      </c>
      <c r="K68" s="9">
        <v>1.4E-5</v>
      </c>
      <c r="L68" s="9">
        <v>1.8E-5</v>
      </c>
      <c r="M68" s="9">
        <v>9.77E-4</v>
      </c>
      <c r="N68" s="10">
        <v>67492231</v>
      </c>
      <c r="O68" s="10">
        <v>67492231</v>
      </c>
      <c r="P68" s="10">
        <v>74614906</v>
      </c>
      <c r="Q68" s="10">
        <v>139814750</v>
      </c>
      <c r="R68" s="10">
        <v>69855286</v>
      </c>
      <c r="S68" s="10">
        <v>17144250</v>
      </c>
      <c r="T68" s="10">
        <v>22937324</v>
      </c>
      <c r="U68" s="10">
        <v>16094600</v>
      </c>
      <c r="V68" s="10">
        <v>1332400</v>
      </c>
      <c r="W68" s="10">
        <v>1627200</v>
      </c>
      <c r="X68" s="10">
        <v>90232400</v>
      </c>
      <c r="Y68" s="11">
        <v>0</v>
      </c>
      <c r="Z68" s="12">
        <v>-7122675</v>
      </c>
      <c r="AA68" s="12">
        <v>-65199844</v>
      </c>
      <c r="AB68" s="13">
        <v>69959464</v>
      </c>
      <c r="AC68" s="13">
        <v>52711036</v>
      </c>
      <c r="AD68" s="12">
        <v>-5793074</v>
      </c>
      <c r="AE68" s="13">
        <v>6842724</v>
      </c>
      <c r="AF68" s="13">
        <v>14762200</v>
      </c>
      <c r="AG68" s="12">
        <v>-294800</v>
      </c>
      <c r="AH68" s="12">
        <v>-88605200</v>
      </c>
      <c r="AI68" s="11">
        <v>0</v>
      </c>
      <c r="AJ68" s="10">
        <v>489318674461</v>
      </c>
      <c r="AK68" s="10">
        <v>489318674461</v>
      </c>
      <c r="AL68" s="10">
        <v>385199452101.29999</v>
      </c>
      <c r="AM68" s="10">
        <v>552268262334.07996</v>
      </c>
      <c r="AN68" s="10">
        <v>214805004466.79999</v>
      </c>
      <c r="AO68" s="10">
        <v>40117545004</v>
      </c>
      <c r="AP68" s="10">
        <v>85441531948.5</v>
      </c>
      <c r="AQ68" s="10">
        <v>61763027571.199997</v>
      </c>
      <c r="AR68" s="10">
        <v>3897269939.8499999</v>
      </c>
      <c r="AS68" s="10">
        <v>4190040038.25</v>
      </c>
      <c r="AT68" s="10">
        <v>281412297534.59998</v>
      </c>
      <c r="AU68" s="14">
        <v>45382</v>
      </c>
      <c r="AV68" s="14">
        <v>45382</v>
      </c>
      <c r="AW68" s="14">
        <v>45016</v>
      </c>
      <c r="AX68" s="14">
        <v>44651</v>
      </c>
      <c r="AY68" s="14">
        <v>44286</v>
      </c>
      <c r="AZ68" s="14">
        <v>43921</v>
      </c>
      <c r="BA68" s="14">
        <v>43555</v>
      </c>
      <c r="BB68" s="14">
        <v>43190</v>
      </c>
      <c r="BC68" s="14">
        <v>42825</v>
      </c>
      <c r="BD68" s="14">
        <v>42460</v>
      </c>
      <c r="BE68" s="14">
        <v>42094</v>
      </c>
      <c r="BF68" s="8" t="s">
        <v>35</v>
      </c>
      <c r="BG68" s="8" t="s">
        <v>35</v>
      </c>
      <c r="BH68" s="8" t="s">
        <v>35</v>
      </c>
      <c r="BI68" s="8" t="s">
        <v>35</v>
      </c>
      <c r="BJ68" s="8" t="s">
        <v>35</v>
      </c>
      <c r="BK68" s="8" t="s">
        <v>35</v>
      </c>
      <c r="BL68" s="8" t="s">
        <v>35</v>
      </c>
      <c r="BM68" s="8" t="s">
        <v>35</v>
      </c>
      <c r="BN68" s="8" t="s">
        <v>35</v>
      </c>
      <c r="BO68" s="8" t="s">
        <v>35</v>
      </c>
      <c r="BP68" s="8" t="s">
        <v>35</v>
      </c>
      <c r="BQ68" s="8" t="s">
        <v>31</v>
      </c>
      <c r="BR68" s="8" t="s">
        <v>53</v>
      </c>
      <c r="BS68" s="10">
        <v>445280934317624</v>
      </c>
      <c r="BT68" s="8" t="s">
        <v>61</v>
      </c>
      <c r="BU68" s="8" t="s">
        <v>27</v>
      </c>
      <c r="BV68" s="8" t="s">
        <v>27</v>
      </c>
      <c r="BW68" s="8" t="s">
        <v>27</v>
      </c>
      <c r="BX68" s="8" t="s">
        <v>27</v>
      </c>
      <c r="BY68" s="8" t="s">
        <v>27</v>
      </c>
      <c r="BZ68" s="8" t="s">
        <v>27</v>
      </c>
      <c r="CA68" s="8" t="s">
        <v>27</v>
      </c>
      <c r="CB68" s="8" t="s">
        <v>27</v>
      </c>
      <c r="CC68" s="8" t="s">
        <v>27</v>
      </c>
      <c r="CD68" s="8" t="s">
        <v>27</v>
      </c>
      <c r="CE68" s="8" t="s">
        <v>27</v>
      </c>
      <c r="CF68" s="8" t="s">
        <v>149</v>
      </c>
      <c r="CG68" s="8" t="s">
        <v>115</v>
      </c>
    </row>
    <row r="69" spans="1:85" ht="15.75" customHeight="1" x14ac:dyDescent="0.35">
      <c r="A69" s="8">
        <v>62</v>
      </c>
      <c r="B69" s="8" t="s">
        <v>150</v>
      </c>
      <c r="C69" s="9">
        <v>7.2800000000000002E-4</v>
      </c>
      <c r="D69" s="9">
        <v>5.7499999999999999E-4</v>
      </c>
      <c r="E69" s="9">
        <v>7.7200000000000001E-4</v>
      </c>
      <c r="F69" s="9">
        <v>4.1199999999999999E-4</v>
      </c>
      <c r="G69" s="9">
        <v>1.8E-5</v>
      </c>
      <c r="H69" s="9">
        <v>1.0939999999999999E-3</v>
      </c>
      <c r="I69" s="9">
        <v>3.8200000000000002E-4</v>
      </c>
      <c r="J69" s="9">
        <v>5.44E-4</v>
      </c>
      <c r="K69" s="9">
        <v>5.62E-4</v>
      </c>
      <c r="L69" s="9">
        <v>2.9500000000000001E-4</v>
      </c>
      <c r="M69" s="9">
        <v>6.7599999999999995E-4</v>
      </c>
      <c r="N69" s="10">
        <v>67261200</v>
      </c>
      <c r="O69" s="10">
        <v>53146200</v>
      </c>
      <c r="P69" s="10">
        <v>71322400</v>
      </c>
      <c r="Q69" s="10">
        <v>38053200</v>
      </c>
      <c r="R69" s="10">
        <v>1623400</v>
      </c>
      <c r="S69" s="10">
        <v>101065200</v>
      </c>
      <c r="T69" s="10">
        <v>35301800</v>
      </c>
      <c r="U69" s="10">
        <v>50293400</v>
      </c>
      <c r="V69" s="10">
        <v>51972200</v>
      </c>
      <c r="W69" s="10">
        <v>27221200</v>
      </c>
      <c r="X69" s="10">
        <v>62452000</v>
      </c>
      <c r="Y69" s="13">
        <v>14115000</v>
      </c>
      <c r="Z69" s="12">
        <v>-18176200</v>
      </c>
      <c r="AA69" s="13">
        <v>33269200</v>
      </c>
      <c r="AB69" s="13">
        <v>36429800</v>
      </c>
      <c r="AC69" s="12">
        <v>-99441800</v>
      </c>
      <c r="AD69" s="13">
        <v>65763400</v>
      </c>
      <c r="AE69" s="12">
        <v>-14991600</v>
      </c>
      <c r="AF69" s="12">
        <v>-1678800</v>
      </c>
      <c r="AG69" s="13">
        <v>24751000</v>
      </c>
      <c r="AH69" s="12">
        <v>-35230800</v>
      </c>
      <c r="AI69" s="13">
        <v>7838000</v>
      </c>
      <c r="AJ69" s="10">
        <v>320968676064.75</v>
      </c>
      <c r="AK69" s="10">
        <v>302182110139.79999</v>
      </c>
      <c r="AL69" s="10">
        <v>431500519611.70001</v>
      </c>
      <c r="AM69" s="10">
        <v>188839005129.5</v>
      </c>
      <c r="AN69" s="10">
        <v>5696196532.5</v>
      </c>
      <c r="AO69" s="10">
        <v>319618694631.59998</v>
      </c>
      <c r="AP69" s="10">
        <v>135081374083.60001</v>
      </c>
      <c r="AQ69" s="10">
        <v>183163388368.75</v>
      </c>
      <c r="AR69" s="10">
        <v>192297139981.79999</v>
      </c>
      <c r="AS69" s="10">
        <v>78771347565.300003</v>
      </c>
      <c r="AT69" s="10">
        <v>144472652283.89999</v>
      </c>
      <c r="AU69" s="14">
        <v>45900</v>
      </c>
      <c r="AV69" s="14">
        <v>45657</v>
      </c>
      <c r="AW69" s="14">
        <v>45291</v>
      </c>
      <c r="AX69" s="14">
        <v>44926</v>
      </c>
      <c r="AY69" s="14">
        <v>44561</v>
      </c>
      <c r="AZ69" s="14">
        <v>44196</v>
      </c>
      <c r="BA69" s="14">
        <v>43830</v>
      </c>
      <c r="BB69" s="14">
        <v>43465</v>
      </c>
      <c r="BC69" s="14">
        <v>43069</v>
      </c>
      <c r="BD69" s="14">
        <v>42735</v>
      </c>
      <c r="BE69" s="14">
        <v>42369</v>
      </c>
      <c r="BF69" s="8" t="s">
        <v>35</v>
      </c>
      <c r="BG69" s="8" t="s">
        <v>35</v>
      </c>
      <c r="BH69" s="8" t="s">
        <v>35</v>
      </c>
      <c r="BI69" s="8" t="s">
        <v>35</v>
      </c>
      <c r="BJ69" s="8" t="s">
        <v>35</v>
      </c>
      <c r="BK69" s="8" t="s">
        <v>35</v>
      </c>
      <c r="BL69" s="8" t="s">
        <v>35</v>
      </c>
      <c r="BM69" s="8" t="s">
        <v>35</v>
      </c>
      <c r="BN69" s="8" t="s">
        <v>35</v>
      </c>
      <c r="BO69" s="8" t="s">
        <v>35</v>
      </c>
      <c r="BP69" s="8" t="s">
        <v>35</v>
      </c>
      <c r="BQ69" s="8" t="s">
        <v>31</v>
      </c>
      <c r="BR69" s="8" t="s">
        <v>36</v>
      </c>
      <c r="BS69" s="10">
        <v>816667495751037</v>
      </c>
      <c r="BT69" s="8" t="s">
        <v>37</v>
      </c>
      <c r="BU69" s="8" t="s">
        <v>27</v>
      </c>
      <c r="BV69" s="8" t="s">
        <v>42</v>
      </c>
      <c r="BW69" s="8" t="s">
        <v>42</v>
      </c>
      <c r="BX69" s="8" t="s">
        <v>42</v>
      </c>
      <c r="BY69" s="8" t="s">
        <v>43</v>
      </c>
      <c r="BZ69" s="8" t="s">
        <v>43</v>
      </c>
      <c r="CA69" s="8" t="s">
        <v>43</v>
      </c>
      <c r="CB69" s="8" t="s">
        <v>43</v>
      </c>
      <c r="CC69" s="8" t="s">
        <v>43</v>
      </c>
      <c r="CD69" s="8" t="s">
        <v>43</v>
      </c>
      <c r="CE69" s="8" t="s">
        <v>42</v>
      </c>
      <c r="CF69" s="8" t="s">
        <v>50</v>
      </c>
      <c r="CG69" s="8" t="s">
        <v>51</v>
      </c>
    </row>
    <row r="70" spans="1:85" ht="15.75" customHeight="1" x14ac:dyDescent="0.35">
      <c r="A70" s="8">
        <v>63</v>
      </c>
      <c r="B70" s="8" t="s">
        <v>151</v>
      </c>
      <c r="C70" s="9">
        <v>7.18E-4</v>
      </c>
      <c r="D70" s="9">
        <v>2.2430000000000002E-3</v>
      </c>
      <c r="E70" s="9">
        <v>1.848E-3</v>
      </c>
      <c r="F70" s="9">
        <v>1.513E-3</v>
      </c>
      <c r="G70" s="9">
        <v>1E-4</v>
      </c>
      <c r="H70" s="9">
        <v>2.418E-3</v>
      </c>
      <c r="I70" s="9">
        <v>2.7230000000000002E-3</v>
      </c>
      <c r="J70" s="9">
        <v>3.1879999999999999E-3</v>
      </c>
      <c r="K70" s="9">
        <v>2.5860000000000002E-3</v>
      </c>
      <c r="L70" s="9">
        <v>3.6999999999999999E-4</v>
      </c>
      <c r="M70" s="9">
        <v>1.5039999999999999E-3</v>
      </c>
      <c r="N70" s="10">
        <v>66365548</v>
      </c>
      <c r="O70" s="10">
        <v>207215296</v>
      </c>
      <c r="P70" s="10">
        <v>170710448</v>
      </c>
      <c r="Q70" s="10">
        <v>139771648</v>
      </c>
      <c r="R70" s="10">
        <v>9227048</v>
      </c>
      <c r="S70" s="10">
        <v>223406248</v>
      </c>
      <c r="T70" s="10">
        <v>251636752</v>
      </c>
      <c r="U70" s="10">
        <v>294594110</v>
      </c>
      <c r="V70" s="10">
        <v>238942164</v>
      </c>
      <c r="W70" s="10">
        <v>34212648</v>
      </c>
      <c r="X70" s="10">
        <v>139007616</v>
      </c>
      <c r="Y70" s="12">
        <v>-140849748</v>
      </c>
      <c r="Z70" s="13">
        <v>36504848</v>
      </c>
      <c r="AA70" s="13">
        <v>30938800</v>
      </c>
      <c r="AB70" s="13">
        <v>130544600</v>
      </c>
      <c r="AC70" s="12">
        <v>-214179200</v>
      </c>
      <c r="AD70" s="12">
        <v>-28230504</v>
      </c>
      <c r="AE70" s="12">
        <v>-42957358</v>
      </c>
      <c r="AF70" s="13">
        <v>55651946</v>
      </c>
      <c r="AG70" s="13">
        <v>204729516</v>
      </c>
      <c r="AH70" s="12">
        <v>-104794968</v>
      </c>
      <c r="AI70" s="12">
        <v>-100211600</v>
      </c>
      <c r="AJ70" s="10">
        <v>291920800287.20001</v>
      </c>
      <c r="AK70" s="10">
        <v>1178198166601.8</v>
      </c>
      <c r="AL70" s="10">
        <v>1032798209617.15</v>
      </c>
      <c r="AM70" s="10">
        <v>693616803782.65002</v>
      </c>
      <c r="AN70" s="10">
        <v>32375926185</v>
      </c>
      <c r="AO70" s="10">
        <v>706522258587.59998</v>
      </c>
      <c r="AP70" s="10">
        <v>962881162934.80005</v>
      </c>
      <c r="AQ70" s="10">
        <v>1072881439156.25</v>
      </c>
      <c r="AR70" s="10">
        <v>955768656124.80005</v>
      </c>
      <c r="AS70" s="10">
        <v>99002850194.399994</v>
      </c>
      <c r="AT70" s="10">
        <v>321571750504.34998</v>
      </c>
      <c r="AU70" s="14">
        <v>45930</v>
      </c>
      <c r="AV70" s="14">
        <v>45657</v>
      </c>
      <c r="AW70" s="14">
        <v>45291</v>
      </c>
      <c r="AX70" s="14">
        <v>44926</v>
      </c>
      <c r="AY70" s="14">
        <v>44561</v>
      </c>
      <c r="AZ70" s="14">
        <v>44196</v>
      </c>
      <c r="BA70" s="14">
        <v>43830</v>
      </c>
      <c r="BB70" s="14">
        <v>43465</v>
      </c>
      <c r="BC70" s="14">
        <v>43100</v>
      </c>
      <c r="BD70" s="14">
        <v>42735</v>
      </c>
      <c r="BE70" s="14">
        <v>42369</v>
      </c>
      <c r="BF70" s="8" t="s">
        <v>35</v>
      </c>
      <c r="BG70" s="8" t="s">
        <v>35</v>
      </c>
      <c r="BH70" s="8" t="s">
        <v>35</v>
      </c>
      <c r="BI70" s="8" t="s">
        <v>35</v>
      </c>
      <c r="BJ70" s="8" t="s">
        <v>35</v>
      </c>
      <c r="BK70" s="8" t="s">
        <v>35</v>
      </c>
      <c r="BL70" s="8" t="s">
        <v>35</v>
      </c>
      <c r="BM70" s="8" t="s">
        <v>35</v>
      </c>
      <c r="BN70" s="8" t="s">
        <v>35</v>
      </c>
      <c r="BO70" s="8" t="s">
        <v>35</v>
      </c>
      <c r="BP70" s="8" t="s">
        <v>35</v>
      </c>
      <c r="BQ70" s="8" t="s">
        <v>31</v>
      </c>
      <c r="BR70" s="8" t="s">
        <v>36</v>
      </c>
      <c r="BS70" s="10">
        <v>38378068655094</v>
      </c>
      <c r="BT70" s="8" t="s">
        <v>57</v>
      </c>
      <c r="BU70" s="8" t="s">
        <v>42</v>
      </c>
      <c r="BV70" s="8" t="s">
        <v>42</v>
      </c>
      <c r="BW70" s="8" t="s">
        <v>27</v>
      </c>
      <c r="BX70" s="8" t="s">
        <v>27</v>
      </c>
      <c r="BY70" s="8" t="s">
        <v>42</v>
      </c>
      <c r="BZ70" s="8" t="s">
        <v>42</v>
      </c>
      <c r="CA70" s="8" t="s">
        <v>42</v>
      </c>
      <c r="CB70" s="8" t="s">
        <v>42</v>
      </c>
      <c r="CC70" s="8" t="s">
        <v>42</v>
      </c>
      <c r="CD70" s="8" t="s">
        <v>42</v>
      </c>
      <c r="CE70" s="8" t="s">
        <v>27</v>
      </c>
      <c r="CF70" s="8" t="s">
        <v>65</v>
      </c>
      <c r="CG70" s="8" t="s">
        <v>65</v>
      </c>
    </row>
    <row r="71" spans="1:85" ht="15.75" customHeight="1" x14ac:dyDescent="0.35">
      <c r="A71" s="8">
        <v>64</v>
      </c>
      <c r="B71" s="8" t="s">
        <v>152</v>
      </c>
      <c r="C71" s="9">
        <v>7.0100000000000002E-4</v>
      </c>
      <c r="D71" s="9">
        <v>1.235E-3</v>
      </c>
      <c r="E71" s="9">
        <v>3.1599999999999998E-4</v>
      </c>
      <c r="F71" s="9">
        <v>9.7999999999999997E-5</v>
      </c>
      <c r="G71" s="9">
        <v>6.9999999999999999E-6</v>
      </c>
      <c r="H71" s="9">
        <v>6.9999999999999999E-6</v>
      </c>
      <c r="I71" s="9">
        <v>1.1E-5</v>
      </c>
      <c r="J71" s="9">
        <v>4.5000000000000003E-5</v>
      </c>
      <c r="K71" s="9">
        <v>4.1E-5</v>
      </c>
      <c r="L71" s="9">
        <v>1.8E-5</v>
      </c>
      <c r="M71" s="9">
        <v>7.9999999999999996E-6</v>
      </c>
      <c r="N71" s="10">
        <v>64741200</v>
      </c>
      <c r="O71" s="10">
        <v>114107200</v>
      </c>
      <c r="P71" s="10">
        <v>29221607</v>
      </c>
      <c r="Q71" s="10">
        <v>9049600</v>
      </c>
      <c r="R71" s="10">
        <v>625600</v>
      </c>
      <c r="S71" s="10">
        <v>673800</v>
      </c>
      <c r="T71" s="10">
        <v>994200</v>
      </c>
      <c r="U71" s="10">
        <v>4184200</v>
      </c>
      <c r="V71" s="10">
        <v>3752200</v>
      </c>
      <c r="W71" s="10">
        <v>1656800</v>
      </c>
      <c r="X71" s="10">
        <v>758800</v>
      </c>
      <c r="Y71" s="12">
        <v>-49366000</v>
      </c>
      <c r="Z71" s="13">
        <v>84885593</v>
      </c>
      <c r="AA71" s="13">
        <v>20172007</v>
      </c>
      <c r="AB71" s="13">
        <v>8424000</v>
      </c>
      <c r="AC71" s="12">
        <v>-48200</v>
      </c>
      <c r="AD71" s="12">
        <v>-320400</v>
      </c>
      <c r="AE71" s="12">
        <v>-3190000</v>
      </c>
      <c r="AF71" s="13">
        <v>432000</v>
      </c>
      <c r="AG71" s="13">
        <v>2095400</v>
      </c>
      <c r="AH71" s="13">
        <v>898000</v>
      </c>
      <c r="AI71" s="12">
        <v>-92000</v>
      </c>
      <c r="AJ71" s="10">
        <v>284775813425.59998</v>
      </c>
      <c r="AK71" s="10">
        <v>648798116976.30005</v>
      </c>
      <c r="AL71" s="10">
        <v>176790722164.60001</v>
      </c>
      <c r="AM71" s="10">
        <v>44908639971.25</v>
      </c>
      <c r="AN71" s="10">
        <v>2195109330</v>
      </c>
      <c r="AO71" s="10">
        <v>2130892498.8</v>
      </c>
      <c r="AP71" s="10">
        <v>3804279118.8000002</v>
      </c>
      <c r="AQ71" s="10">
        <v>15238425893.75</v>
      </c>
      <c r="AR71" s="10">
        <v>15008799999.200001</v>
      </c>
      <c r="AS71" s="10">
        <v>4794364977</v>
      </c>
      <c r="AT71" s="10">
        <v>1755361636.05</v>
      </c>
      <c r="AU71" s="14">
        <v>45930</v>
      </c>
      <c r="AV71" s="14">
        <v>45657</v>
      </c>
      <c r="AW71" s="14">
        <v>45291</v>
      </c>
      <c r="AX71" s="14">
        <v>44926</v>
      </c>
      <c r="AY71" s="14">
        <v>44561</v>
      </c>
      <c r="AZ71" s="14">
        <v>44196</v>
      </c>
      <c r="BA71" s="14">
        <v>43830</v>
      </c>
      <c r="BB71" s="14">
        <v>43465</v>
      </c>
      <c r="BC71" s="14">
        <v>43100</v>
      </c>
      <c r="BD71" s="14">
        <v>42735</v>
      </c>
      <c r="BE71" s="14">
        <v>42369</v>
      </c>
      <c r="BF71" s="8" t="s">
        <v>35</v>
      </c>
      <c r="BG71" s="8" t="s">
        <v>35</v>
      </c>
      <c r="BH71" s="8" t="s">
        <v>35</v>
      </c>
      <c r="BI71" s="8" t="s">
        <v>35</v>
      </c>
      <c r="BJ71" s="8" t="s">
        <v>35</v>
      </c>
      <c r="BK71" s="8" t="s">
        <v>35</v>
      </c>
      <c r="BL71" s="8" t="s">
        <v>35</v>
      </c>
      <c r="BM71" s="8" t="s">
        <v>35</v>
      </c>
      <c r="BN71" s="8" t="s">
        <v>35</v>
      </c>
      <c r="BO71" s="8" t="s">
        <v>35</v>
      </c>
      <c r="BP71" s="8" t="s">
        <v>35</v>
      </c>
      <c r="BQ71" s="8" t="s">
        <v>31</v>
      </c>
      <c r="BR71" s="8" t="s">
        <v>36</v>
      </c>
      <c r="BS71" s="10">
        <v>1.55205577239886E+16</v>
      </c>
      <c r="BT71" s="8" t="s">
        <v>57</v>
      </c>
      <c r="BU71" s="8" t="s">
        <v>27</v>
      </c>
      <c r="BV71" s="8" t="s">
        <v>27</v>
      </c>
      <c r="BW71" s="8" t="s">
        <v>27</v>
      </c>
      <c r="BX71" s="8" t="s">
        <v>27</v>
      </c>
      <c r="BY71" s="8" t="s">
        <v>27</v>
      </c>
      <c r="BZ71" s="8" t="s">
        <v>27</v>
      </c>
      <c r="CA71" s="8" t="s">
        <v>27</v>
      </c>
      <c r="CB71" s="8" t="s">
        <v>27</v>
      </c>
      <c r="CC71" s="8" t="s">
        <v>27</v>
      </c>
      <c r="CD71" s="8" t="s">
        <v>27</v>
      </c>
      <c r="CE71" s="8" t="s">
        <v>42</v>
      </c>
      <c r="CF71" s="8" t="s">
        <v>82</v>
      </c>
      <c r="CG71" s="8" t="s">
        <v>39</v>
      </c>
    </row>
    <row r="72" spans="1:85" ht="15.75" customHeight="1" x14ac:dyDescent="0.35">
      <c r="A72" s="8">
        <v>65</v>
      </c>
      <c r="B72" s="8" t="s">
        <v>153</v>
      </c>
      <c r="C72" s="9">
        <v>6.5799999999999995E-4</v>
      </c>
      <c r="D72" s="9">
        <v>1.134E-3</v>
      </c>
      <c r="E72" s="9">
        <v>1.026E-3</v>
      </c>
      <c r="F72" s="9">
        <v>4.7229999999999998E-3</v>
      </c>
      <c r="G72" s="9">
        <v>1.0245000000000001E-2</v>
      </c>
      <c r="H72" s="9">
        <v>8.1019999999999998E-3</v>
      </c>
      <c r="I72" s="9">
        <v>5.574E-3</v>
      </c>
      <c r="J72" s="9">
        <v>3.238E-3</v>
      </c>
      <c r="K72" s="9">
        <v>2.813E-3</v>
      </c>
      <c r="L72" s="9">
        <v>3.0860000000000002E-3</v>
      </c>
      <c r="M72" s="9">
        <v>2.7810000000000001E-3</v>
      </c>
      <c r="N72" s="10">
        <v>60769900</v>
      </c>
      <c r="O72" s="10">
        <v>104825378</v>
      </c>
      <c r="P72" s="10">
        <v>94789122</v>
      </c>
      <c r="Q72" s="10">
        <v>436378118</v>
      </c>
      <c r="R72" s="10">
        <v>946628398</v>
      </c>
      <c r="S72" s="10">
        <v>748586900</v>
      </c>
      <c r="T72" s="10">
        <v>514993600</v>
      </c>
      <c r="U72" s="10">
        <v>299154486</v>
      </c>
      <c r="V72" s="10">
        <v>259896494</v>
      </c>
      <c r="W72" s="10">
        <v>285165056</v>
      </c>
      <c r="X72" s="10">
        <v>256935236</v>
      </c>
      <c r="Y72" s="12">
        <v>-44055478</v>
      </c>
      <c r="Z72" s="13">
        <v>10036256</v>
      </c>
      <c r="AA72" s="12">
        <v>-341588996</v>
      </c>
      <c r="AB72" s="12">
        <v>-510250280</v>
      </c>
      <c r="AC72" s="13">
        <v>198041498</v>
      </c>
      <c r="AD72" s="13">
        <v>233593300</v>
      </c>
      <c r="AE72" s="13">
        <v>215839114</v>
      </c>
      <c r="AF72" s="13">
        <v>39257992</v>
      </c>
      <c r="AG72" s="12">
        <v>-25268562</v>
      </c>
      <c r="AH72" s="13">
        <v>28229820</v>
      </c>
      <c r="AI72" s="12">
        <v>-346324</v>
      </c>
      <c r="AJ72" s="10">
        <v>267307336112.60001</v>
      </c>
      <c r="AK72" s="10">
        <v>596022931457.30005</v>
      </c>
      <c r="AL72" s="10">
        <v>573474187656.05005</v>
      </c>
      <c r="AM72" s="10">
        <v>2165526412249.2</v>
      </c>
      <c r="AN72" s="10">
        <v>3321535895062.5</v>
      </c>
      <c r="AO72" s="10">
        <v>2367406068674.3999</v>
      </c>
      <c r="AP72" s="10">
        <v>1970608953286</v>
      </c>
      <c r="AQ72" s="10">
        <v>1089489859475</v>
      </c>
      <c r="AR72" s="10">
        <v>1039585976139.6</v>
      </c>
      <c r="AS72" s="10">
        <v>825196381209.30005</v>
      </c>
      <c r="AT72" s="10">
        <v>594378322427.09998</v>
      </c>
      <c r="AU72" s="14">
        <v>45930</v>
      </c>
      <c r="AV72" s="14">
        <v>45657</v>
      </c>
      <c r="AW72" s="14">
        <v>45291</v>
      </c>
      <c r="AX72" s="14">
        <v>44926</v>
      </c>
      <c r="AY72" s="14">
        <v>44561</v>
      </c>
      <c r="AZ72" s="14">
        <v>44196</v>
      </c>
      <c r="BA72" s="14">
        <v>43830</v>
      </c>
      <c r="BB72" s="14">
        <v>43465</v>
      </c>
      <c r="BC72" s="14">
        <v>43100</v>
      </c>
      <c r="BD72" s="14">
        <v>42735</v>
      </c>
      <c r="BE72" s="14">
        <v>42369</v>
      </c>
      <c r="BF72" s="8" t="s">
        <v>35</v>
      </c>
      <c r="BG72" s="8" t="s">
        <v>35</v>
      </c>
      <c r="BH72" s="8" t="s">
        <v>35</v>
      </c>
      <c r="BI72" s="8" t="s">
        <v>35</v>
      </c>
      <c r="BJ72" s="8" t="s">
        <v>35</v>
      </c>
      <c r="BK72" s="8" t="s">
        <v>35</v>
      </c>
      <c r="BL72" s="8" t="s">
        <v>24</v>
      </c>
      <c r="BM72" s="8" t="s">
        <v>35</v>
      </c>
      <c r="BN72" s="8" t="s">
        <v>35</v>
      </c>
      <c r="BO72" s="8" t="s">
        <v>35</v>
      </c>
      <c r="BP72" s="8" t="s">
        <v>35</v>
      </c>
      <c r="BQ72" s="8" t="s">
        <v>31</v>
      </c>
      <c r="BR72" s="8" t="s">
        <v>36</v>
      </c>
      <c r="BS72" s="10">
        <v>4.23164507303382E+16</v>
      </c>
      <c r="BT72" s="8" t="s">
        <v>57</v>
      </c>
      <c r="BU72" s="8" t="s">
        <v>27</v>
      </c>
      <c r="BV72" s="8" t="s">
        <v>27</v>
      </c>
      <c r="BW72" s="8" t="s">
        <v>27</v>
      </c>
      <c r="BX72" s="8" t="s">
        <v>27</v>
      </c>
      <c r="BY72" s="8" t="s">
        <v>27</v>
      </c>
      <c r="BZ72" s="8" t="s">
        <v>27</v>
      </c>
      <c r="CA72" s="8" t="s">
        <v>27</v>
      </c>
      <c r="CB72" s="8" t="s">
        <v>27</v>
      </c>
      <c r="CC72" s="8" t="s">
        <v>27</v>
      </c>
      <c r="CD72" s="8" t="s">
        <v>27</v>
      </c>
      <c r="CE72" s="8" t="s">
        <v>27</v>
      </c>
      <c r="CF72" s="8" t="s">
        <v>85</v>
      </c>
      <c r="CG72" s="8" t="s">
        <v>39</v>
      </c>
    </row>
    <row r="73" spans="1:85" ht="15.75" customHeight="1" x14ac:dyDescent="0.35">
      <c r="A73" s="8">
        <v>66</v>
      </c>
      <c r="B73" s="8" t="s">
        <v>154</v>
      </c>
      <c r="C73" s="9">
        <v>6.4000000000000005E-4</v>
      </c>
      <c r="D73" s="9">
        <v>2.0460000000000001E-3</v>
      </c>
      <c r="E73" s="9">
        <v>1.9040000000000001E-3</v>
      </c>
      <c r="F73" s="9">
        <v>1.003E-3</v>
      </c>
      <c r="G73" s="9">
        <v>1.06E-4</v>
      </c>
      <c r="H73" s="9">
        <v>5.9199999999999997E-4</v>
      </c>
      <c r="I73" s="9">
        <v>3.7300000000000001E-4</v>
      </c>
      <c r="J73" s="9">
        <v>3.2400000000000001E-4</v>
      </c>
      <c r="K73" s="9">
        <v>4.8299999999999998E-4</v>
      </c>
      <c r="L73" s="9">
        <v>1.07E-4</v>
      </c>
      <c r="M73" s="9">
        <v>5.7000000000000003E-5</v>
      </c>
      <c r="N73" s="10">
        <v>59110987</v>
      </c>
      <c r="O73" s="10">
        <v>189058330</v>
      </c>
      <c r="P73" s="10">
        <v>175933637</v>
      </c>
      <c r="Q73" s="10">
        <v>92644596</v>
      </c>
      <c r="R73" s="10">
        <v>9771454</v>
      </c>
      <c r="S73" s="10">
        <v>54729504</v>
      </c>
      <c r="T73" s="10">
        <v>34461658</v>
      </c>
      <c r="U73" s="10">
        <v>29920396</v>
      </c>
      <c r="V73" s="10">
        <v>44614310</v>
      </c>
      <c r="W73" s="10">
        <v>9899840</v>
      </c>
      <c r="X73" s="10">
        <v>5268168</v>
      </c>
      <c r="Y73" s="12">
        <v>-129947343</v>
      </c>
      <c r="Z73" s="13">
        <v>13124693</v>
      </c>
      <c r="AA73" s="13">
        <v>83289041</v>
      </c>
      <c r="AB73" s="13">
        <v>82873142</v>
      </c>
      <c r="AC73" s="12">
        <v>-44958050</v>
      </c>
      <c r="AD73" s="13">
        <v>20267846</v>
      </c>
      <c r="AE73" s="13">
        <v>4541262</v>
      </c>
      <c r="AF73" s="12">
        <v>-14693914</v>
      </c>
      <c r="AG73" s="13">
        <v>34714470</v>
      </c>
      <c r="AH73" s="13">
        <v>4631672</v>
      </c>
      <c r="AI73" s="13">
        <v>3609868</v>
      </c>
      <c r="AJ73" s="10">
        <v>260010308924.79999</v>
      </c>
      <c r="AK73" s="10">
        <v>1074960111989.8</v>
      </c>
      <c r="AL73" s="10">
        <v>1064398502965.45</v>
      </c>
      <c r="AM73" s="10">
        <v>459748808078.45001</v>
      </c>
      <c r="AN73" s="10">
        <v>34286141535</v>
      </c>
      <c r="AO73" s="10">
        <v>173082056191.20001</v>
      </c>
      <c r="AP73" s="10">
        <v>131866593694</v>
      </c>
      <c r="AQ73" s="10">
        <v>108967003831.25</v>
      </c>
      <c r="AR73" s="10">
        <v>178457240062.5</v>
      </c>
      <c r="AS73" s="10">
        <v>28647662078.700001</v>
      </c>
      <c r="AT73" s="10">
        <v>12187058928.450001</v>
      </c>
      <c r="AU73" s="14">
        <v>45930</v>
      </c>
      <c r="AV73" s="14">
        <v>45657</v>
      </c>
      <c r="AW73" s="14">
        <v>45291</v>
      </c>
      <c r="AX73" s="14">
        <v>44926</v>
      </c>
      <c r="AY73" s="14">
        <v>44561</v>
      </c>
      <c r="AZ73" s="14">
        <v>44196</v>
      </c>
      <c r="BA73" s="14">
        <v>43830</v>
      </c>
      <c r="BB73" s="14">
        <v>43465</v>
      </c>
      <c r="BC73" s="14">
        <v>43100</v>
      </c>
      <c r="BD73" s="14">
        <v>42735</v>
      </c>
      <c r="BE73" s="14">
        <v>42369</v>
      </c>
      <c r="BF73" s="8" t="s">
        <v>35</v>
      </c>
      <c r="BG73" s="8" t="s">
        <v>35</v>
      </c>
      <c r="BH73" s="8" t="s">
        <v>35</v>
      </c>
      <c r="BI73" s="8" t="s">
        <v>35</v>
      </c>
      <c r="BJ73" s="8" t="s">
        <v>35</v>
      </c>
      <c r="BK73" s="8" t="s">
        <v>35</v>
      </c>
      <c r="BL73" s="8" t="s">
        <v>35</v>
      </c>
      <c r="BM73" s="8" t="s">
        <v>35</v>
      </c>
      <c r="BN73" s="8" t="s">
        <v>35</v>
      </c>
      <c r="BO73" s="8" t="s">
        <v>35</v>
      </c>
      <c r="BP73" s="8" t="s">
        <v>35</v>
      </c>
      <c r="BQ73" s="8" t="s">
        <v>31</v>
      </c>
      <c r="BR73" s="8" t="s">
        <v>36</v>
      </c>
      <c r="BS73" s="10">
        <v>6911380120448550</v>
      </c>
      <c r="BT73" s="8" t="s">
        <v>41</v>
      </c>
      <c r="BU73" s="8" t="s">
        <v>27</v>
      </c>
      <c r="BV73" s="8" t="s">
        <v>27</v>
      </c>
      <c r="BW73" s="8" t="s">
        <v>27</v>
      </c>
      <c r="BX73" s="8" t="s">
        <v>27</v>
      </c>
      <c r="BY73" s="8" t="s">
        <v>27</v>
      </c>
      <c r="BZ73" s="8" t="s">
        <v>27</v>
      </c>
      <c r="CA73" s="8" t="s">
        <v>27</v>
      </c>
      <c r="CB73" s="8" t="s">
        <v>42</v>
      </c>
      <c r="CC73" s="8" t="s">
        <v>42</v>
      </c>
      <c r="CD73" s="8" t="s">
        <v>42</v>
      </c>
      <c r="CE73" s="8" t="s">
        <v>27</v>
      </c>
      <c r="CF73" s="8" t="s">
        <v>82</v>
      </c>
      <c r="CG73" s="8" t="s">
        <v>39</v>
      </c>
    </row>
    <row r="74" spans="1:85" ht="15.75" customHeight="1" x14ac:dyDescent="0.35">
      <c r="A74" s="8">
        <v>67</v>
      </c>
      <c r="B74" s="8" t="s">
        <v>155</v>
      </c>
      <c r="C74" s="9">
        <v>6.3900000000000003E-4</v>
      </c>
      <c r="D74" s="9">
        <v>6.7000000000000002E-4</v>
      </c>
      <c r="E74" s="9">
        <v>2.6999999999999999E-5</v>
      </c>
      <c r="F74" s="9">
        <v>1.5E-5</v>
      </c>
      <c r="G74" s="9">
        <v>6.9999999999999999E-6</v>
      </c>
      <c r="H74" s="9">
        <v>5.4199999999999995E-4</v>
      </c>
      <c r="I74" s="9">
        <v>1.13E-4</v>
      </c>
      <c r="J74" s="9">
        <v>1.5899999999999999E-4</v>
      </c>
      <c r="K74" s="9">
        <v>1.5300000000000001E-4</v>
      </c>
      <c r="L74" s="9">
        <v>1.0900000000000001E-4</v>
      </c>
      <c r="M74" s="9">
        <v>1.16E-4</v>
      </c>
      <c r="N74" s="10">
        <v>59072657</v>
      </c>
      <c r="O74" s="10">
        <v>61884600</v>
      </c>
      <c r="P74" s="10">
        <v>2478800</v>
      </c>
      <c r="Q74" s="10">
        <v>1417800</v>
      </c>
      <c r="R74" s="10">
        <v>659000</v>
      </c>
      <c r="S74" s="10">
        <v>50054008</v>
      </c>
      <c r="T74" s="10">
        <v>10436208</v>
      </c>
      <c r="U74" s="10">
        <v>14679904</v>
      </c>
      <c r="V74" s="10">
        <v>14137104</v>
      </c>
      <c r="W74" s="10">
        <v>10065608</v>
      </c>
      <c r="X74" s="10">
        <v>10748408</v>
      </c>
      <c r="Y74" s="12">
        <v>-2811943</v>
      </c>
      <c r="Z74" s="13">
        <v>59405800</v>
      </c>
      <c r="AA74" s="13">
        <v>1061000</v>
      </c>
      <c r="AB74" s="13">
        <v>758800</v>
      </c>
      <c r="AC74" s="12">
        <v>-49395008</v>
      </c>
      <c r="AD74" s="13">
        <v>39617800</v>
      </c>
      <c r="AE74" s="12">
        <v>-4243696</v>
      </c>
      <c r="AF74" s="13">
        <v>542800</v>
      </c>
      <c r="AG74" s="13">
        <v>4071496</v>
      </c>
      <c r="AH74" s="12">
        <v>-682800</v>
      </c>
      <c r="AI74" s="12">
        <v>-1247600</v>
      </c>
      <c r="AJ74" s="10">
        <v>259841707392.39999</v>
      </c>
      <c r="AK74" s="10">
        <v>351867471495</v>
      </c>
      <c r="AL74" s="10">
        <v>14996739971.200001</v>
      </c>
      <c r="AM74" s="10">
        <v>7035832474.5500002</v>
      </c>
      <c r="AN74" s="10">
        <v>2312303467.5</v>
      </c>
      <c r="AO74" s="10">
        <v>158295800145.60001</v>
      </c>
      <c r="AP74" s="10">
        <v>39933864986.800003</v>
      </c>
      <c r="AQ74" s="10">
        <v>53462700031.25</v>
      </c>
      <c r="AR74" s="10">
        <v>56548416042.599998</v>
      </c>
      <c r="AS74" s="10">
        <v>29127353159.400002</v>
      </c>
      <c r="AT74" s="10">
        <v>24864712221.900002</v>
      </c>
      <c r="AU74" s="14">
        <v>45930</v>
      </c>
      <c r="AV74" s="14">
        <v>45657</v>
      </c>
      <c r="AW74" s="14">
        <v>45291</v>
      </c>
      <c r="AX74" s="14">
        <v>44926</v>
      </c>
      <c r="AY74" s="14">
        <v>44561</v>
      </c>
      <c r="AZ74" s="14">
        <v>44196</v>
      </c>
      <c r="BA74" s="14">
        <v>43830</v>
      </c>
      <c r="BB74" s="14">
        <v>43465</v>
      </c>
      <c r="BC74" s="14">
        <v>43100</v>
      </c>
      <c r="BD74" s="14">
        <v>42735</v>
      </c>
      <c r="BE74" s="14">
        <v>42369</v>
      </c>
      <c r="BF74" s="8" t="s">
        <v>35</v>
      </c>
      <c r="BG74" s="8" t="s">
        <v>35</v>
      </c>
      <c r="BH74" s="8" t="s">
        <v>35</v>
      </c>
      <c r="BI74" s="8" t="s">
        <v>35</v>
      </c>
      <c r="BJ74" s="8" t="s">
        <v>35</v>
      </c>
      <c r="BK74" s="8" t="s">
        <v>35</v>
      </c>
      <c r="BL74" s="8" t="s">
        <v>35</v>
      </c>
      <c r="BM74" s="8" t="s">
        <v>35</v>
      </c>
      <c r="BN74" s="8" t="s">
        <v>35</v>
      </c>
      <c r="BO74" s="8" t="s">
        <v>35</v>
      </c>
      <c r="BP74" s="8" t="s">
        <v>35</v>
      </c>
      <c r="BQ74" s="8" t="s">
        <v>31</v>
      </c>
      <c r="BR74" s="8" t="s">
        <v>49</v>
      </c>
      <c r="BS74" s="10">
        <v>4787400867150690</v>
      </c>
      <c r="BT74" s="8" t="s">
        <v>57</v>
      </c>
      <c r="BU74" s="8" t="s">
        <v>27</v>
      </c>
      <c r="BV74" s="8" t="s">
        <v>27</v>
      </c>
      <c r="BW74" s="8" t="s">
        <v>27</v>
      </c>
      <c r="BX74" s="8" t="s">
        <v>27</v>
      </c>
      <c r="BY74" s="8" t="s">
        <v>27</v>
      </c>
      <c r="BZ74" s="8" t="s">
        <v>27</v>
      </c>
      <c r="CA74" s="8" t="s">
        <v>27</v>
      </c>
      <c r="CB74" s="8" t="s">
        <v>27</v>
      </c>
      <c r="CC74" s="8" t="s">
        <v>27</v>
      </c>
      <c r="CD74" s="8" t="s">
        <v>27</v>
      </c>
      <c r="CE74" s="8" t="s">
        <v>27</v>
      </c>
      <c r="CF74" s="8" t="s">
        <v>85</v>
      </c>
      <c r="CG74" s="8" t="s">
        <v>39</v>
      </c>
    </row>
    <row r="75" spans="1:85" ht="15.75" customHeight="1" x14ac:dyDescent="0.35">
      <c r="A75" s="8">
        <v>68</v>
      </c>
      <c r="B75" s="8" t="s">
        <v>156</v>
      </c>
      <c r="C75" s="9">
        <v>6.0999999999999997E-4</v>
      </c>
      <c r="D75" s="9">
        <v>1.1429999999999999E-3</v>
      </c>
      <c r="E75" s="9">
        <v>1.92E-4</v>
      </c>
      <c r="F75" s="9">
        <v>1.1E-5</v>
      </c>
      <c r="G75" s="9">
        <v>3.9999999999999998E-6</v>
      </c>
      <c r="H75" s="9">
        <v>1.5999999999999999E-5</v>
      </c>
      <c r="I75" s="9">
        <v>2.3E-5</v>
      </c>
      <c r="J75" s="9">
        <v>1.9000000000000001E-5</v>
      </c>
      <c r="K75" s="9">
        <v>1.9000000000000001E-5</v>
      </c>
      <c r="L75" s="9">
        <v>1.9000000000000001E-5</v>
      </c>
      <c r="M75" s="9">
        <v>1.1900000000000001E-4</v>
      </c>
      <c r="N75" s="10">
        <v>56370500</v>
      </c>
      <c r="O75" s="10">
        <v>105654500</v>
      </c>
      <c r="P75" s="10">
        <v>17785600</v>
      </c>
      <c r="Q75" s="10">
        <v>981000</v>
      </c>
      <c r="R75" s="10">
        <v>326000</v>
      </c>
      <c r="S75" s="10">
        <v>1482600</v>
      </c>
      <c r="T75" s="10">
        <v>2155200</v>
      </c>
      <c r="U75" s="10">
        <v>1777200</v>
      </c>
      <c r="V75" s="10">
        <v>1777200</v>
      </c>
      <c r="W75" s="10">
        <v>1777200</v>
      </c>
      <c r="X75" s="10">
        <v>11025600</v>
      </c>
      <c r="Y75" s="12">
        <v>-49284000</v>
      </c>
      <c r="Z75" s="13">
        <v>87868900</v>
      </c>
      <c r="AA75" s="13">
        <v>16804600</v>
      </c>
      <c r="AB75" s="13">
        <v>655000</v>
      </c>
      <c r="AC75" s="12">
        <v>-1156600</v>
      </c>
      <c r="AD75" s="12">
        <v>-672600</v>
      </c>
      <c r="AE75" s="13">
        <v>378000</v>
      </c>
      <c r="AF75" s="11">
        <v>0</v>
      </c>
      <c r="AG75" s="11">
        <v>0</v>
      </c>
      <c r="AH75" s="12">
        <v>-9248400</v>
      </c>
      <c r="AI75" s="12">
        <v>-2253600</v>
      </c>
      <c r="AJ75" s="10">
        <v>247955783831</v>
      </c>
      <c r="AK75" s="10">
        <v>600737207169.90002</v>
      </c>
      <c r="AL75" s="10">
        <v>107602879873.5</v>
      </c>
      <c r="AM75" s="10">
        <v>4868212440.3000002</v>
      </c>
      <c r="AN75" s="10">
        <v>1143870870</v>
      </c>
      <c r="AO75" s="10">
        <v>4688722443.6000004</v>
      </c>
      <c r="AP75" s="10">
        <v>8246813936.8000002</v>
      </c>
      <c r="AQ75" s="10">
        <v>5975834975</v>
      </c>
      <c r="AR75" s="10">
        <v>7108799970.75</v>
      </c>
      <c r="AS75" s="10">
        <v>5142772453.8000002</v>
      </c>
      <c r="AT75" s="10">
        <v>25505951410.349998</v>
      </c>
      <c r="AU75" s="14">
        <v>45930</v>
      </c>
      <c r="AV75" s="14">
        <v>45657</v>
      </c>
      <c r="AW75" s="14">
        <v>45291</v>
      </c>
      <c r="AX75" s="14">
        <v>44926</v>
      </c>
      <c r="AY75" s="14">
        <v>44561</v>
      </c>
      <c r="AZ75" s="14">
        <v>44196</v>
      </c>
      <c r="BA75" s="14">
        <v>43830</v>
      </c>
      <c r="BB75" s="14">
        <v>43373</v>
      </c>
      <c r="BC75" s="14">
        <v>43100</v>
      </c>
      <c r="BD75" s="14">
        <v>42735</v>
      </c>
      <c r="BE75" s="14">
        <v>42369</v>
      </c>
      <c r="BF75" s="8" t="s">
        <v>35</v>
      </c>
      <c r="BG75" s="8" t="s">
        <v>35</v>
      </c>
      <c r="BH75" s="8" t="s">
        <v>35</v>
      </c>
      <c r="BI75" s="8" t="s">
        <v>35</v>
      </c>
      <c r="BJ75" s="8" t="s">
        <v>35</v>
      </c>
      <c r="BK75" s="8" t="s">
        <v>35</v>
      </c>
      <c r="BL75" s="8" t="s">
        <v>35</v>
      </c>
      <c r="BM75" s="8" t="s">
        <v>35</v>
      </c>
      <c r="BN75" s="8" t="s">
        <v>35</v>
      </c>
      <c r="BO75" s="8" t="s">
        <v>35</v>
      </c>
      <c r="BP75" s="8" t="s">
        <v>35</v>
      </c>
      <c r="BQ75" s="8" t="s">
        <v>31</v>
      </c>
      <c r="BR75" s="8" t="s">
        <v>49</v>
      </c>
      <c r="BS75" s="10">
        <v>2699299807876530</v>
      </c>
      <c r="BT75" s="8" t="s">
        <v>41</v>
      </c>
      <c r="BU75" s="8" t="s">
        <v>27</v>
      </c>
      <c r="BV75" s="8" t="s">
        <v>42</v>
      </c>
      <c r="BW75" s="8" t="s">
        <v>43</v>
      </c>
      <c r="BX75" s="8" t="s">
        <v>27</v>
      </c>
      <c r="BY75" s="8" t="s">
        <v>27</v>
      </c>
      <c r="BZ75" s="8" t="s">
        <v>42</v>
      </c>
      <c r="CA75" s="8" t="s">
        <v>43</v>
      </c>
      <c r="CB75" s="8" t="s">
        <v>42</v>
      </c>
      <c r="CC75" s="8" t="s">
        <v>42</v>
      </c>
      <c r="CD75" s="8" t="s">
        <v>42</v>
      </c>
      <c r="CE75" s="8" t="s">
        <v>42</v>
      </c>
      <c r="CF75" s="8" t="s">
        <v>50</v>
      </c>
      <c r="CG75" s="8" t="s">
        <v>51</v>
      </c>
    </row>
    <row r="76" spans="1:85" ht="15.75" customHeight="1" x14ac:dyDescent="0.35">
      <c r="A76" s="8">
        <v>69</v>
      </c>
      <c r="B76" s="8" t="s">
        <v>157</v>
      </c>
      <c r="C76" s="9">
        <v>5.2700000000000002E-4</v>
      </c>
      <c r="D76" s="9">
        <v>5.2700000000000002E-4</v>
      </c>
      <c r="E76" s="9">
        <v>4.84E-4</v>
      </c>
      <c r="F76" s="9">
        <v>5.3700000000000004E-4</v>
      </c>
      <c r="G76" s="9">
        <v>3.7399999999999998E-4</v>
      </c>
      <c r="H76" s="9">
        <v>5.1400000000000003E-4</v>
      </c>
      <c r="I76" s="9">
        <v>8.2700000000000004E-4</v>
      </c>
      <c r="J76" s="9">
        <v>1.09E-3</v>
      </c>
      <c r="K76" s="9">
        <v>7.7899999999999996E-4</v>
      </c>
      <c r="L76" s="9">
        <v>7.7899999999999996E-4</v>
      </c>
      <c r="M76" s="9">
        <v>3.0000000000000001E-5</v>
      </c>
      <c r="N76" s="10">
        <v>48651546</v>
      </c>
      <c r="O76" s="10">
        <v>48651546</v>
      </c>
      <c r="P76" s="10">
        <v>44695396</v>
      </c>
      <c r="Q76" s="10">
        <v>49647096</v>
      </c>
      <c r="R76" s="10">
        <v>34525508</v>
      </c>
      <c r="S76" s="10">
        <v>47519588</v>
      </c>
      <c r="T76" s="10">
        <v>76407142</v>
      </c>
      <c r="U76" s="10">
        <v>100748392</v>
      </c>
      <c r="V76" s="10">
        <v>72014008</v>
      </c>
      <c r="W76" s="10">
        <v>72014008</v>
      </c>
      <c r="X76" s="10">
        <v>2746008</v>
      </c>
      <c r="Y76" s="11">
        <v>0</v>
      </c>
      <c r="Z76" s="13">
        <v>3956150</v>
      </c>
      <c r="AA76" s="12">
        <v>-4951700</v>
      </c>
      <c r="AB76" s="13">
        <v>15121588</v>
      </c>
      <c r="AC76" s="12">
        <v>-12994080</v>
      </c>
      <c r="AD76" s="12">
        <v>-28887554</v>
      </c>
      <c r="AE76" s="12">
        <v>-24341250</v>
      </c>
      <c r="AF76" s="13">
        <v>28734384</v>
      </c>
      <c r="AG76" s="11">
        <v>0</v>
      </c>
      <c r="AH76" s="13">
        <v>69268000</v>
      </c>
      <c r="AI76" s="12">
        <v>-28547888</v>
      </c>
      <c r="AJ76" s="10">
        <v>276626115032</v>
      </c>
      <c r="AK76" s="10">
        <v>276626115032</v>
      </c>
      <c r="AL76" s="10">
        <v>270407145548.25</v>
      </c>
      <c r="AM76" s="10">
        <v>246373714099.14999</v>
      </c>
      <c r="AN76" s="10">
        <v>121143327637.5</v>
      </c>
      <c r="AO76" s="10">
        <v>150280696893.60001</v>
      </c>
      <c r="AP76" s="10">
        <v>292369843330</v>
      </c>
      <c r="AQ76" s="10">
        <v>366915278168.75</v>
      </c>
      <c r="AR76" s="10">
        <v>208390535764.5</v>
      </c>
      <c r="AS76" s="10">
        <v>208390535764.5</v>
      </c>
      <c r="AT76" s="10">
        <v>6352447674.1499996</v>
      </c>
      <c r="AU76" s="14">
        <v>45657</v>
      </c>
      <c r="AV76" s="14">
        <v>45657</v>
      </c>
      <c r="AW76" s="14">
        <v>45291</v>
      </c>
      <c r="AX76" s="14">
        <v>44926</v>
      </c>
      <c r="AY76" s="14">
        <v>44561</v>
      </c>
      <c r="AZ76" s="14">
        <v>44196</v>
      </c>
      <c r="BA76" s="14">
        <v>43830</v>
      </c>
      <c r="BB76" s="14">
        <v>43465</v>
      </c>
      <c r="BC76" s="14">
        <v>42735</v>
      </c>
      <c r="BD76" s="14">
        <v>42735</v>
      </c>
      <c r="BE76" s="14">
        <v>42369</v>
      </c>
      <c r="BF76" s="8" t="s">
        <v>35</v>
      </c>
      <c r="BG76" s="8" t="s">
        <v>35</v>
      </c>
      <c r="BH76" s="8" t="s">
        <v>35</v>
      </c>
      <c r="BI76" s="8" t="s">
        <v>35</v>
      </c>
      <c r="BJ76" s="8" t="s">
        <v>35</v>
      </c>
      <c r="BK76" s="8" t="s">
        <v>35</v>
      </c>
      <c r="BL76" s="8" t="s">
        <v>35</v>
      </c>
      <c r="BM76" s="8" t="s">
        <v>35</v>
      </c>
      <c r="BN76" s="8" t="s">
        <v>35</v>
      </c>
      <c r="BO76" s="8" t="s">
        <v>35</v>
      </c>
      <c r="BP76" s="8" t="s">
        <v>35</v>
      </c>
      <c r="BQ76" s="8" t="s">
        <v>31</v>
      </c>
      <c r="BR76" s="8" t="s">
        <v>53</v>
      </c>
      <c r="BS76" s="10">
        <v>1537312059556400</v>
      </c>
      <c r="BT76" s="8" t="s">
        <v>57</v>
      </c>
      <c r="BU76" s="8" t="s">
        <v>42</v>
      </c>
      <c r="BV76" s="8" t="s">
        <v>27</v>
      </c>
      <c r="BW76" s="8" t="s">
        <v>27</v>
      </c>
      <c r="BX76" s="8" t="s">
        <v>27</v>
      </c>
      <c r="BY76" s="8" t="s">
        <v>42</v>
      </c>
      <c r="BZ76" s="8" t="s">
        <v>27</v>
      </c>
      <c r="CA76" s="8" t="s">
        <v>27</v>
      </c>
      <c r="CB76" s="8" t="s">
        <v>42</v>
      </c>
      <c r="CC76" s="8" t="s">
        <v>27</v>
      </c>
      <c r="CD76" s="8" t="s">
        <v>27</v>
      </c>
      <c r="CE76" s="8" t="s">
        <v>27</v>
      </c>
      <c r="CF76" s="8" t="s">
        <v>158</v>
      </c>
      <c r="CG76" s="8" t="s">
        <v>115</v>
      </c>
    </row>
    <row r="77" spans="1:85" ht="15.75" customHeight="1" x14ac:dyDescent="0.35">
      <c r="A77" s="8">
        <v>70</v>
      </c>
      <c r="B77" s="8" t="s">
        <v>159</v>
      </c>
      <c r="C77" s="9">
        <v>5.2400000000000005E-4</v>
      </c>
      <c r="D77" s="9">
        <v>2.5999999999999998E-4</v>
      </c>
      <c r="E77" s="9">
        <v>5.8200000000000005E-4</v>
      </c>
      <c r="F77" s="9">
        <v>5.5199999999999997E-4</v>
      </c>
      <c r="G77" s="9">
        <v>4.1399999999999998E-4</v>
      </c>
      <c r="H77" s="9">
        <v>1.46E-4</v>
      </c>
      <c r="I77" s="9">
        <v>2.4000000000000001E-4</v>
      </c>
      <c r="J77" s="9">
        <v>1.44E-4</v>
      </c>
      <c r="K77" s="9">
        <v>1.9100000000000001E-4</v>
      </c>
      <c r="L77" s="9">
        <v>1.8100000000000001E-4</v>
      </c>
      <c r="M77" s="9">
        <v>1.6799999999999999E-4</v>
      </c>
      <c r="N77" s="10">
        <v>48373038</v>
      </c>
      <c r="O77" s="10">
        <v>24046800</v>
      </c>
      <c r="P77" s="10">
        <v>53737100</v>
      </c>
      <c r="Q77" s="10">
        <v>50994600</v>
      </c>
      <c r="R77" s="10">
        <v>38243400</v>
      </c>
      <c r="S77" s="10">
        <v>13480600</v>
      </c>
      <c r="T77" s="10">
        <v>22150500</v>
      </c>
      <c r="U77" s="10">
        <v>13292748</v>
      </c>
      <c r="V77" s="10">
        <v>17629790</v>
      </c>
      <c r="W77" s="10">
        <v>16759320</v>
      </c>
      <c r="X77" s="10">
        <v>15525720</v>
      </c>
      <c r="Y77" s="13">
        <v>24326238</v>
      </c>
      <c r="Z77" s="12">
        <v>-29690300</v>
      </c>
      <c r="AA77" s="13">
        <v>2742500</v>
      </c>
      <c r="AB77" s="13">
        <v>12751200</v>
      </c>
      <c r="AC77" s="13">
        <v>24762800</v>
      </c>
      <c r="AD77" s="12">
        <v>-8669900</v>
      </c>
      <c r="AE77" s="13">
        <v>8857752</v>
      </c>
      <c r="AF77" s="12">
        <v>-4337042</v>
      </c>
      <c r="AG77" s="13">
        <v>870470</v>
      </c>
      <c r="AH77" s="13">
        <v>1233600</v>
      </c>
      <c r="AI77" s="11">
        <v>0</v>
      </c>
      <c r="AJ77" s="10">
        <v>212777508771.79999</v>
      </c>
      <c r="AK77" s="10">
        <v>136726854793.39999</v>
      </c>
      <c r="AL77" s="10">
        <v>325109454700</v>
      </c>
      <c r="AM77" s="10">
        <v>253060702704.14999</v>
      </c>
      <c r="AN77" s="10">
        <v>134188691205</v>
      </c>
      <c r="AO77" s="10">
        <v>42632397522</v>
      </c>
      <c r="AP77" s="10">
        <v>84758283570.399994</v>
      </c>
      <c r="AQ77" s="10">
        <v>48410820612.5</v>
      </c>
      <c r="AR77" s="10">
        <v>70519159978.449997</v>
      </c>
      <c r="AS77" s="10">
        <v>43155248979.150002</v>
      </c>
      <c r="AT77" s="10">
        <v>35916254796.300003</v>
      </c>
      <c r="AU77" s="14">
        <v>45930</v>
      </c>
      <c r="AV77" s="14">
        <v>45657</v>
      </c>
      <c r="AW77" s="14">
        <v>45291</v>
      </c>
      <c r="AX77" s="14">
        <v>44926</v>
      </c>
      <c r="AY77" s="14">
        <v>44561</v>
      </c>
      <c r="AZ77" s="14">
        <v>44196</v>
      </c>
      <c r="BA77" s="14">
        <v>43830</v>
      </c>
      <c r="BB77" s="14">
        <v>43465</v>
      </c>
      <c r="BC77" s="14">
        <v>43100</v>
      </c>
      <c r="BD77" s="14">
        <v>42460</v>
      </c>
      <c r="BE77" s="14">
        <v>42369</v>
      </c>
      <c r="BF77" s="8" t="s">
        <v>35</v>
      </c>
      <c r="BG77" s="8" t="s">
        <v>35</v>
      </c>
      <c r="BH77" s="8" t="s">
        <v>35</v>
      </c>
      <c r="BI77" s="8" t="s">
        <v>35</v>
      </c>
      <c r="BJ77" s="8" t="s">
        <v>35</v>
      </c>
      <c r="BK77" s="8" t="s">
        <v>35</v>
      </c>
      <c r="BL77" s="8" t="s">
        <v>35</v>
      </c>
      <c r="BM77" s="8" t="s">
        <v>35</v>
      </c>
      <c r="BN77" s="8" t="s">
        <v>35</v>
      </c>
      <c r="BO77" s="8" t="s">
        <v>35</v>
      </c>
      <c r="BP77" s="8" t="s">
        <v>35</v>
      </c>
      <c r="BQ77" s="8" t="s">
        <v>31</v>
      </c>
      <c r="BR77" s="8" t="s">
        <v>160</v>
      </c>
      <c r="BS77" s="10">
        <v>2402558426065920</v>
      </c>
      <c r="BT77" s="8" t="s">
        <v>37</v>
      </c>
      <c r="BU77" s="8" t="s">
        <v>27</v>
      </c>
      <c r="BV77" s="8" t="s">
        <v>27</v>
      </c>
      <c r="BW77" s="8" t="s">
        <v>27</v>
      </c>
      <c r="BX77" s="8" t="s">
        <v>27</v>
      </c>
      <c r="BY77" s="8" t="s">
        <v>27</v>
      </c>
      <c r="BZ77" s="8" t="s">
        <v>27</v>
      </c>
      <c r="CA77" s="8" t="s">
        <v>27</v>
      </c>
      <c r="CB77" s="8" t="s">
        <v>27</v>
      </c>
      <c r="CC77" s="8" t="s">
        <v>42</v>
      </c>
      <c r="CD77" s="8" t="s">
        <v>27</v>
      </c>
      <c r="CE77" s="8" t="s">
        <v>42</v>
      </c>
      <c r="CF77" s="8" t="s">
        <v>98</v>
      </c>
      <c r="CG77" s="8" t="s">
        <v>99</v>
      </c>
    </row>
    <row r="78" spans="1:85" ht="15.75" customHeight="1" x14ac:dyDescent="0.35">
      <c r="A78" s="8">
        <v>71</v>
      </c>
      <c r="B78" s="8" t="s">
        <v>161</v>
      </c>
      <c r="C78" s="9">
        <v>5.1000000000000004E-4</v>
      </c>
      <c r="D78" s="9">
        <v>5.3700000000000004E-4</v>
      </c>
      <c r="E78" s="9">
        <v>1.091E-3</v>
      </c>
      <c r="F78" s="9">
        <v>1.3439999999999999E-3</v>
      </c>
      <c r="G78" s="9">
        <v>2.7100000000000002E-3</v>
      </c>
      <c r="H78" s="9">
        <v>3.568E-3</v>
      </c>
      <c r="I78" s="9">
        <v>2.5630000000000002E-3</v>
      </c>
      <c r="J78" s="9">
        <v>1.382E-3</v>
      </c>
      <c r="K78" s="9">
        <v>9.3199999999999999E-4</v>
      </c>
      <c r="L78" s="9">
        <v>7.9100000000000004E-4</v>
      </c>
      <c r="M78" s="8"/>
      <c r="N78" s="10">
        <v>47139364</v>
      </c>
      <c r="O78" s="10">
        <v>49581264</v>
      </c>
      <c r="P78" s="10">
        <v>100773964</v>
      </c>
      <c r="Q78" s="10">
        <v>124162064</v>
      </c>
      <c r="R78" s="10">
        <v>250429864</v>
      </c>
      <c r="S78" s="10">
        <v>329641464</v>
      </c>
      <c r="T78" s="10">
        <v>236844664</v>
      </c>
      <c r="U78" s="10">
        <v>127680400</v>
      </c>
      <c r="V78" s="10">
        <v>86071200</v>
      </c>
      <c r="W78" s="10">
        <v>73110000</v>
      </c>
      <c r="X78" s="8"/>
      <c r="Y78" s="12">
        <v>-2441900</v>
      </c>
      <c r="Z78" s="12">
        <v>-51192700</v>
      </c>
      <c r="AA78" s="12">
        <v>-23388100</v>
      </c>
      <c r="AB78" s="12">
        <v>-126267800</v>
      </c>
      <c r="AC78" s="12">
        <v>-79211600</v>
      </c>
      <c r="AD78" s="13">
        <v>92796800</v>
      </c>
      <c r="AE78" s="13">
        <v>109164264</v>
      </c>
      <c r="AF78" s="13">
        <v>41609200</v>
      </c>
      <c r="AG78" s="13">
        <v>12961200</v>
      </c>
      <c r="AH78" s="13">
        <v>73110000</v>
      </c>
      <c r="AI78" s="8"/>
      <c r="AJ78" s="10">
        <v>207350971755.20001</v>
      </c>
      <c r="AK78" s="10">
        <v>281912365948.70001</v>
      </c>
      <c r="AL78" s="10">
        <v>609682481768.30005</v>
      </c>
      <c r="AM78" s="10">
        <v>616154243057.09998</v>
      </c>
      <c r="AN78" s="10">
        <v>878709939592.5</v>
      </c>
      <c r="AO78" s="10">
        <v>1042491128796</v>
      </c>
      <c r="AP78" s="10">
        <v>906279641940.40002</v>
      </c>
      <c r="AQ78" s="10">
        <v>464998880375</v>
      </c>
      <c r="AR78" s="10">
        <v>344284800033.04999</v>
      </c>
      <c r="AS78" s="10">
        <v>211562062620.29999</v>
      </c>
      <c r="AT78" s="8"/>
      <c r="AU78" s="14">
        <v>45930</v>
      </c>
      <c r="AV78" s="14">
        <v>45657</v>
      </c>
      <c r="AW78" s="14">
        <v>45291</v>
      </c>
      <c r="AX78" s="14">
        <v>44926</v>
      </c>
      <c r="AY78" s="14">
        <v>44561</v>
      </c>
      <c r="AZ78" s="14">
        <v>44196</v>
      </c>
      <c r="BA78" s="14">
        <v>43830</v>
      </c>
      <c r="BB78" s="14">
        <v>43465</v>
      </c>
      <c r="BC78" s="14">
        <v>43100</v>
      </c>
      <c r="BD78" s="14">
        <v>42735</v>
      </c>
      <c r="BE78" s="8"/>
      <c r="BF78" s="8" t="s">
        <v>35</v>
      </c>
      <c r="BG78" s="8" t="s">
        <v>35</v>
      </c>
      <c r="BH78" s="8" t="s">
        <v>35</v>
      </c>
      <c r="BI78" s="8" t="s">
        <v>35</v>
      </c>
      <c r="BJ78" s="8" t="s">
        <v>35</v>
      </c>
      <c r="BK78" s="8" t="s">
        <v>35</v>
      </c>
      <c r="BL78" s="8" t="s">
        <v>35</v>
      </c>
      <c r="BM78" s="8" t="s">
        <v>35</v>
      </c>
      <c r="BN78" s="8" t="s">
        <v>35</v>
      </c>
      <c r="BO78" s="8" t="s">
        <v>35</v>
      </c>
      <c r="BP78" s="8"/>
      <c r="BQ78" s="8" t="s">
        <v>31</v>
      </c>
      <c r="BR78" s="8" t="s">
        <v>36</v>
      </c>
      <c r="BS78" s="10">
        <v>5734534728196230</v>
      </c>
      <c r="BT78" s="8" t="s">
        <v>61</v>
      </c>
      <c r="BU78" s="8" t="s">
        <v>27</v>
      </c>
      <c r="BV78" s="8" t="s">
        <v>27</v>
      </c>
      <c r="BW78" s="8" t="s">
        <v>27</v>
      </c>
      <c r="BX78" s="8" t="s">
        <v>27</v>
      </c>
      <c r="BY78" s="8" t="s">
        <v>27</v>
      </c>
      <c r="BZ78" s="8" t="s">
        <v>27</v>
      </c>
      <c r="CA78" s="8" t="s">
        <v>27</v>
      </c>
      <c r="CB78" s="8" t="s">
        <v>27</v>
      </c>
      <c r="CC78" s="8" t="s">
        <v>27</v>
      </c>
      <c r="CD78" s="8" t="s">
        <v>27</v>
      </c>
      <c r="CE78" s="8"/>
      <c r="CF78" s="8" t="s">
        <v>98</v>
      </c>
      <c r="CG78" s="8" t="s">
        <v>99</v>
      </c>
    </row>
    <row r="79" spans="1:85" ht="15.75" customHeight="1" x14ac:dyDescent="0.35">
      <c r="A79" s="8">
        <v>72</v>
      </c>
      <c r="B79" s="8" t="s">
        <v>162</v>
      </c>
      <c r="C79" s="9">
        <v>4.6299999999999998E-4</v>
      </c>
      <c r="D79" s="9">
        <v>4.95E-4</v>
      </c>
      <c r="E79" s="9">
        <v>4.3800000000000002E-4</v>
      </c>
      <c r="F79" s="9">
        <v>4.66E-4</v>
      </c>
      <c r="G79" s="9">
        <v>5.4699999999999996E-4</v>
      </c>
      <c r="H79" s="9">
        <v>7.3200000000000001E-4</v>
      </c>
      <c r="I79" s="9">
        <v>8.9400000000000005E-4</v>
      </c>
      <c r="J79" s="9">
        <v>8.1300000000000003E-4</v>
      </c>
      <c r="K79" s="9">
        <v>8.7799999999999998E-4</v>
      </c>
      <c r="L79" s="9">
        <v>2.068E-3</v>
      </c>
      <c r="M79" s="9">
        <v>1.358E-3</v>
      </c>
      <c r="N79" s="10">
        <v>42735032</v>
      </c>
      <c r="O79" s="10">
        <v>45704848</v>
      </c>
      <c r="P79" s="10">
        <v>40441391</v>
      </c>
      <c r="Q79" s="10">
        <v>43099640</v>
      </c>
      <c r="R79" s="10">
        <v>50500398</v>
      </c>
      <c r="S79" s="10">
        <v>67615894</v>
      </c>
      <c r="T79" s="10">
        <v>82620400</v>
      </c>
      <c r="U79" s="10">
        <v>75080584</v>
      </c>
      <c r="V79" s="10">
        <v>81091454</v>
      </c>
      <c r="W79" s="10">
        <v>191054876</v>
      </c>
      <c r="X79" s="10">
        <v>125489468</v>
      </c>
      <c r="Y79" s="12">
        <v>-2969816</v>
      </c>
      <c r="Z79" s="13">
        <v>5263457</v>
      </c>
      <c r="AA79" s="12">
        <v>-2658249</v>
      </c>
      <c r="AB79" s="12">
        <v>-7400758</v>
      </c>
      <c r="AC79" s="12">
        <v>-17115496</v>
      </c>
      <c r="AD79" s="12">
        <v>-15004506</v>
      </c>
      <c r="AE79" s="13">
        <v>7539816</v>
      </c>
      <c r="AF79" s="12">
        <v>-6010870</v>
      </c>
      <c r="AG79" s="12">
        <v>-109963422</v>
      </c>
      <c r="AH79" s="13">
        <v>65565408</v>
      </c>
      <c r="AI79" s="13">
        <v>17679240</v>
      </c>
      <c r="AJ79" s="10">
        <v>221954024811.75</v>
      </c>
      <c r="AK79" s="10">
        <v>259871588378</v>
      </c>
      <c r="AL79" s="10">
        <v>231526963741.5</v>
      </c>
      <c r="AM79" s="10">
        <v>170782323311.70001</v>
      </c>
      <c r="AN79" s="10">
        <v>177196125720</v>
      </c>
      <c r="AO79" s="10">
        <v>213835264578</v>
      </c>
      <c r="AP79" s="10">
        <v>316144705451.59998</v>
      </c>
      <c r="AQ79" s="10">
        <v>273435762200</v>
      </c>
      <c r="AR79" s="10">
        <v>324365816077</v>
      </c>
      <c r="AS79" s="10">
        <v>552865047756.59998</v>
      </c>
      <c r="AT79" s="10">
        <v>290299690467.29999</v>
      </c>
      <c r="AU79" s="14">
        <v>45747</v>
      </c>
      <c r="AV79" s="14">
        <v>45657</v>
      </c>
      <c r="AW79" s="14">
        <v>45138</v>
      </c>
      <c r="AX79" s="14">
        <v>44742</v>
      </c>
      <c r="AY79" s="14">
        <v>44561</v>
      </c>
      <c r="AZ79" s="14">
        <v>44196</v>
      </c>
      <c r="BA79" s="14">
        <v>43830</v>
      </c>
      <c r="BB79" s="14">
        <v>43465</v>
      </c>
      <c r="BC79" s="14">
        <v>43100</v>
      </c>
      <c r="BD79" s="14">
        <v>42735</v>
      </c>
      <c r="BE79" s="14">
        <v>42369</v>
      </c>
      <c r="BF79" s="8" t="s">
        <v>35</v>
      </c>
      <c r="BG79" s="8" t="s">
        <v>35</v>
      </c>
      <c r="BH79" s="8" t="s">
        <v>35</v>
      </c>
      <c r="BI79" s="8" t="s">
        <v>35</v>
      </c>
      <c r="BJ79" s="8" t="s">
        <v>35</v>
      </c>
      <c r="BK79" s="8" t="s">
        <v>35</v>
      </c>
      <c r="BL79" s="8" t="s">
        <v>35</v>
      </c>
      <c r="BM79" s="8" t="s">
        <v>35</v>
      </c>
      <c r="BN79" s="8" t="s">
        <v>35</v>
      </c>
      <c r="BO79" s="8" t="s">
        <v>35</v>
      </c>
      <c r="BP79" s="8" t="s">
        <v>35</v>
      </c>
      <c r="BQ79" s="8" t="s">
        <v>31</v>
      </c>
      <c r="BR79" s="8" t="s">
        <v>53</v>
      </c>
      <c r="BS79" s="10">
        <v>635502965854069</v>
      </c>
      <c r="BT79" s="8" t="s">
        <v>57</v>
      </c>
      <c r="BU79" s="8" t="s">
        <v>27</v>
      </c>
      <c r="BV79" s="8" t="s">
        <v>27</v>
      </c>
      <c r="BW79" s="8" t="s">
        <v>27</v>
      </c>
      <c r="BX79" s="8" t="s">
        <v>27</v>
      </c>
      <c r="BY79" s="8" t="s">
        <v>27</v>
      </c>
      <c r="BZ79" s="8" t="s">
        <v>27</v>
      </c>
      <c r="CA79" s="8" t="s">
        <v>27</v>
      </c>
      <c r="CB79" s="8" t="s">
        <v>27</v>
      </c>
      <c r="CC79" s="8" t="s">
        <v>27</v>
      </c>
      <c r="CD79" s="8" t="s">
        <v>27</v>
      </c>
      <c r="CE79" s="8" t="s">
        <v>27</v>
      </c>
      <c r="CF79" s="8" t="s">
        <v>163</v>
      </c>
      <c r="CG79" s="8" t="s">
        <v>55</v>
      </c>
    </row>
    <row r="80" spans="1:85" ht="15.75" customHeight="1" x14ac:dyDescent="0.35">
      <c r="A80" s="8">
        <v>73</v>
      </c>
      <c r="B80" s="8" t="s">
        <v>164</v>
      </c>
      <c r="C80" s="9">
        <v>4.4499999999999997E-4</v>
      </c>
      <c r="D80" s="9">
        <v>1.7899999999999999E-4</v>
      </c>
      <c r="E80" s="9">
        <v>3.48E-4</v>
      </c>
      <c r="F80" s="9">
        <v>1.2570000000000001E-3</v>
      </c>
      <c r="G80" s="9">
        <v>1.836E-3</v>
      </c>
      <c r="H80" s="9">
        <v>5.9699999999999998E-4</v>
      </c>
      <c r="I80" s="9">
        <v>1.289E-3</v>
      </c>
      <c r="J80" s="9">
        <v>7.5900000000000002E-4</v>
      </c>
      <c r="K80" s="9">
        <v>5.9400000000000002E-4</v>
      </c>
      <c r="L80" s="9">
        <v>3.8999999999999999E-5</v>
      </c>
      <c r="M80" s="9">
        <v>0</v>
      </c>
      <c r="N80" s="10">
        <v>41096330</v>
      </c>
      <c r="O80" s="10">
        <v>16499853</v>
      </c>
      <c r="P80" s="10">
        <v>32124610</v>
      </c>
      <c r="Q80" s="10">
        <v>116133496</v>
      </c>
      <c r="R80" s="10">
        <v>169639406</v>
      </c>
      <c r="S80" s="10">
        <v>55173298</v>
      </c>
      <c r="T80" s="10">
        <v>119072970</v>
      </c>
      <c r="U80" s="10">
        <v>70177440</v>
      </c>
      <c r="V80" s="10">
        <v>54850704</v>
      </c>
      <c r="W80" s="10">
        <v>3628000</v>
      </c>
      <c r="X80" s="10">
        <v>0</v>
      </c>
      <c r="Y80" s="13">
        <v>24596477</v>
      </c>
      <c r="Z80" s="12">
        <v>-15624757</v>
      </c>
      <c r="AA80" s="12">
        <v>-84008886</v>
      </c>
      <c r="AB80" s="12">
        <v>-53505910</v>
      </c>
      <c r="AC80" s="13">
        <v>114466108</v>
      </c>
      <c r="AD80" s="12">
        <v>-63899672</v>
      </c>
      <c r="AE80" s="13">
        <v>48895530</v>
      </c>
      <c r="AF80" s="13">
        <v>15326736</v>
      </c>
      <c r="AG80" s="13">
        <v>51222704</v>
      </c>
      <c r="AH80" s="13">
        <v>3628000</v>
      </c>
      <c r="AI80" s="11">
        <v>0</v>
      </c>
      <c r="AJ80" s="10">
        <v>180769599725.39999</v>
      </c>
      <c r="AK80" s="10">
        <v>93815934038</v>
      </c>
      <c r="AL80" s="10">
        <v>194353890383.25</v>
      </c>
      <c r="AM80" s="10">
        <v>576312474267.19995</v>
      </c>
      <c r="AN80" s="10">
        <v>595231853842.5</v>
      </c>
      <c r="AO80" s="10">
        <v>174485554682.39999</v>
      </c>
      <c r="AP80" s="10">
        <v>455629469560.79999</v>
      </c>
      <c r="AQ80" s="10">
        <v>255579016306.25</v>
      </c>
      <c r="AR80" s="10">
        <v>219402815998.10001</v>
      </c>
      <c r="AS80" s="10">
        <v>10498525004.4</v>
      </c>
      <c r="AT80" s="10">
        <v>0</v>
      </c>
      <c r="AU80" s="14">
        <v>45930</v>
      </c>
      <c r="AV80" s="14">
        <v>45657</v>
      </c>
      <c r="AW80" s="14">
        <v>45291</v>
      </c>
      <c r="AX80" s="14">
        <v>44926</v>
      </c>
      <c r="AY80" s="14">
        <v>44561</v>
      </c>
      <c r="AZ80" s="14">
        <v>44196</v>
      </c>
      <c r="BA80" s="14">
        <v>43830</v>
      </c>
      <c r="BB80" s="14">
        <v>43465</v>
      </c>
      <c r="BC80" s="14">
        <v>43100</v>
      </c>
      <c r="BD80" s="14">
        <v>42735</v>
      </c>
      <c r="BE80" s="14">
        <v>42185</v>
      </c>
      <c r="BF80" s="8" t="s">
        <v>35</v>
      </c>
      <c r="BG80" s="8" t="s">
        <v>35</v>
      </c>
      <c r="BH80" s="8" t="s">
        <v>35</v>
      </c>
      <c r="BI80" s="8" t="s">
        <v>35</v>
      </c>
      <c r="BJ80" s="8" t="s">
        <v>35</v>
      </c>
      <c r="BK80" s="8" t="s">
        <v>35</v>
      </c>
      <c r="BL80" s="8" t="s">
        <v>35</v>
      </c>
      <c r="BM80" s="8" t="s">
        <v>35</v>
      </c>
      <c r="BN80" s="8" t="s">
        <v>35</v>
      </c>
      <c r="BO80" s="8" t="s">
        <v>35</v>
      </c>
      <c r="BP80" s="8" t="s">
        <v>35</v>
      </c>
      <c r="BQ80" s="8" t="s">
        <v>31</v>
      </c>
      <c r="BR80" s="8" t="s">
        <v>49</v>
      </c>
      <c r="BS80" s="10">
        <v>1.10654360245057E+16</v>
      </c>
      <c r="BT80" s="8" t="s">
        <v>61</v>
      </c>
      <c r="BU80" s="8" t="s">
        <v>27</v>
      </c>
      <c r="BV80" s="8" t="s">
        <v>27</v>
      </c>
      <c r="BW80" s="8" t="s">
        <v>27</v>
      </c>
      <c r="BX80" s="8" t="s">
        <v>27</v>
      </c>
      <c r="BY80" s="8" t="s">
        <v>27</v>
      </c>
      <c r="BZ80" s="8" t="s">
        <v>27</v>
      </c>
      <c r="CA80" s="8" t="s">
        <v>27</v>
      </c>
      <c r="CB80" s="8" t="s">
        <v>27</v>
      </c>
      <c r="CC80" s="8" t="s">
        <v>27</v>
      </c>
      <c r="CD80" s="8" t="s">
        <v>27</v>
      </c>
      <c r="CE80" s="8" t="s">
        <v>27</v>
      </c>
      <c r="CF80" s="8" t="s">
        <v>85</v>
      </c>
      <c r="CG80" s="8" t="s">
        <v>39</v>
      </c>
    </row>
    <row r="81" spans="1:85" ht="15.75" customHeight="1" x14ac:dyDescent="0.35">
      <c r="A81" s="8">
        <v>74</v>
      </c>
      <c r="B81" s="8" t="s">
        <v>165</v>
      </c>
      <c r="C81" s="9">
        <v>4.2900000000000002E-4</v>
      </c>
      <c r="D81" s="9">
        <v>4.0400000000000001E-4</v>
      </c>
      <c r="E81" s="9">
        <v>4.9700000000000005E-4</v>
      </c>
      <c r="F81" s="9">
        <v>5.3300000000000005E-4</v>
      </c>
      <c r="G81" s="9">
        <v>5.4299999999999997E-4</v>
      </c>
      <c r="H81" s="9">
        <v>9.7199999999999999E-4</v>
      </c>
      <c r="I81" s="9">
        <v>8.4000000000000003E-4</v>
      </c>
      <c r="J81" s="9">
        <v>2.6800000000000001E-4</v>
      </c>
      <c r="K81" s="9">
        <v>1.13E-4</v>
      </c>
      <c r="L81" s="9">
        <v>1.9000000000000001E-5</v>
      </c>
      <c r="M81" s="9">
        <v>3.4E-5</v>
      </c>
      <c r="N81" s="10">
        <v>39604734</v>
      </c>
      <c r="O81" s="10">
        <v>37324800</v>
      </c>
      <c r="P81" s="10">
        <v>45941481</v>
      </c>
      <c r="Q81" s="10">
        <v>49242558</v>
      </c>
      <c r="R81" s="10">
        <v>50144400</v>
      </c>
      <c r="S81" s="10">
        <v>89770552</v>
      </c>
      <c r="T81" s="10">
        <v>77599752</v>
      </c>
      <c r="U81" s="10">
        <v>24789352</v>
      </c>
      <c r="V81" s="10">
        <v>10451552</v>
      </c>
      <c r="W81" s="10">
        <v>1774752</v>
      </c>
      <c r="X81" s="10">
        <v>3163200</v>
      </c>
      <c r="Y81" s="13">
        <v>2279934</v>
      </c>
      <c r="Z81" s="12">
        <v>-8616681</v>
      </c>
      <c r="AA81" s="12">
        <v>-3301077</v>
      </c>
      <c r="AB81" s="12">
        <v>-901842</v>
      </c>
      <c r="AC81" s="12">
        <v>-39626152</v>
      </c>
      <c r="AD81" s="13">
        <v>12170800</v>
      </c>
      <c r="AE81" s="13">
        <v>52810400</v>
      </c>
      <c r="AF81" s="13">
        <v>14337800</v>
      </c>
      <c r="AG81" s="13">
        <v>8676800</v>
      </c>
      <c r="AH81" s="12">
        <v>-1388448</v>
      </c>
      <c r="AI81" s="11">
        <v>0</v>
      </c>
      <c r="AJ81" s="10">
        <v>174208546363.60001</v>
      </c>
      <c r="AK81" s="10">
        <v>212223768082.79999</v>
      </c>
      <c r="AL81" s="10">
        <v>277945959892.29999</v>
      </c>
      <c r="AM81" s="10">
        <v>244366194254.04999</v>
      </c>
      <c r="AN81" s="10">
        <v>175946997652.5</v>
      </c>
      <c r="AO81" s="10">
        <v>283899370435.20001</v>
      </c>
      <c r="AP81" s="10">
        <v>296933332909.59998</v>
      </c>
      <c r="AQ81" s="10">
        <v>90280269587.5</v>
      </c>
      <c r="AR81" s="10">
        <v>41806208038.849998</v>
      </c>
      <c r="AS81" s="10">
        <v>5135688580.8000002</v>
      </c>
      <c r="AT81" s="10">
        <v>6267090061.6499996</v>
      </c>
      <c r="AU81" s="14">
        <v>45930</v>
      </c>
      <c r="AV81" s="14">
        <v>45657</v>
      </c>
      <c r="AW81" s="14">
        <v>45291</v>
      </c>
      <c r="AX81" s="14">
        <v>44926</v>
      </c>
      <c r="AY81" s="14">
        <v>44561</v>
      </c>
      <c r="AZ81" s="14">
        <v>44196</v>
      </c>
      <c r="BA81" s="14">
        <v>43830</v>
      </c>
      <c r="BB81" s="14">
        <v>43465</v>
      </c>
      <c r="BC81" s="14">
        <v>43100</v>
      </c>
      <c r="BD81" s="14">
        <v>42735</v>
      </c>
      <c r="BE81" s="14">
        <v>42277</v>
      </c>
      <c r="BF81" s="8" t="s">
        <v>35</v>
      </c>
      <c r="BG81" s="8" t="s">
        <v>35</v>
      </c>
      <c r="BH81" s="8" t="s">
        <v>35</v>
      </c>
      <c r="BI81" s="8" t="s">
        <v>35</v>
      </c>
      <c r="BJ81" s="8" t="s">
        <v>35</v>
      </c>
      <c r="BK81" s="8" t="s">
        <v>35</v>
      </c>
      <c r="BL81" s="8" t="s">
        <v>35</v>
      </c>
      <c r="BM81" s="8" t="s">
        <v>35</v>
      </c>
      <c r="BN81" s="8" t="s">
        <v>35</v>
      </c>
      <c r="BO81" s="8" t="s">
        <v>35</v>
      </c>
      <c r="BP81" s="8" t="s">
        <v>35</v>
      </c>
      <c r="BQ81" s="8" t="s">
        <v>31</v>
      </c>
      <c r="BR81" s="8" t="s">
        <v>36</v>
      </c>
      <c r="BS81" s="10">
        <v>1951792014473370</v>
      </c>
      <c r="BT81" s="8" t="s">
        <v>46</v>
      </c>
      <c r="BU81" s="8" t="s">
        <v>42</v>
      </c>
      <c r="BV81" s="8" t="s">
        <v>42</v>
      </c>
      <c r="BW81" s="8" t="s">
        <v>27</v>
      </c>
      <c r="BX81" s="8" t="s">
        <v>27</v>
      </c>
      <c r="BY81" s="8" t="s">
        <v>27</v>
      </c>
      <c r="BZ81" s="8" t="s">
        <v>27</v>
      </c>
      <c r="CA81" s="8" t="s">
        <v>27</v>
      </c>
      <c r="CB81" s="8" t="s">
        <v>27</v>
      </c>
      <c r="CC81" s="8" t="s">
        <v>27</v>
      </c>
      <c r="CD81" s="8" t="s">
        <v>27</v>
      </c>
      <c r="CE81" s="8" t="s">
        <v>27</v>
      </c>
      <c r="CF81" s="8" t="s">
        <v>50</v>
      </c>
      <c r="CG81" s="8" t="s">
        <v>51</v>
      </c>
    </row>
    <row r="82" spans="1:85" ht="15.75" customHeight="1" x14ac:dyDescent="0.35">
      <c r="A82" s="8">
        <v>75</v>
      </c>
      <c r="B82" s="8" t="s">
        <v>166</v>
      </c>
      <c r="C82" s="9">
        <v>4.15E-4</v>
      </c>
      <c r="D82" s="9">
        <v>3.9399999999999998E-4</v>
      </c>
      <c r="E82" s="9">
        <v>3.3799999999999998E-4</v>
      </c>
      <c r="F82" s="9">
        <v>2.5599999999999999E-4</v>
      </c>
      <c r="G82" s="9">
        <v>1.26E-4</v>
      </c>
      <c r="H82" s="9">
        <v>3.4919999999999999E-3</v>
      </c>
      <c r="I82" s="9">
        <v>3.4919999999999999E-3</v>
      </c>
      <c r="J82" s="9">
        <v>5.5500000000000005E-4</v>
      </c>
      <c r="K82" s="9">
        <v>3.0000000000000001E-5</v>
      </c>
      <c r="L82" s="9">
        <v>1.1E-5</v>
      </c>
      <c r="M82" s="9">
        <v>5.0000000000000004E-6</v>
      </c>
      <c r="N82" s="10">
        <v>38348132</v>
      </c>
      <c r="O82" s="10">
        <v>36367832</v>
      </c>
      <c r="P82" s="10">
        <v>31258432</v>
      </c>
      <c r="Q82" s="10">
        <v>23652132</v>
      </c>
      <c r="R82" s="10">
        <v>11638532</v>
      </c>
      <c r="S82" s="10">
        <v>322704524</v>
      </c>
      <c r="T82" s="10">
        <v>322704524</v>
      </c>
      <c r="U82" s="10">
        <v>51315332</v>
      </c>
      <c r="V82" s="10">
        <v>2800800</v>
      </c>
      <c r="W82" s="10">
        <v>1056400</v>
      </c>
      <c r="X82" s="10">
        <v>498400</v>
      </c>
      <c r="Y82" s="13">
        <v>1980300</v>
      </c>
      <c r="Z82" s="13">
        <v>5109400</v>
      </c>
      <c r="AA82" s="13">
        <v>7606300</v>
      </c>
      <c r="AB82" s="13">
        <v>12013600</v>
      </c>
      <c r="AC82" s="12">
        <v>-311065992</v>
      </c>
      <c r="AD82" s="11">
        <v>0</v>
      </c>
      <c r="AE82" s="13">
        <v>271389192</v>
      </c>
      <c r="AF82" s="13">
        <v>48514532</v>
      </c>
      <c r="AG82" s="13">
        <v>1744400</v>
      </c>
      <c r="AH82" s="13">
        <v>558000</v>
      </c>
      <c r="AI82" s="11">
        <v>0</v>
      </c>
      <c r="AJ82" s="10">
        <v>168681156371</v>
      </c>
      <c r="AK82" s="10">
        <v>206782577384.79999</v>
      </c>
      <c r="AL82" s="10">
        <v>189113513514.89999</v>
      </c>
      <c r="AM82" s="10">
        <v>117373705210.85001</v>
      </c>
      <c r="AN82" s="10">
        <v>40837357020</v>
      </c>
      <c r="AO82" s="10">
        <v>1234820052671.2</v>
      </c>
      <c r="AP82" s="10">
        <v>1234820052671.2</v>
      </c>
      <c r="AQ82" s="10">
        <v>186885159531.25</v>
      </c>
      <c r="AR82" s="10">
        <v>11203200020.4</v>
      </c>
      <c r="AS82" s="10">
        <v>2773050047</v>
      </c>
      <c r="AT82" s="10">
        <v>1152968164.05</v>
      </c>
      <c r="AU82" s="14">
        <v>45930</v>
      </c>
      <c r="AV82" s="14">
        <v>45657</v>
      </c>
      <c r="AW82" s="14">
        <v>45291</v>
      </c>
      <c r="AX82" s="14">
        <v>44926</v>
      </c>
      <c r="AY82" s="14">
        <v>44561</v>
      </c>
      <c r="AZ82" s="14">
        <v>43830</v>
      </c>
      <c r="BA82" s="14">
        <v>43830</v>
      </c>
      <c r="BB82" s="14">
        <v>43465</v>
      </c>
      <c r="BC82" s="14">
        <v>43100</v>
      </c>
      <c r="BD82" s="14">
        <v>42704</v>
      </c>
      <c r="BE82" s="14">
        <v>42369</v>
      </c>
      <c r="BF82" s="8" t="s">
        <v>35</v>
      </c>
      <c r="BG82" s="8" t="s">
        <v>35</v>
      </c>
      <c r="BH82" s="8" t="s">
        <v>35</v>
      </c>
      <c r="BI82" s="8" t="s">
        <v>35</v>
      </c>
      <c r="BJ82" s="8" t="s">
        <v>35</v>
      </c>
      <c r="BK82" s="8" t="s">
        <v>24</v>
      </c>
      <c r="BL82" s="8" t="s">
        <v>24</v>
      </c>
      <c r="BM82" s="8" t="s">
        <v>35</v>
      </c>
      <c r="BN82" s="8" t="s">
        <v>35</v>
      </c>
      <c r="BO82" s="8" t="s">
        <v>35</v>
      </c>
      <c r="BP82" s="8" t="s">
        <v>35</v>
      </c>
      <c r="BQ82" s="8" t="s">
        <v>31</v>
      </c>
      <c r="BR82" s="8" t="s">
        <v>36</v>
      </c>
      <c r="BS82" s="10">
        <v>1081231337419690</v>
      </c>
      <c r="BT82" s="8" t="s">
        <v>91</v>
      </c>
      <c r="BU82" s="8" t="s">
        <v>27</v>
      </c>
      <c r="BV82" s="8" t="s">
        <v>42</v>
      </c>
      <c r="BW82" s="8" t="s">
        <v>27</v>
      </c>
      <c r="BX82" s="8" t="s">
        <v>42</v>
      </c>
      <c r="BY82" s="8" t="s">
        <v>27</v>
      </c>
      <c r="BZ82" s="8" t="s">
        <v>27</v>
      </c>
      <c r="CA82" s="8" t="s">
        <v>42</v>
      </c>
      <c r="CB82" s="8" t="s">
        <v>27</v>
      </c>
      <c r="CC82" s="8" t="s">
        <v>27</v>
      </c>
      <c r="CD82" s="8" t="s">
        <v>27</v>
      </c>
      <c r="CE82" s="8" t="s">
        <v>42</v>
      </c>
      <c r="CF82" s="8" t="s">
        <v>50</v>
      </c>
      <c r="CG82" s="8" t="s">
        <v>51</v>
      </c>
    </row>
    <row r="83" spans="1:85" ht="15.75" customHeight="1" x14ac:dyDescent="0.35">
      <c r="A83" s="8">
        <v>76</v>
      </c>
      <c r="B83" s="8" t="s">
        <v>167</v>
      </c>
      <c r="C83" s="9">
        <v>4.1300000000000001E-4</v>
      </c>
      <c r="D83" s="9">
        <v>5.7499999999999999E-4</v>
      </c>
      <c r="E83" s="9">
        <v>5.6300000000000002E-4</v>
      </c>
      <c r="F83" s="9">
        <v>5.0100000000000003E-4</v>
      </c>
      <c r="G83" s="9">
        <v>2.1310000000000001E-3</v>
      </c>
      <c r="H83" s="9">
        <v>1.348E-3</v>
      </c>
      <c r="I83" s="9">
        <v>3.1000000000000001E-5</v>
      </c>
      <c r="J83" s="9">
        <v>2.8E-5</v>
      </c>
      <c r="K83" s="9">
        <v>3.1000000000000001E-5</v>
      </c>
      <c r="L83" s="9">
        <v>7.2000000000000002E-5</v>
      </c>
      <c r="M83" s="9">
        <v>8.2000000000000001E-5</v>
      </c>
      <c r="N83" s="10">
        <v>38185146</v>
      </c>
      <c r="O83" s="10">
        <v>53124761</v>
      </c>
      <c r="P83" s="10">
        <v>52032727</v>
      </c>
      <c r="Q83" s="10">
        <v>46330434</v>
      </c>
      <c r="R83" s="10">
        <v>196882394</v>
      </c>
      <c r="S83" s="10">
        <v>124516512</v>
      </c>
      <c r="T83" s="10">
        <v>2904730</v>
      </c>
      <c r="U83" s="10">
        <v>2631248</v>
      </c>
      <c r="V83" s="10">
        <v>2861568</v>
      </c>
      <c r="W83" s="10">
        <v>6644160</v>
      </c>
      <c r="X83" s="10">
        <v>7612784</v>
      </c>
      <c r="Y83" s="12">
        <v>-14939615</v>
      </c>
      <c r="Z83" s="13">
        <v>1092034</v>
      </c>
      <c r="AA83" s="13">
        <v>5702293</v>
      </c>
      <c r="AB83" s="12">
        <v>-150551960</v>
      </c>
      <c r="AC83" s="13">
        <v>72365882</v>
      </c>
      <c r="AD83" s="13">
        <v>121611782</v>
      </c>
      <c r="AE83" s="13">
        <v>273482</v>
      </c>
      <c r="AF83" s="12">
        <v>-230320</v>
      </c>
      <c r="AG83" s="12">
        <v>-3782592</v>
      </c>
      <c r="AH83" s="12">
        <v>-968624</v>
      </c>
      <c r="AI83" s="12">
        <v>-38284</v>
      </c>
      <c r="AJ83" s="10">
        <v>184942250804.95001</v>
      </c>
      <c r="AK83" s="10">
        <v>302060210851.70001</v>
      </c>
      <c r="AL83" s="10">
        <v>314797998084.84998</v>
      </c>
      <c r="AM83" s="10">
        <v>229914778948.79999</v>
      </c>
      <c r="AN83" s="10">
        <v>689088379464.80005</v>
      </c>
      <c r="AO83" s="10">
        <v>393783468764.40002</v>
      </c>
      <c r="AP83" s="10">
        <v>11114870122</v>
      </c>
      <c r="AQ83" s="10">
        <v>9582734518.75</v>
      </c>
      <c r="AR83" s="10">
        <v>11446272069.299999</v>
      </c>
      <c r="AS83" s="10">
        <v>16029035984.4</v>
      </c>
      <c r="AT83" s="10">
        <v>17610950794.650002</v>
      </c>
      <c r="AU83" s="14">
        <v>45777</v>
      </c>
      <c r="AV83" s="14">
        <v>45657</v>
      </c>
      <c r="AW83" s="14">
        <v>45291</v>
      </c>
      <c r="AX83" s="14">
        <v>44926</v>
      </c>
      <c r="AY83" s="14">
        <v>44530</v>
      </c>
      <c r="AZ83" s="14">
        <v>44196</v>
      </c>
      <c r="BA83" s="14">
        <v>43830</v>
      </c>
      <c r="BB83" s="14">
        <v>43465</v>
      </c>
      <c r="BC83" s="14">
        <v>43100</v>
      </c>
      <c r="BD83" s="14">
        <v>42490</v>
      </c>
      <c r="BE83" s="14">
        <v>42369</v>
      </c>
      <c r="BF83" s="8" t="s">
        <v>35</v>
      </c>
      <c r="BG83" s="8" t="s">
        <v>35</v>
      </c>
      <c r="BH83" s="8" t="s">
        <v>35</v>
      </c>
      <c r="BI83" s="8" t="s">
        <v>35</v>
      </c>
      <c r="BJ83" s="8" t="s">
        <v>35</v>
      </c>
      <c r="BK83" s="8" t="s">
        <v>35</v>
      </c>
      <c r="BL83" s="8" t="s">
        <v>35</v>
      </c>
      <c r="BM83" s="8" t="s">
        <v>35</v>
      </c>
      <c r="BN83" s="8" t="s">
        <v>35</v>
      </c>
      <c r="BO83" s="8" t="s">
        <v>35</v>
      </c>
      <c r="BP83" s="8" t="s">
        <v>35</v>
      </c>
      <c r="BQ83" s="8" t="s">
        <v>31</v>
      </c>
      <c r="BR83" s="8" t="s">
        <v>49</v>
      </c>
      <c r="BS83" s="10">
        <v>183119586089018</v>
      </c>
      <c r="BT83" s="8" t="s">
        <v>41</v>
      </c>
      <c r="BU83" s="8" t="s">
        <v>27</v>
      </c>
      <c r="BV83" s="8" t="s">
        <v>27</v>
      </c>
      <c r="BW83" s="8" t="s">
        <v>27</v>
      </c>
      <c r="BX83" s="8" t="s">
        <v>27</v>
      </c>
      <c r="BY83" s="8" t="s">
        <v>27</v>
      </c>
      <c r="BZ83" s="8" t="s">
        <v>42</v>
      </c>
      <c r="CA83" s="8" t="s">
        <v>27</v>
      </c>
      <c r="CB83" s="8" t="s">
        <v>27</v>
      </c>
      <c r="CC83" s="8" t="s">
        <v>27</v>
      </c>
      <c r="CD83" s="8" t="s">
        <v>27</v>
      </c>
      <c r="CE83" s="8" t="s">
        <v>27</v>
      </c>
      <c r="CF83" s="8" t="s">
        <v>168</v>
      </c>
      <c r="CG83" s="8" t="s">
        <v>55</v>
      </c>
    </row>
    <row r="84" spans="1:85" ht="15.75" customHeight="1" x14ac:dyDescent="0.35">
      <c r="A84" s="8">
        <v>77</v>
      </c>
      <c r="B84" s="8" t="s">
        <v>169</v>
      </c>
      <c r="C84" s="9">
        <v>4.0499999999999998E-4</v>
      </c>
      <c r="D84" s="9">
        <v>3.48E-4</v>
      </c>
      <c r="E84" s="9">
        <v>4.0299999999999998E-4</v>
      </c>
      <c r="F84" s="9">
        <v>3.1599999999999998E-4</v>
      </c>
      <c r="G84" s="9">
        <v>4.6000000000000001E-4</v>
      </c>
      <c r="H84" s="9">
        <v>2.12E-4</v>
      </c>
      <c r="I84" s="9">
        <v>3.86E-4</v>
      </c>
      <c r="J84" s="9">
        <v>3.6400000000000001E-4</v>
      </c>
      <c r="K84" s="9">
        <v>3.8200000000000002E-4</v>
      </c>
      <c r="L84" s="9">
        <v>2.8400000000000002E-4</v>
      </c>
      <c r="M84" s="9">
        <v>3.79E-4</v>
      </c>
      <c r="N84" s="10">
        <v>37388404</v>
      </c>
      <c r="O84" s="10">
        <v>32138888</v>
      </c>
      <c r="P84" s="10">
        <v>37264916</v>
      </c>
      <c r="Q84" s="10">
        <v>29166756</v>
      </c>
      <c r="R84" s="10">
        <v>42517290</v>
      </c>
      <c r="S84" s="10">
        <v>19547358</v>
      </c>
      <c r="T84" s="10">
        <v>35651070</v>
      </c>
      <c r="U84" s="10">
        <v>33660848</v>
      </c>
      <c r="V84" s="10">
        <v>35308592</v>
      </c>
      <c r="W84" s="10">
        <v>26229400</v>
      </c>
      <c r="X84" s="10">
        <v>35046216</v>
      </c>
      <c r="Y84" s="13">
        <v>5249516</v>
      </c>
      <c r="Z84" s="12">
        <v>-5126028</v>
      </c>
      <c r="AA84" s="13">
        <v>8098160</v>
      </c>
      <c r="AB84" s="12">
        <v>-13350534</v>
      </c>
      <c r="AC84" s="13">
        <v>22969932</v>
      </c>
      <c r="AD84" s="12">
        <v>-16103712</v>
      </c>
      <c r="AE84" s="13">
        <v>1990222</v>
      </c>
      <c r="AF84" s="12">
        <v>-1647744</v>
      </c>
      <c r="AG84" s="13">
        <v>9079192</v>
      </c>
      <c r="AH84" s="12">
        <v>-8816816</v>
      </c>
      <c r="AI84" s="12">
        <v>-1610608</v>
      </c>
      <c r="AJ84" s="10">
        <v>164459620161.20001</v>
      </c>
      <c r="AK84" s="10">
        <v>182737373422.20001</v>
      </c>
      <c r="AL84" s="10">
        <v>225452741640.29999</v>
      </c>
      <c r="AM84" s="10">
        <v>144740026729.10001</v>
      </c>
      <c r="AN84" s="10">
        <v>149184944325</v>
      </c>
      <c r="AO84" s="10">
        <v>61818519578.400002</v>
      </c>
      <c r="AP84" s="10">
        <v>136417846249.2</v>
      </c>
      <c r="AQ84" s="10">
        <v>122589345218.75</v>
      </c>
      <c r="AR84" s="10">
        <v>141234367983.75</v>
      </c>
      <c r="AS84" s="10">
        <v>75901326319.800003</v>
      </c>
      <c r="AT84" s="10">
        <v>81073781016.149994</v>
      </c>
      <c r="AU84" s="14">
        <v>45930</v>
      </c>
      <c r="AV84" s="14">
        <v>45657</v>
      </c>
      <c r="AW84" s="14">
        <v>45291</v>
      </c>
      <c r="AX84" s="14">
        <v>44926</v>
      </c>
      <c r="AY84" s="14">
        <v>44561</v>
      </c>
      <c r="AZ84" s="14">
        <v>44196</v>
      </c>
      <c r="BA84" s="14">
        <v>43830</v>
      </c>
      <c r="BB84" s="14">
        <v>43465</v>
      </c>
      <c r="BC84" s="14">
        <v>43100</v>
      </c>
      <c r="BD84" s="14">
        <v>42735</v>
      </c>
      <c r="BE84" s="14">
        <v>42369</v>
      </c>
      <c r="BF84" s="8" t="s">
        <v>35</v>
      </c>
      <c r="BG84" s="8" t="s">
        <v>35</v>
      </c>
      <c r="BH84" s="8" t="s">
        <v>35</v>
      </c>
      <c r="BI84" s="8" t="s">
        <v>35</v>
      </c>
      <c r="BJ84" s="8" t="s">
        <v>35</v>
      </c>
      <c r="BK84" s="8" t="s">
        <v>35</v>
      </c>
      <c r="BL84" s="8" t="s">
        <v>35</v>
      </c>
      <c r="BM84" s="8" t="s">
        <v>35</v>
      </c>
      <c r="BN84" s="8" t="s">
        <v>35</v>
      </c>
      <c r="BO84" s="8" t="s">
        <v>35</v>
      </c>
      <c r="BP84" s="8" t="s">
        <v>35</v>
      </c>
      <c r="BQ84" s="8" t="s">
        <v>31</v>
      </c>
      <c r="BR84" s="8" t="s">
        <v>36</v>
      </c>
      <c r="BS84" s="10">
        <v>2832273544714170</v>
      </c>
      <c r="BT84" s="8" t="s">
        <v>37</v>
      </c>
      <c r="BU84" s="8" t="s">
        <v>27</v>
      </c>
      <c r="BV84" s="8" t="s">
        <v>42</v>
      </c>
      <c r="BW84" s="8" t="s">
        <v>42</v>
      </c>
      <c r="BX84" s="8" t="s">
        <v>42</v>
      </c>
      <c r="BY84" s="8" t="s">
        <v>42</v>
      </c>
      <c r="BZ84" s="8" t="s">
        <v>43</v>
      </c>
      <c r="CA84" s="8" t="s">
        <v>42</v>
      </c>
      <c r="CB84" s="8" t="s">
        <v>42</v>
      </c>
      <c r="CC84" s="8" t="s">
        <v>42</v>
      </c>
      <c r="CD84" s="8" t="s">
        <v>27</v>
      </c>
      <c r="CE84" s="8" t="s">
        <v>27</v>
      </c>
      <c r="CF84" s="8" t="s">
        <v>50</v>
      </c>
      <c r="CG84" s="8" t="s">
        <v>51</v>
      </c>
    </row>
    <row r="85" spans="1:85" ht="15.75" customHeight="1" x14ac:dyDescent="0.35">
      <c r="A85" s="8">
        <v>78</v>
      </c>
      <c r="B85" s="8" t="s">
        <v>170</v>
      </c>
      <c r="C85" s="9">
        <v>3.9199999999999999E-4</v>
      </c>
      <c r="D85" s="9">
        <v>4.5899999999999999E-4</v>
      </c>
      <c r="E85" s="9">
        <v>9.7E-5</v>
      </c>
      <c r="F85" s="9">
        <v>3.6999999999999998E-5</v>
      </c>
      <c r="G85" s="9">
        <v>1.7799999999999999E-4</v>
      </c>
      <c r="H85" s="9">
        <v>1.66E-4</v>
      </c>
      <c r="I85" s="9">
        <v>1.22E-4</v>
      </c>
      <c r="J85" s="9">
        <v>4.3999999999999999E-5</v>
      </c>
      <c r="K85" s="8"/>
      <c r="L85" s="9">
        <v>9.9999999999999995E-7</v>
      </c>
      <c r="M85" s="9">
        <v>9.9999999999999995E-7</v>
      </c>
      <c r="N85" s="10">
        <v>36254400</v>
      </c>
      <c r="O85" s="10">
        <v>42382300</v>
      </c>
      <c r="P85" s="10">
        <v>9001849</v>
      </c>
      <c r="Q85" s="10">
        <v>3404800</v>
      </c>
      <c r="R85" s="10">
        <v>16437400</v>
      </c>
      <c r="S85" s="10">
        <v>15346200</v>
      </c>
      <c r="T85" s="10">
        <v>11305400</v>
      </c>
      <c r="U85" s="10">
        <v>4020400</v>
      </c>
      <c r="V85" s="8"/>
      <c r="W85" s="10">
        <v>94800</v>
      </c>
      <c r="X85" s="10">
        <v>94800</v>
      </c>
      <c r="Y85" s="12">
        <v>-6127900</v>
      </c>
      <c r="Z85" s="13">
        <v>33380451</v>
      </c>
      <c r="AA85" s="13">
        <v>5597049</v>
      </c>
      <c r="AB85" s="12">
        <v>-13032600</v>
      </c>
      <c r="AC85" s="13">
        <v>1091200</v>
      </c>
      <c r="AD85" s="13">
        <v>4040800</v>
      </c>
      <c r="AE85" s="13">
        <v>7285000</v>
      </c>
      <c r="AF85" s="13">
        <v>4020400</v>
      </c>
      <c r="AG85" s="8"/>
      <c r="AH85" s="11">
        <v>0</v>
      </c>
      <c r="AI85" s="11">
        <v>0</v>
      </c>
      <c r="AJ85" s="10">
        <v>159471499541.20001</v>
      </c>
      <c r="AK85" s="10">
        <v>240980029597.10001</v>
      </c>
      <c r="AL85" s="10">
        <v>54461186349.800003</v>
      </c>
      <c r="AM85" s="10">
        <v>16896320055.450001</v>
      </c>
      <c r="AN85" s="10">
        <v>57675656340</v>
      </c>
      <c r="AO85" s="10">
        <v>48532357504.800003</v>
      </c>
      <c r="AP85" s="10">
        <v>39427582545</v>
      </c>
      <c r="AQ85" s="10">
        <v>14875480048</v>
      </c>
      <c r="AR85" s="8"/>
      <c r="AS85" s="10">
        <v>201449992.80000001</v>
      </c>
      <c r="AT85" s="10">
        <v>201449992.80000001</v>
      </c>
      <c r="AU85" s="14">
        <v>45930</v>
      </c>
      <c r="AV85" s="14">
        <v>45657</v>
      </c>
      <c r="AW85" s="14">
        <v>45291</v>
      </c>
      <c r="AX85" s="14">
        <v>44926</v>
      </c>
      <c r="AY85" s="14">
        <v>44561</v>
      </c>
      <c r="AZ85" s="14">
        <v>44196</v>
      </c>
      <c r="BA85" s="14">
        <v>43799</v>
      </c>
      <c r="BB85" s="14">
        <v>43434</v>
      </c>
      <c r="BC85" s="8"/>
      <c r="BD85" s="14">
        <v>42338</v>
      </c>
      <c r="BE85" s="14">
        <v>42338</v>
      </c>
      <c r="BF85" s="8" t="s">
        <v>35</v>
      </c>
      <c r="BG85" s="8" t="s">
        <v>35</v>
      </c>
      <c r="BH85" s="8" t="s">
        <v>35</v>
      </c>
      <c r="BI85" s="8" t="s">
        <v>35</v>
      </c>
      <c r="BJ85" s="8" t="s">
        <v>35</v>
      </c>
      <c r="BK85" s="8" t="s">
        <v>35</v>
      </c>
      <c r="BL85" s="8" t="s">
        <v>35</v>
      </c>
      <c r="BM85" s="8" t="s">
        <v>35</v>
      </c>
      <c r="BN85" s="8"/>
      <c r="BO85" s="8" t="s">
        <v>35</v>
      </c>
      <c r="BP85" s="8" t="s">
        <v>35</v>
      </c>
      <c r="BQ85" s="8" t="s">
        <v>31</v>
      </c>
      <c r="BR85" s="8" t="s">
        <v>36</v>
      </c>
      <c r="BS85" s="10">
        <v>1.84699754170848E+16</v>
      </c>
      <c r="BT85" s="8" t="s">
        <v>57</v>
      </c>
      <c r="BU85" s="8" t="s">
        <v>27</v>
      </c>
      <c r="BV85" s="8" t="s">
        <v>27</v>
      </c>
      <c r="BW85" s="8" t="s">
        <v>27</v>
      </c>
      <c r="BX85" s="8" t="s">
        <v>27</v>
      </c>
      <c r="BY85" s="8" t="s">
        <v>27</v>
      </c>
      <c r="BZ85" s="8" t="s">
        <v>27</v>
      </c>
      <c r="CA85" s="8" t="s">
        <v>27</v>
      </c>
      <c r="CB85" s="8" t="s">
        <v>27</v>
      </c>
      <c r="CC85" s="8"/>
      <c r="CD85" s="8" t="s">
        <v>27</v>
      </c>
      <c r="CE85" s="8" t="s">
        <v>27</v>
      </c>
      <c r="CF85" s="8" t="s">
        <v>171</v>
      </c>
      <c r="CG85" s="8" t="s">
        <v>39</v>
      </c>
    </row>
    <row r="86" spans="1:85" ht="15.75" customHeight="1" x14ac:dyDescent="0.35">
      <c r="A86" s="8">
        <v>79</v>
      </c>
      <c r="B86" s="8" t="s">
        <v>172</v>
      </c>
      <c r="C86" s="9">
        <v>3.59E-4</v>
      </c>
      <c r="D86" s="9">
        <v>8.6700000000000004E-4</v>
      </c>
      <c r="E86" s="9">
        <v>5.2099999999999998E-4</v>
      </c>
      <c r="F86" s="9">
        <v>3.8400000000000001E-4</v>
      </c>
      <c r="G86" s="9">
        <v>1.4799999999999999E-4</v>
      </c>
      <c r="H86" s="9">
        <v>1.4899999999999999E-4</v>
      </c>
      <c r="I86" s="9">
        <v>2.1000000000000001E-4</v>
      </c>
      <c r="J86" s="8"/>
      <c r="K86" s="9">
        <v>0</v>
      </c>
      <c r="L86" s="9">
        <v>0</v>
      </c>
      <c r="M86" s="9">
        <v>1.201E-3</v>
      </c>
      <c r="N86" s="10">
        <v>33216200</v>
      </c>
      <c r="O86" s="10">
        <v>80076900</v>
      </c>
      <c r="P86" s="10">
        <v>48169500</v>
      </c>
      <c r="Q86" s="10">
        <v>35462000</v>
      </c>
      <c r="R86" s="10">
        <v>13645600</v>
      </c>
      <c r="S86" s="10">
        <v>13728406</v>
      </c>
      <c r="T86" s="10">
        <v>19360000</v>
      </c>
      <c r="U86" s="8"/>
      <c r="V86" s="10">
        <v>0</v>
      </c>
      <c r="W86" s="10">
        <v>0</v>
      </c>
      <c r="X86" s="10">
        <v>110988000</v>
      </c>
      <c r="Y86" s="12">
        <v>-46860700</v>
      </c>
      <c r="Z86" s="13">
        <v>31907400</v>
      </c>
      <c r="AA86" s="13">
        <v>12707500</v>
      </c>
      <c r="AB86" s="13">
        <v>21816400</v>
      </c>
      <c r="AC86" s="12">
        <v>-82806</v>
      </c>
      <c r="AD86" s="12">
        <v>-5631594</v>
      </c>
      <c r="AE86" s="13">
        <v>19360000</v>
      </c>
      <c r="AF86" s="8"/>
      <c r="AG86" s="11">
        <v>0</v>
      </c>
      <c r="AH86" s="12">
        <v>-110988000</v>
      </c>
      <c r="AI86" s="13">
        <v>4097200</v>
      </c>
      <c r="AJ86" s="10">
        <v>146107430474.60001</v>
      </c>
      <c r="AK86" s="10">
        <v>455306430513.09998</v>
      </c>
      <c r="AL86" s="10">
        <v>291425474735.04999</v>
      </c>
      <c r="AM86" s="10">
        <v>175980175097.64999</v>
      </c>
      <c r="AN86" s="10">
        <v>47879770290</v>
      </c>
      <c r="AO86" s="10">
        <v>43416083926.800003</v>
      </c>
      <c r="AP86" s="10">
        <v>74080511582</v>
      </c>
      <c r="AQ86" s="8"/>
      <c r="AR86" s="10">
        <v>0</v>
      </c>
      <c r="AS86" s="10">
        <v>0</v>
      </c>
      <c r="AT86" s="10">
        <v>256752877839.89999</v>
      </c>
      <c r="AU86" s="14">
        <v>45930</v>
      </c>
      <c r="AV86" s="14">
        <v>45657</v>
      </c>
      <c r="AW86" s="14">
        <v>45291</v>
      </c>
      <c r="AX86" s="14">
        <v>44926</v>
      </c>
      <c r="AY86" s="14">
        <v>44561</v>
      </c>
      <c r="AZ86" s="14">
        <v>44196</v>
      </c>
      <c r="BA86" s="14">
        <v>43830</v>
      </c>
      <c r="BB86" s="8"/>
      <c r="BC86" s="14">
        <v>42704</v>
      </c>
      <c r="BD86" s="14">
        <v>42704</v>
      </c>
      <c r="BE86" s="14">
        <v>42369</v>
      </c>
      <c r="BF86" s="8" t="s">
        <v>35</v>
      </c>
      <c r="BG86" s="8" t="s">
        <v>35</v>
      </c>
      <c r="BH86" s="8" t="s">
        <v>35</v>
      </c>
      <c r="BI86" s="8" t="s">
        <v>35</v>
      </c>
      <c r="BJ86" s="8" t="s">
        <v>35</v>
      </c>
      <c r="BK86" s="8" t="s">
        <v>35</v>
      </c>
      <c r="BL86" s="8" t="s">
        <v>35</v>
      </c>
      <c r="BM86" s="8"/>
      <c r="BN86" s="8" t="s">
        <v>35</v>
      </c>
      <c r="BO86" s="8" t="s">
        <v>35</v>
      </c>
      <c r="BP86" s="8" t="s">
        <v>35</v>
      </c>
      <c r="BQ86" s="8" t="s">
        <v>31</v>
      </c>
      <c r="BR86" s="8" t="s">
        <v>36</v>
      </c>
      <c r="BS86" s="10">
        <v>3281603193269240</v>
      </c>
      <c r="BT86" s="8" t="s">
        <v>57</v>
      </c>
      <c r="BU86" s="8" t="s">
        <v>27</v>
      </c>
      <c r="BV86" s="8" t="s">
        <v>27</v>
      </c>
      <c r="BW86" s="8" t="s">
        <v>27</v>
      </c>
      <c r="BX86" s="8" t="s">
        <v>27</v>
      </c>
      <c r="BY86" s="8" t="s">
        <v>27</v>
      </c>
      <c r="BZ86" s="8" t="s">
        <v>27</v>
      </c>
      <c r="CA86" s="8" t="s">
        <v>27</v>
      </c>
      <c r="CB86" s="8"/>
      <c r="CC86" s="8" t="s">
        <v>27</v>
      </c>
      <c r="CD86" s="8" t="s">
        <v>27</v>
      </c>
      <c r="CE86" s="8" t="s">
        <v>27</v>
      </c>
      <c r="CF86" s="8" t="s">
        <v>173</v>
      </c>
      <c r="CG86" s="8" t="s">
        <v>174</v>
      </c>
    </row>
    <row r="87" spans="1:85" ht="15.75" customHeight="1" x14ac:dyDescent="0.35">
      <c r="A87" s="8">
        <v>80</v>
      </c>
      <c r="B87" s="8" t="s">
        <v>175</v>
      </c>
      <c r="C87" s="9">
        <v>3.5E-4</v>
      </c>
      <c r="D87" s="9">
        <v>2.8400000000000002E-4</v>
      </c>
      <c r="E87" s="9">
        <v>8.5599999999999999E-4</v>
      </c>
      <c r="F87" s="9">
        <v>9.7999999999999997E-4</v>
      </c>
      <c r="G87" s="9">
        <v>4.5380000000000004E-3</v>
      </c>
      <c r="H87" s="9">
        <v>4.901E-3</v>
      </c>
      <c r="I87" s="9">
        <v>1.691E-3</v>
      </c>
      <c r="J87" s="9">
        <v>4.4450000000000002E-3</v>
      </c>
      <c r="K87" s="9">
        <v>3.8210000000000002E-3</v>
      </c>
      <c r="L87" s="9">
        <v>1.3359999999999999E-3</v>
      </c>
      <c r="M87" s="9">
        <v>1.9000000000000001E-5</v>
      </c>
      <c r="N87" s="10">
        <v>32335636</v>
      </c>
      <c r="O87" s="10">
        <v>26199136</v>
      </c>
      <c r="P87" s="10">
        <v>79059236</v>
      </c>
      <c r="Q87" s="10">
        <v>90530536</v>
      </c>
      <c r="R87" s="10">
        <v>419355400</v>
      </c>
      <c r="S87" s="10">
        <v>452828600</v>
      </c>
      <c r="T87" s="10">
        <v>156220536</v>
      </c>
      <c r="U87" s="10">
        <v>410710000</v>
      </c>
      <c r="V87" s="10">
        <v>353032000</v>
      </c>
      <c r="W87" s="10">
        <v>123459200</v>
      </c>
      <c r="X87" s="10">
        <v>1778388</v>
      </c>
      <c r="Y87" s="13">
        <v>6136500</v>
      </c>
      <c r="Z87" s="12">
        <v>-52860100</v>
      </c>
      <c r="AA87" s="12">
        <v>-11471300</v>
      </c>
      <c r="AB87" s="12">
        <v>-328824864</v>
      </c>
      <c r="AC87" s="12">
        <v>-33473200</v>
      </c>
      <c r="AD87" s="13">
        <v>296608064</v>
      </c>
      <c r="AE87" s="12">
        <v>-254489464</v>
      </c>
      <c r="AF87" s="13">
        <v>57678000</v>
      </c>
      <c r="AG87" s="13">
        <v>229572800</v>
      </c>
      <c r="AH87" s="13">
        <v>121680812</v>
      </c>
      <c r="AI87" s="13">
        <v>1778388</v>
      </c>
      <c r="AJ87" s="10">
        <v>142234111255.60001</v>
      </c>
      <c r="AK87" s="10">
        <v>148964746284.39999</v>
      </c>
      <c r="AL87" s="10">
        <v>478308377449.45001</v>
      </c>
      <c r="AM87" s="10">
        <v>449257785304.90002</v>
      </c>
      <c r="AN87" s="10">
        <v>1471436961780</v>
      </c>
      <c r="AO87" s="10">
        <v>1432070445920.3999</v>
      </c>
      <c r="AP87" s="10">
        <v>597773616824.80005</v>
      </c>
      <c r="AQ87" s="10">
        <v>1495763563918.75</v>
      </c>
      <c r="AR87" s="10">
        <v>1412128000271.3501</v>
      </c>
      <c r="AS87" s="10">
        <v>357260060208.59998</v>
      </c>
      <c r="AT87" s="10">
        <v>4114014423.3000002</v>
      </c>
      <c r="AU87" s="14">
        <v>45930</v>
      </c>
      <c r="AV87" s="14">
        <v>45657</v>
      </c>
      <c r="AW87" s="14">
        <v>45291</v>
      </c>
      <c r="AX87" s="14">
        <v>44926</v>
      </c>
      <c r="AY87" s="14">
        <v>44561</v>
      </c>
      <c r="AZ87" s="14">
        <v>44196</v>
      </c>
      <c r="BA87" s="14">
        <v>43830</v>
      </c>
      <c r="BB87" s="14">
        <v>43465</v>
      </c>
      <c r="BC87" s="14">
        <v>43100</v>
      </c>
      <c r="BD87" s="14">
        <v>42735</v>
      </c>
      <c r="BE87" s="14">
        <v>42369</v>
      </c>
      <c r="BF87" s="8" t="s">
        <v>35</v>
      </c>
      <c r="BG87" s="8" t="s">
        <v>35</v>
      </c>
      <c r="BH87" s="8" t="s">
        <v>35</v>
      </c>
      <c r="BI87" s="8" t="s">
        <v>35</v>
      </c>
      <c r="BJ87" s="8" t="s">
        <v>24</v>
      </c>
      <c r="BK87" s="8" t="s">
        <v>24</v>
      </c>
      <c r="BL87" s="8" t="s">
        <v>35</v>
      </c>
      <c r="BM87" s="8" t="s">
        <v>35</v>
      </c>
      <c r="BN87" s="8" t="s">
        <v>35</v>
      </c>
      <c r="BO87" s="8" t="s">
        <v>35</v>
      </c>
      <c r="BP87" s="8" t="s">
        <v>35</v>
      </c>
      <c r="BQ87" s="8" t="s">
        <v>31</v>
      </c>
      <c r="BR87" s="8" t="s">
        <v>36</v>
      </c>
      <c r="BS87" s="10">
        <v>3423906268160490</v>
      </c>
      <c r="BT87" s="8" t="s">
        <v>61</v>
      </c>
      <c r="BU87" s="8" t="s">
        <v>27</v>
      </c>
      <c r="BV87" s="8" t="s">
        <v>27</v>
      </c>
      <c r="BW87" s="8" t="s">
        <v>27</v>
      </c>
      <c r="BX87" s="8" t="s">
        <v>27</v>
      </c>
      <c r="BY87" s="8" t="s">
        <v>27</v>
      </c>
      <c r="BZ87" s="8" t="s">
        <v>27</v>
      </c>
      <c r="CA87" s="8" t="s">
        <v>27</v>
      </c>
      <c r="CB87" s="8" t="s">
        <v>27</v>
      </c>
      <c r="CC87" s="8" t="s">
        <v>27</v>
      </c>
      <c r="CD87" s="8" t="s">
        <v>27</v>
      </c>
      <c r="CE87" s="8" t="s">
        <v>27</v>
      </c>
      <c r="CF87" s="8" t="s">
        <v>50</v>
      </c>
      <c r="CG87" s="8" t="s">
        <v>51</v>
      </c>
    </row>
    <row r="88" spans="1:85" ht="15.75" customHeight="1" x14ac:dyDescent="0.35">
      <c r="A88" s="8">
        <v>81</v>
      </c>
      <c r="B88" s="8" t="s">
        <v>176</v>
      </c>
      <c r="C88" s="9">
        <v>3.4900000000000003E-4</v>
      </c>
      <c r="D88" s="9">
        <v>2.748E-3</v>
      </c>
      <c r="E88" s="9">
        <v>4.6999999999999999E-4</v>
      </c>
      <c r="F88" s="8"/>
      <c r="G88" s="9">
        <v>0</v>
      </c>
      <c r="H88" s="9">
        <v>0</v>
      </c>
      <c r="I88" s="9">
        <v>7.7800000000000005E-4</v>
      </c>
      <c r="J88" s="9">
        <v>2.1949999999999999E-3</v>
      </c>
      <c r="K88" s="9">
        <v>1.06E-4</v>
      </c>
      <c r="L88" s="9">
        <v>8.2000000000000001E-5</v>
      </c>
      <c r="M88" s="9">
        <v>1.0399999999999999E-4</v>
      </c>
      <c r="N88" s="10">
        <v>32240561</v>
      </c>
      <c r="O88" s="10">
        <v>253934876</v>
      </c>
      <c r="P88" s="10">
        <v>43418259</v>
      </c>
      <c r="Q88" s="8"/>
      <c r="R88" s="10">
        <v>0</v>
      </c>
      <c r="S88" s="10">
        <v>0</v>
      </c>
      <c r="T88" s="10">
        <v>71849938</v>
      </c>
      <c r="U88" s="10">
        <v>202780334</v>
      </c>
      <c r="V88" s="10">
        <v>9839156</v>
      </c>
      <c r="W88" s="10">
        <v>7559432</v>
      </c>
      <c r="X88" s="10">
        <v>9595600</v>
      </c>
      <c r="Y88" s="12">
        <v>-221694315</v>
      </c>
      <c r="Z88" s="13">
        <v>210516617</v>
      </c>
      <c r="AA88" s="13">
        <v>43418259</v>
      </c>
      <c r="AB88" s="8"/>
      <c r="AC88" s="11">
        <v>0</v>
      </c>
      <c r="AD88" s="12">
        <v>-71849938</v>
      </c>
      <c r="AE88" s="12">
        <v>-130930396</v>
      </c>
      <c r="AF88" s="13">
        <v>192941178</v>
      </c>
      <c r="AG88" s="13">
        <v>2279724</v>
      </c>
      <c r="AH88" s="12">
        <v>-2036168</v>
      </c>
      <c r="AI88" s="12">
        <v>-435600</v>
      </c>
      <c r="AJ88" s="10">
        <v>141815906771</v>
      </c>
      <c r="AK88" s="10">
        <v>1443839384090</v>
      </c>
      <c r="AL88" s="10">
        <v>262680466788.95001</v>
      </c>
      <c r="AM88" s="8"/>
      <c r="AN88" s="10">
        <v>0</v>
      </c>
      <c r="AO88" s="10">
        <v>0</v>
      </c>
      <c r="AP88" s="10">
        <v>274931826502.40002</v>
      </c>
      <c r="AQ88" s="10">
        <v>738505113281.25</v>
      </c>
      <c r="AR88" s="10">
        <v>36404877198.480003</v>
      </c>
      <c r="AS88" s="10">
        <v>18000897516.299999</v>
      </c>
      <c r="AT88" s="10">
        <v>22197876460.650002</v>
      </c>
      <c r="AU88" s="14">
        <v>45930</v>
      </c>
      <c r="AV88" s="14">
        <v>45657</v>
      </c>
      <c r="AW88" s="14">
        <v>45291</v>
      </c>
      <c r="AX88" s="8"/>
      <c r="AY88" s="14">
        <v>44196</v>
      </c>
      <c r="AZ88" s="14">
        <v>44196</v>
      </c>
      <c r="BA88" s="14">
        <v>43830</v>
      </c>
      <c r="BB88" s="14">
        <v>43465</v>
      </c>
      <c r="BC88" s="14">
        <v>43069</v>
      </c>
      <c r="BD88" s="14">
        <v>42551</v>
      </c>
      <c r="BE88" s="14">
        <v>42369</v>
      </c>
      <c r="BF88" s="8" t="s">
        <v>35</v>
      </c>
      <c r="BG88" s="8" t="s">
        <v>35</v>
      </c>
      <c r="BH88" s="8" t="s">
        <v>35</v>
      </c>
      <c r="BI88" s="8"/>
      <c r="BJ88" s="8" t="s">
        <v>35</v>
      </c>
      <c r="BK88" s="8" t="s">
        <v>35</v>
      </c>
      <c r="BL88" s="8" t="s">
        <v>35</v>
      </c>
      <c r="BM88" s="8" t="s">
        <v>35</v>
      </c>
      <c r="BN88" s="8" t="s">
        <v>35</v>
      </c>
      <c r="BO88" s="8" t="s">
        <v>35</v>
      </c>
      <c r="BP88" s="8" t="s">
        <v>35</v>
      </c>
      <c r="BQ88" s="8" t="s">
        <v>31</v>
      </c>
      <c r="BR88" s="8" t="s">
        <v>49</v>
      </c>
      <c r="BS88" s="10">
        <v>668668617806748</v>
      </c>
      <c r="BT88" s="8" t="s">
        <v>57</v>
      </c>
      <c r="BU88" s="8" t="s">
        <v>27</v>
      </c>
      <c r="BV88" s="8" t="s">
        <v>42</v>
      </c>
      <c r="BW88" s="8" t="s">
        <v>42</v>
      </c>
      <c r="BX88" s="8"/>
      <c r="BY88" s="8" t="s">
        <v>42</v>
      </c>
      <c r="BZ88" s="8" t="s">
        <v>42</v>
      </c>
      <c r="CA88" s="8" t="s">
        <v>42</v>
      </c>
      <c r="CB88" s="8" t="s">
        <v>42</v>
      </c>
      <c r="CC88" s="8" t="s">
        <v>42</v>
      </c>
      <c r="CD88" s="8" t="s">
        <v>42</v>
      </c>
      <c r="CE88" s="8" t="s">
        <v>42</v>
      </c>
      <c r="CF88" s="8" t="s">
        <v>70</v>
      </c>
      <c r="CG88" s="8" t="s">
        <v>71</v>
      </c>
    </row>
    <row r="89" spans="1:85" ht="15.75" customHeight="1" x14ac:dyDescent="0.35">
      <c r="A89" s="8">
        <v>82</v>
      </c>
      <c r="B89" s="8" t="s">
        <v>177</v>
      </c>
      <c r="C89" s="9">
        <v>3.4600000000000001E-4</v>
      </c>
      <c r="D89" s="9">
        <v>3.1799999999999998E-4</v>
      </c>
      <c r="E89" s="9">
        <v>4.37E-4</v>
      </c>
      <c r="F89" s="9">
        <v>1.63E-4</v>
      </c>
      <c r="G89" s="9">
        <v>1.3999999999999999E-4</v>
      </c>
      <c r="H89" s="9">
        <v>1.05E-4</v>
      </c>
      <c r="I89" s="9">
        <v>1.8200000000000001E-4</v>
      </c>
      <c r="J89" s="9">
        <v>1.44E-4</v>
      </c>
      <c r="K89" s="9">
        <v>1.7000000000000001E-4</v>
      </c>
      <c r="L89" s="9">
        <v>1.34E-4</v>
      </c>
      <c r="M89" s="9">
        <v>1.08E-4</v>
      </c>
      <c r="N89" s="10">
        <v>31945060</v>
      </c>
      <c r="O89" s="10">
        <v>29419860</v>
      </c>
      <c r="P89" s="10">
        <v>40348513</v>
      </c>
      <c r="Q89" s="10">
        <v>15025070</v>
      </c>
      <c r="R89" s="10">
        <v>12952436</v>
      </c>
      <c r="S89" s="10">
        <v>9710492</v>
      </c>
      <c r="T89" s="10">
        <v>16828872</v>
      </c>
      <c r="U89" s="10">
        <v>13339316</v>
      </c>
      <c r="V89" s="10">
        <v>15743778</v>
      </c>
      <c r="W89" s="10">
        <v>12372644</v>
      </c>
      <c r="X89" s="10">
        <v>9979328</v>
      </c>
      <c r="Y89" s="13">
        <v>2525200</v>
      </c>
      <c r="Z89" s="12">
        <v>-10928653</v>
      </c>
      <c r="AA89" s="13">
        <v>25323443</v>
      </c>
      <c r="AB89" s="13">
        <v>2072634</v>
      </c>
      <c r="AC89" s="13">
        <v>3241944</v>
      </c>
      <c r="AD89" s="12">
        <v>-7118380</v>
      </c>
      <c r="AE89" s="13">
        <v>3489556</v>
      </c>
      <c r="AF89" s="12">
        <v>-2404462</v>
      </c>
      <c r="AG89" s="13">
        <v>3371134</v>
      </c>
      <c r="AH89" s="13">
        <v>2393316</v>
      </c>
      <c r="AI89" s="12">
        <v>-54800</v>
      </c>
      <c r="AJ89" s="10">
        <v>156190222992</v>
      </c>
      <c r="AK89" s="10">
        <v>167277347605.70001</v>
      </c>
      <c r="AL89" s="10">
        <v>244108503477.54999</v>
      </c>
      <c r="AM89" s="10">
        <v>74561909973.649994</v>
      </c>
      <c r="AN89" s="10">
        <v>45447591832.5</v>
      </c>
      <c r="AO89" s="10">
        <v>30709430856</v>
      </c>
      <c r="AP89" s="10">
        <v>64395219416.400002</v>
      </c>
      <c r="AQ89" s="10">
        <v>48580416431.25</v>
      </c>
      <c r="AR89" s="10">
        <v>62975112061.199997</v>
      </c>
      <c r="AS89" s="10">
        <v>35803338530.099998</v>
      </c>
      <c r="AT89" s="10">
        <v>23085569393.099998</v>
      </c>
      <c r="AU89" s="14">
        <v>45838</v>
      </c>
      <c r="AV89" s="14">
        <v>45657</v>
      </c>
      <c r="AW89" s="14">
        <v>45291</v>
      </c>
      <c r="AX89" s="14">
        <v>44926</v>
      </c>
      <c r="AY89" s="14">
        <v>44561</v>
      </c>
      <c r="AZ89" s="14">
        <v>44196</v>
      </c>
      <c r="BA89" s="14">
        <v>43830</v>
      </c>
      <c r="BB89" s="14">
        <v>43465</v>
      </c>
      <c r="BC89" s="14">
        <v>43100</v>
      </c>
      <c r="BD89" s="14">
        <v>42735</v>
      </c>
      <c r="BE89" s="14">
        <v>42369</v>
      </c>
      <c r="BF89" s="8" t="s">
        <v>35</v>
      </c>
      <c r="BG89" s="8" t="s">
        <v>35</v>
      </c>
      <c r="BH89" s="8" t="s">
        <v>35</v>
      </c>
      <c r="BI89" s="8" t="s">
        <v>35</v>
      </c>
      <c r="BJ89" s="8" t="s">
        <v>35</v>
      </c>
      <c r="BK89" s="8" t="s">
        <v>35</v>
      </c>
      <c r="BL89" s="8" t="s">
        <v>35</v>
      </c>
      <c r="BM89" s="8" t="s">
        <v>35</v>
      </c>
      <c r="BN89" s="8" t="s">
        <v>35</v>
      </c>
      <c r="BO89" s="8" t="s">
        <v>35</v>
      </c>
      <c r="BP89" s="8" t="s">
        <v>35</v>
      </c>
      <c r="BQ89" s="8" t="s">
        <v>31</v>
      </c>
      <c r="BR89" s="8" t="s">
        <v>36</v>
      </c>
      <c r="BS89" s="10">
        <v>45703061073447.602</v>
      </c>
      <c r="BT89" s="8" t="s">
        <v>67</v>
      </c>
      <c r="BU89" s="8" t="s">
        <v>27</v>
      </c>
      <c r="BV89" s="8" t="s">
        <v>42</v>
      </c>
      <c r="BW89" s="8" t="s">
        <v>27</v>
      </c>
      <c r="BX89" s="8" t="s">
        <v>27</v>
      </c>
      <c r="BY89" s="8" t="s">
        <v>27</v>
      </c>
      <c r="BZ89" s="8" t="s">
        <v>27</v>
      </c>
      <c r="CA89" s="8" t="s">
        <v>42</v>
      </c>
      <c r="CB89" s="8" t="s">
        <v>42</v>
      </c>
      <c r="CC89" s="8" t="s">
        <v>42</v>
      </c>
      <c r="CD89" s="8" t="s">
        <v>42</v>
      </c>
      <c r="CE89" s="8" t="s">
        <v>42</v>
      </c>
      <c r="CF89" s="8" t="s">
        <v>65</v>
      </c>
      <c r="CG89" s="8" t="s">
        <v>65</v>
      </c>
    </row>
    <row r="90" spans="1:85" ht="15.75" customHeight="1" x14ac:dyDescent="0.35">
      <c r="A90" s="8">
        <v>83</v>
      </c>
      <c r="B90" s="8" t="s">
        <v>178</v>
      </c>
      <c r="C90" s="9">
        <v>3.2000000000000003E-4</v>
      </c>
      <c r="D90" s="9">
        <v>9.2000000000000003E-4</v>
      </c>
      <c r="E90" s="9">
        <v>1.7E-5</v>
      </c>
      <c r="F90" s="9">
        <v>1.8E-5</v>
      </c>
      <c r="G90" s="8"/>
      <c r="H90" s="9">
        <v>0</v>
      </c>
      <c r="I90" s="9">
        <v>0</v>
      </c>
      <c r="J90" s="8"/>
      <c r="K90" s="8"/>
      <c r="L90" s="8"/>
      <c r="M90" s="8"/>
      <c r="N90" s="10">
        <v>29612500</v>
      </c>
      <c r="O90" s="10">
        <v>85039100</v>
      </c>
      <c r="P90" s="10">
        <v>1551200</v>
      </c>
      <c r="Q90" s="10">
        <v>1684400</v>
      </c>
      <c r="R90" s="8"/>
      <c r="S90" s="10">
        <v>0</v>
      </c>
      <c r="T90" s="10">
        <v>0</v>
      </c>
      <c r="U90" s="8"/>
      <c r="V90" s="8"/>
      <c r="W90" s="8"/>
      <c r="X90" s="8"/>
      <c r="Y90" s="12">
        <v>-55426600</v>
      </c>
      <c r="Z90" s="13">
        <v>83487900</v>
      </c>
      <c r="AA90" s="12">
        <v>-133200</v>
      </c>
      <c r="AB90" s="13">
        <v>1684400</v>
      </c>
      <c r="AC90" s="8"/>
      <c r="AD90" s="11">
        <v>0</v>
      </c>
      <c r="AE90" s="11">
        <v>0</v>
      </c>
      <c r="AF90" s="8"/>
      <c r="AG90" s="8"/>
      <c r="AH90" s="8"/>
      <c r="AI90" s="8"/>
      <c r="AJ90" s="10">
        <v>130255907787.60001</v>
      </c>
      <c r="AK90" s="10">
        <v>483520829097.40002</v>
      </c>
      <c r="AL90" s="10">
        <v>9384759978.3999996</v>
      </c>
      <c r="AM90" s="10">
        <v>8358835060.9499998</v>
      </c>
      <c r="AN90" s="8"/>
      <c r="AO90" s="10">
        <v>0</v>
      </c>
      <c r="AP90" s="10">
        <v>0</v>
      </c>
      <c r="AQ90" s="8"/>
      <c r="AR90" s="8"/>
      <c r="AS90" s="8"/>
      <c r="AT90" s="8"/>
      <c r="AU90" s="14">
        <v>45930</v>
      </c>
      <c r="AV90" s="14">
        <v>45657</v>
      </c>
      <c r="AW90" s="14">
        <v>45291</v>
      </c>
      <c r="AX90" s="14">
        <v>44926</v>
      </c>
      <c r="AY90" s="8"/>
      <c r="AZ90" s="14">
        <v>43830</v>
      </c>
      <c r="BA90" s="14">
        <v>43830</v>
      </c>
      <c r="BB90" s="8"/>
      <c r="BC90" s="8"/>
      <c r="BD90" s="8"/>
      <c r="BE90" s="8"/>
      <c r="BF90" s="8" t="s">
        <v>35</v>
      </c>
      <c r="BG90" s="8" t="s">
        <v>35</v>
      </c>
      <c r="BH90" s="8" t="s">
        <v>35</v>
      </c>
      <c r="BI90" s="8" t="s">
        <v>35</v>
      </c>
      <c r="BJ90" s="8"/>
      <c r="BK90" s="8" t="s">
        <v>35</v>
      </c>
      <c r="BL90" s="8" t="s">
        <v>35</v>
      </c>
      <c r="BM90" s="8"/>
      <c r="BN90" s="8"/>
      <c r="BO90" s="8"/>
      <c r="BP90" s="8"/>
      <c r="BQ90" s="8" t="s">
        <v>31</v>
      </c>
      <c r="BR90" s="8" t="s">
        <v>49</v>
      </c>
      <c r="BS90" s="10">
        <v>415454436566123</v>
      </c>
      <c r="BT90" s="8" t="s">
        <v>61</v>
      </c>
      <c r="BU90" s="8" t="s">
        <v>42</v>
      </c>
      <c r="BV90" s="8" t="s">
        <v>42</v>
      </c>
      <c r="BW90" s="8" t="s">
        <v>42</v>
      </c>
      <c r="BX90" s="8" t="s">
        <v>42</v>
      </c>
      <c r="BY90" s="8"/>
      <c r="BZ90" s="8" t="s">
        <v>42</v>
      </c>
      <c r="CA90" s="8" t="s">
        <v>43</v>
      </c>
      <c r="CB90" s="8"/>
      <c r="CC90" s="8"/>
      <c r="CD90" s="8"/>
      <c r="CE90" s="8"/>
      <c r="CF90" s="8" t="s">
        <v>85</v>
      </c>
      <c r="CG90" s="8" t="s">
        <v>39</v>
      </c>
    </row>
    <row r="91" spans="1:85" ht="15.75" customHeight="1" x14ac:dyDescent="0.35">
      <c r="A91" s="8">
        <v>84</v>
      </c>
      <c r="B91" s="8" t="s">
        <v>179</v>
      </c>
      <c r="C91" s="9">
        <v>3.2000000000000003E-4</v>
      </c>
      <c r="D91" s="9">
        <v>2.9799999999999998E-4</v>
      </c>
      <c r="E91" s="9">
        <v>2.9999999999999997E-4</v>
      </c>
      <c r="F91" s="9">
        <v>2.8299999999999999E-4</v>
      </c>
      <c r="G91" s="9">
        <v>2.9100000000000003E-4</v>
      </c>
      <c r="H91" s="9">
        <v>3.1100000000000002E-4</v>
      </c>
      <c r="I91" s="9">
        <v>2.5000000000000001E-4</v>
      </c>
      <c r="J91" s="9">
        <v>1.5100000000000001E-4</v>
      </c>
      <c r="K91" s="8"/>
      <c r="L91" s="8"/>
      <c r="M91" s="8"/>
      <c r="N91" s="10">
        <v>29530400</v>
      </c>
      <c r="O91" s="10">
        <v>27558400</v>
      </c>
      <c r="P91" s="10">
        <v>27685000</v>
      </c>
      <c r="Q91" s="10">
        <v>26143000</v>
      </c>
      <c r="R91" s="10">
        <v>26929000</v>
      </c>
      <c r="S91" s="10">
        <v>28736200</v>
      </c>
      <c r="T91" s="10">
        <v>23087800</v>
      </c>
      <c r="U91" s="10">
        <v>13947400</v>
      </c>
      <c r="V91" s="8"/>
      <c r="W91" s="8"/>
      <c r="X91" s="8"/>
      <c r="Y91" s="13">
        <v>1972000</v>
      </c>
      <c r="Z91" s="12">
        <v>-126600</v>
      </c>
      <c r="AA91" s="13">
        <v>1542000</v>
      </c>
      <c r="AB91" s="12">
        <v>-786000</v>
      </c>
      <c r="AC91" s="12">
        <v>-1807200</v>
      </c>
      <c r="AD91" s="13">
        <v>5648400</v>
      </c>
      <c r="AE91" s="13">
        <v>9140400</v>
      </c>
      <c r="AF91" s="13">
        <v>13947400</v>
      </c>
      <c r="AG91" s="8"/>
      <c r="AH91" s="8"/>
      <c r="AI91" s="8"/>
      <c r="AJ91" s="10">
        <v>129894776131.39999</v>
      </c>
      <c r="AK91" s="10">
        <v>156693337721.60001</v>
      </c>
      <c r="AL91" s="10">
        <v>167494249894.04999</v>
      </c>
      <c r="AM91" s="10">
        <v>129734637664.5</v>
      </c>
      <c r="AN91" s="10">
        <v>94488650767.5</v>
      </c>
      <c r="AO91" s="10">
        <v>90878232463.199997</v>
      </c>
      <c r="AP91" s="10">
        <v>81095897432.800003</v>
      </c>
      <c r="AQ91" s="10">
        <v>50794995868.75</v>
      </c>
      <c r="AR91" s="8"/>
      <c r="AS91" s="8"/>
      <c r="AT91" s="8"/>
      <c r="AU91" s="14">
        <v>45930</v>
      </c>
      <c r="AV91" s="14">
        <v>45657</v>
      </c>
      <c r="AW91" s="14">
        <v>45291</v>
      </c>
      <c r="AX91" s="14">
        <v>44926</v>
      </c>
      <c r="AY91" s="14">
        <v>44561</v>
      </c>
      <c r="AZ91" s="14">
        <v>44196</v>
      </c>
      <c r="BA91" s="14">
        <v>43769</v>
      </c>
      <c r="BB91" s="14">
        <v>43465</v>
      </c>
      <c r="BC91" s="8"/>
      <c r="BD91" s="8"/>
      <c r="BE91" s="8"/>
      <c r="BF91" s="8" t="s">
        <v>35</v>
      </c>
      <c r="BG91" s="8" t="s">
        <v>35</v>
      </c>
      <c r="BH91" s="8" t="s">
        <v>35</v>
      </c>
      <c r="BI91" s="8" t="s">
        <v>35</v>
      </c>
      <c r="BJ91" s="8" t="s">
        <v>35</v>
      </c>
      <c r="BK91" s="8" t="s">
        <v>35</v>
      </c>
      <c r="BL91" s="8" t="s">
        <v>35</v>
      </c>
      <c r="BM91" s="8" t="s">
        <v>35</v>
      </c>
      <c r="BN91" s="8"/>
      <c r="BO91" s="8"/>
      <c r="BP91" s="8"/>
      <c r="BQ91" s="8" t="s">
        <v>31</v>
      </c>
      <c r="BR91" s="8" t="s">
        <v>36</v>
      </c>
      <c r="BS91" s="10">
        <v>200208234117782</v>
      </c>
      <c r="BT91" s="8" t="s">
        <v>37</v>
      </c>
      <c r="BU91" s="8" t="s">
        <v>27</v>
      </c>
      <c r="BV91" s="8" t="s">
        <v>27</v>
      </c>
      <c r="BW91" s="8" t="s">
        <v>42</v>
      </c>
      <c r="BX91" s="8" t="s">
        <v>27</v>
      </c>
      <c r="BY91" s="8" t="s">
        <v>27</v>
      </c>
      <c r="BZ91" s="8" t="s">
        <v>27</v>
      </c>
      <c r="CA91" s="8" t="s">
        <v>27</v>
      </c>
      <c r="CB91" s="8" t="s">
        <v>42</v>
      </c>
      <c r="CC91" s="8"/>
      <c r="CD91" s="8"/>
      <c r="CE91" s="8"/>
      <c r="CF91" s="8" t="s">
        <v>180</v>
      </c>
      <c r="CG91" s="8" t="s">
        <v>181</v>
      </c>
    </row>
    <row r="92" spans="1:85" ht="15.75" customHeight="1" x14ac:dyDescent="0.35">
      <c r="A92" s="8">
        <v>85</v>
      </c>
      <c r="B92" s="8" t="s">
        <v>182</v>
      </c>
      <c r="C92" s="9">
        <v>3.0400000000000002E-4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10">
        <v>28118900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13">
        <v>28118900</v>
      </c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10">
        <v>123686039453.2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14">
        <v>45930</v>
      </c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 t="s">
        <v>35</v>
      </c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 t="s">
        <v>31</v>
      </c>
      <c r="BR92" s="8" t="s">
        <v>49</v>
      </c>
      <c r="BS92" s="10">
        <v>227032398877014</v>
      </c>
      <c r="BT92" s="8" t="s">
        <v>57</v>
      </c>
      <c r="BU92" s="8" t="s">
        <v>27</v>
      </c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 t="s">
        <v>183</v>
      </c>
      <c r="CG92" s="8" t="s">
        <v>118</v>
      </c>
    </row>
    <row r="93" spans="1:85" ht="15.75" customHeight="1" x14ac:dyDescent="0.35">
      <c r="A93" s="8">
        <v>86</v>
      </c>
      <c r="B93" s="8" t="s">
        <v>184</v>
      </c>
      <c r="C93" s="9">
        <v>3.0400000000000002E-4</v>
      </c>
      <c r="D93" s="9">
        <v>1.01E-4</v>
      </c>
      <c r="E93" s="9">
        <v>0</v>
      </c>
      <c r="F93" s="9">
        <v>0</v>
      </c>
      <c r="G93" s="8"/>
      <c r="H93" s="8"/>
      <c r="I93" s="8"/>
      <c r="J93" s="8"/>
      <c r="K93" s="8"/>
      <c r="L93" s="9">
        <v>0</v>
      </c>
      <c r="M93" s="9">
        <v>0</v>
      </c>
      <c r="N93" s="10">
        <v>28102321</v>
      </c>
      <c r="O93" s="10">
        <v>9352300</v>
      </c>
      <c r="P93" s="10">
        <v>0</v>
      </c>
      <c r="Q93" s="10">
        <v>0</v>
      </c>
      <c r="R93" s="8"/>
      <c r="S93" s="8"/>
      <c r="T93" s="8"/>
      <c r="U93" s="8"/>
      <c r="V93" s="8"/>
      <c r="W93" s="10">
        <v>0</v>
      </c>
      <c r="X93" s="10">
        <v>0</v>
      </c>
      <c r="Y93" s="13">
        <v>18750021</v>
      </c>
      <c r="Z93" s="13">
        <v>9352300</v>
      </c>
      <c r="AA93" s="11">
        <v>0</v>
      </c>
      <c r="AB93" s="11">
        <v>0</v>
      </c>
      <c r="AC93" s="8"/>
      <c r="AD93" s="8"/>
      <c r="AE93" s="8"/>
      <c r="AF93" s="8"/>
      <c r="AG93" s="8"/>
      <c r="AH93" s="11">
        <v>0</v>
      </c>
      <c r="AI93" s="11">
        <v>0</v>
      </c>
      <c r="AJ93" s="10">
        <v>123613113801.8</v>
      </c>
      <c r="AK93" s="10">
        <v>53175913726.800003</v>
      </c>
      <c r="AL93" s="10">
        <v>0</v>
      </c>
      <c r="AM93" s="10">
        <v>0</v>
      </c>
      <c r="AN93" s="8"/>
      <c r="AO93" s="8"/>
      <c r="AP93" s="8"/>
      <c r="AQ93" s="8"/>
      <c r="AR93" s="8"/>
      <c r="AS93" s="10">
        <v>0</v>
      </c>
      <c r="AT93" s="10">
        <v>0</v>
      </c>
      <c r="AU93" s="14">
        <v>45930</v>
      </c>
      <c r="AV93" s="14">
        <v>45657</v>
      </c>
      <c r="AW93" s="14">
        <v>45230</v>
      </c>
      <c r="AX93" s="14">
        <v>44926</v>
      </c>
      <c r="AY93" s="8"/>
      <c r="AZ93" s="8"/>
      <c r="BA93" s="8"/>
      <c r="BB93" s="8"/>
      <c r="BC93" s="8"/>
      <c r="BD93" s="14">
        <v>42338</v>
      </c>
      <c r="BE93" s="14">
        <v>42338</v>
      </c>
      <c r="BF93" s="8" t="s">
        <v>35</v>
      </c>
      <c r="BG93" s="8" t="s">
        <v>35</v>
      </c>
      <c r="BH93" s="8" t="s">
        <v>35</v>
      </c>
      <c r="BI93" s="8" t="s">
        <v>35</v>
      </c>
      <c r="BJ93" s="8"/>
      <c r="BK93" s="8"/>
      <c r="BL93" s="8"/>
      <c r="BM93" s="8"/>
      <c r="BN93" s="8"/>
      <c r="BO93" s="8" t="s">
        <v>35</v>
      </c>
      <c r="BP93" s="8" t="s">
        <v>35</v>
      </c>
      <c r="BQ93" s="8" t="s">
        <v>31</v>
      </c>
      <c r="BR93" s="8" t="s">
        <v>36</v>
      </c>
      <c r="BS93" s="10">
        <v>104957876875321</v>
      </c>
      <c r="BT93" s="8" t="s">
        <v>57</v>
      </c>
      <c r="BU93" s="8" t="s">
        <v>27</v>
      </c>
      <c r="BV93" s="8" t="s">
        <v>42</v>
      </c>
      <c r="BW93" s="8" t="s">
        <v>42</v>
      </c>
      <c r="BX93" s="8" t="s">
        <v>42</v>
      </c>
      <c r="BY93" s="8"/>
      <c r="BZ93" s="8"/>
      <c r="CA93" s="8"/>
      <c r="CB93" s="8"/>
      <c r="CC93" s="8"/>
      <c r="CD93" s="8" t="s">
        <v>42</v>
      </c>
      <c r="CE93" s="8" t="s">
        <v>42</v>
      </c>
      <c r="CF93" s="8" t="s">
        <v>50</v>
      </c>
      <c r="CG93" s="8" t="s">
        <v>51</v>
      </c>
    </row>
    <row r="94" spans="1:85" ht="15.75" customHeight="1" x14ac:dyDescent="0.35">
      <c r="A94" s="8">
        <v>87</v>
      </c>
      <c r="B94" s="8" t="s">
        <v>185</v>
      </c>
      <c r="C94" s="9">
        <v>2.9999999999999997E-4</v>
      </c>
      <c r="D94" s="9">
        <v>3.0699999999999998E-4</v>
      </c>
      <c r="E94" s="9">
        <v>1.9900000000000001E-4</v>
      </c>
      <c r="F94" s="9">
        <v>2.1599999999999999E-4</v>
      </c>
      <c r="G94" s="9">
        <v>6.0000000000000002E-5</v>
      </c>
      <c r="H94" s="9">
        <v>7.8999999999999996E-5</v>
      </c>
      <c r="I94" s="9">
        <v>7.2000000000000002E-5</v>
      </c>
      <c r="J94" s="9">
        <v>3.3E-4</v>
      </c>
      <c r="K94" s="9">
        <v>4.17E-4</v>
      </c>
      <c r="L94" s="9">
        <v>5.6300000000000002E-4</v>
      </c>
      <c r="M94" s="9">
        <v>9.2500000000000004E-4</v>
      </c>
      <c r="N94" s="10">
        <v>27700726</v>
      </c>
      <c r="O94" s="10">
        <v>28354978</v>
      </c>
      <c r="P94" s="10">
        <v>18410000</v>
      </c>
      <c r="Q94" s="10">
        <v>19969600</v>
      </c>
      <c r="R94" s="10">
        <v>5519600</v>
      </c>
      <c r="S94" s="10">
        <v>7257000</v>
      </c>
      <c r="T94" s="10">
        <v>6689400</v>
      </c>
      <c r="U94" s="10">
        <v>30514720</v>
      </c>
      <c r="V94" s="10">
        <v>38506520</v>
      </c>
      <c r="W94" s="10">
        <v>52010920</v>
      </c>
      <c r="X94" s="10">
        <v>85495720</v>
      </c>
      <c r="Y94" s="12">
        <v>-654252</v>
      </c>
      <c r="Z94" s="13">
        <v>9944978</v>
      </c>
      <c r="AA94" s="12">
        <v>-1559600</v>
      </c>
      <c r="AB94" s="13">
        <v>14450000</v>
      </c>
      <c r="AC94" s="12">
        <v>-1737400</v>
      </c>
      <c r="AD94" s="13">
        <v>567600</v>
      </c>
      <c r="AE94" s="12">
        <v>-23825320</v>
      </c>
      <c r="AF94" s="12">
        <v>-7991800</v>
      </c>
      <c r="AG94" s="12">
        <v>-13504400</v>
      </c>
      <c r="AH94" s="12">
        <v>-33484800</v>
      </c>
      <c r="AI94" s="13">
        <v>5856000</v>
      </c>
      <c r="AJ94" s="10">
        <v>121846626013</v>
      </c>
      <c r="AK94" s="10">
        <v>161222572480.89999</v>
      </c>
      <c r="AL94" s="10">
        <v>111380499893.14999</v>
      </c>
      <c r="AM94" s="10">
        <v>99099140049.25</v>
      </c>
      <c r="AN94" s="10">
        <v>19367208487.5</v>
      </c>
      <c r="AO94" s="10">
        <v>22950262483.200001</v>
      </c>
      <c r="AP94" s="10">
        <v>25596806441.599998</v>
      </c>
      <c r="AQ94" s="10">
        <v>111131470725</v>
      </c>
      <c r="AR94" s="10">
        <v>154026079965.95001</v>
      </c>
      <c r="AS94" s="10">
        <v>150506599816.5</v>
      </c>
      <c r="AT94" s="10">
        <v>197780590218.60001</v>
      </c>
      <c r="AU94" s="14">
        <v>45930</v>
      </c>
      <c r="AV94" s="14">
        <v>45657</v>
      </c>
      <c r="AW94" s="14">
        <v>45291</v>
      </c>
      <c r="AX94" s="14">
        <v>44926</v>
      </c>
      <c r="AY94" s="14">
        <v>44561</v>
      </c>
      <c r="AZ94" s="14">
        <v>44196</v>
      </c>
      <c r="BA94" s="14">
        <v>43830</v>
      </c>
      <c r="BB94" s="14">
        <v>43465</v>
      </c>
      <c r="BC94" s="14">
        <v>43100</v>
      </c>
      <c r="BD94" s="14">
        <v>42735</v>
      </c>
      <c r="BE94" s="14">
        <v>42369</v>
      </c>
      <c r="BF94" s="8" t="s">
        <v>35</v>
      </c>
      <c r="BG94" s="8" t="s">
        <v>35</v>
      </c>
      <c r="BH94" s="8" t="s">
        <v>35</v>
      </c>
      <c r="BI94" s="8" t="s">
        <v>35</v>
      </c>
      <c r="BJ94" s="8" t="s">
        <v>35</v>
      </c>
      <c r="BK94" s="8" t="s">
        <v>35</v>
      </c>
      <c r="BL94" s="8" t="s">
        <v>35</v>
      </c>
      <c r="BM94" s="8" t="s">
        <v>35</v>
      </c>
      <c r="BN94" s="8" t="s">
        <v>35</v>
      </c>
      <c r="BO94" s="8" t="s">
        <v>35</v>
      </c>
      <c r="BP94" s="8" t="s">
        <v>35</v>
      </c>
      <c r="BQ94" s="8" t="s">
        <v>31</v>
      </c>
      <c r="BR94" s="8" t="s">
        <v>36</v>
      </c>
      <c r="BS94" s="10">
        <v>374994558886936</v>
      </c>
      <c r="BT94" s="8" t="s">
        <v>61</v>
      </c>
      <c r="BU94" s="8" t="s">
        <v>27</v>
      </c>
      <c r="BV94" s="8" t="s">
        <v>42</v>
      </c>
      <c r="BW94" s="8" t="s">
        <v>42</v>
      </c>
      <c r="BX94" s="8" t="s">
        <v>42</v>
      </c>
      <c r="BY94" s="8" t="s">
        <v>42</v>
      </c>
      <c r="BZ94" s="8" t="s">
        <v>42</v>
      </c>
      <c r="CA94" s="8" t="s">
        <v>42</v>
      </c>
      <c r="CB94" s="8" t="s">
        <v>27</v>
      </c>
      <c r="CC94" s="8" t="s">
        <v>27</v>
      </c>
      <c r="CD94" s="8" t="s">
        <v>42</v>
      </c>
      <c r="CE94" s="8" t="s">
        <v>42</v>
      </c>
      <c r="CF94" s="8" t="s">
        <v>65</v>
      </c>
      <c r="CG94" s="8" t="s">
        <v>65</v>
      </c>
    </row>
    <row r="95" spans="1:85" ht="15.75" customHeight="1" x14ac:dyDescent="0.35">
      <c r="A95" s="8">
        <v>88</v>
      </c>
      <c r="B95" s="8" t="s">
        <v>186</v>
      </c>
      <c r="C95" s="9">
        <v>2.92E-4</v>
      </c>
      <c r="D95" s="9">
        <v>3.9399999999999998E-4</v>
      </c>
      <c r="E95" s="9">
        <v>1.7440000000000001E-3</v>
      </c>
      <c r="F95" s="9">
        <v>2.1979999999999999E-3</v>
      </c>
      <c r="G95" s="8"/>
      <c r="H95" s="8"/>
      <c r="I95" s="8"/>
      <c r="J95" s="8"/>
      <c r="K95" s="8"/>
      <c r="L95" s="9">
        <v>0</v>
      </c>
      <c r="M95" s="9">
        <v>0</v>
      </c>
      <c r="N95" s="10">
        <v>26983816</v>
      </c>
      <c r="O95" s="10">
        <v>36360676</v>
      </c>
      <c r="P95" s="10">
        <v>161153999</v>
      </c>
      <c r="Q95" s="10">
        <v>203105418</v>
      </c>
      <c r="R95" s="8"/>
      <c r="S95" s="8"/>
      <c r="T95" s="8"/>
      <c r="U95" s="8"/>
      <c r="V95" s="8"/>
      <c r="W95" s="10">
        <v>0</v>
      </c>
      <c r="X95" s="10">
        <v>0</v>
      </c>
      <c r="Y95" s="12">
        <v>-9376860</v>
      </c>
      <c r="Z95" s="12">
        <v>-124793323</v>
      </c>
      <c r="AA95" s="12">
        <v>-41951419</v>
      </c>
      <c r="AB95" s="13">
        <v>203105418</v>
      </c>
      <c r="AC95" s="8"/>
      <c r="AD95" s="8"/>
      <c r="AE95" s="8"/>
      <c r="AF95" s="8"/>
      <c r="AG95" s="8"/>
      <c r="AH95" s="11">
        <v>0</v>
      </c>
      <c r="AI95" s="11">
        <v>0</v>
      </c>
      <c r="AJ95" s="10">
        <v>118693168400.8</v>
      </c>
      <c r="AK95" s="10">
        <v>206741889314.60001</v>
      </c>
      <c r="AL95" s="10">
        <v>974981693178.05005</v>
      </c>
      <c r="AM95" s="10">
        <v>1007910637675.7</v>
      </c>
      <c r="AN95" s="8"/>
      <c r="AO95" s="8"/>
      <c r="AP95" s="8"/>
      <c r="AQ95" s="8"/>
      <c r="AR95" s="8"/>
      <c r="AS95" s="10">
        <v>0</v>
      </c>
      <c r="AT95" s="10">
        <v>0</v>
      </c>
      <c r="AU95" s="14">
        <v>45930</v>
      </c>
      <c r="AV95" s="14">
        <v>45657</v>
      </c>
      <c r="AW95" s="14">
        <v>45291</v>
      </c>
      <c r="AX95" s="14">
        <v>44926</v>
      </c>
      <c r="AY95" s="8"/>
      <c r="AZ95" s="8"/>
      <c r="BA95" s="8"/>
      <c r="BB95" s="8"/>
      <c r="BC95" s="8"/>
      <c r="BD95" s="14">
        <v>42247</v>
      </c>
      <c r="BE95" s="14">
        <v>42247</v>
      </c>
      <c r="BF95" s="8" t="s">
        <v>35</v>
      </c>
      <c r="BG95" s="8" t="s">
        <v>35</v>
      </c>
      <c r="BH95" s="8" t="s">
        <v>35</v>
      </c>
      <c r="BI95" s="8" t="s">
        <v>35</v>
      </c>
      <c r="BJ95" s="8"/>
      <c r="BK95" s="8"/>
      <c r="BL95" s="8"/>
      <c r="BM95" s="8"/>
      <c r="BN95" s="8"/>
      <c r="BO95" s="8" t="s">
        <v>35</v>
      </c>
      <c r="BP95" s="8" t="s">
        <v>35</v>
      </c>
      <c r="BQ95" s="8" t="s">
        <v>31</v>
      </c>
      <c r="BR95" s="8" t="s">
        <v>49</v>
      </c>
      <c r="BS95" s="10">
        <v>273857635692937</v>
      </c>
      <c r="BT95" s="8" t="s">
        <v>61</v>
      </c>
      <c r="BU95" s="8" t="s">
        <v>42</v>
      </c>
      <c r="BV95" s="8" t="s">
        <v>42</v>
      </c>
      <c r="BW95" s="8" t="s">
        <v>42</v>
      </c>
      <c r="BX95" s="8" t="s">
        <v>42</v>
      </c>
      <c r="BY95" s="8"/>
      <c r="BZ95" s="8"/>
      <c r="CA95" s="8"/>
      <c r="CB95" s="8"/>
      <c r="CC95" s="8"/>
      <c r="CD95" s="8" t="s">
        <v>42</v>
      </c>
      <c r="CE95" s="8" t="s">
        <v>43</v>
      </c>
      <c r="CF95" s="8" t="s">
        <v>50</v>
      </c>
      <c r="CG95" s="8" t="s">
        <v>51</v>
      </c>
    </row>
    <row r="96" spans="1:85" ht="15.75" customHeight="1" x14ac:dyDescent="0.35">
      <c r="A96" s="8">
        <v>89</v>
      </c>
      <c r="B96" s="8" t="s">
        <v>187</v>
      </c>
      <c r="C96" s="9">
        <v>2.8800000000000001E-4</v>
      </c>
      <c r="D96" s="9">
        <v>1.01E-4</v>
      </c>
      <c r="E96" s="8"/>
      <c r="F96" s="8"/>
      <c r="G96" s="8"/>
      <c r="H96" s="8"/>
      <c r="I96" s="8"/>
      <c r="J96" s="8"/>
      <c r="K96" s="8"/>
      <c r="L96" s="8"/>
      <c r="M96" s="8"/>
      <c r="N96" s="10">
        <v>26650900</v>
      </c>
      <c r="O96" s="10">
        <v>9352300</v>
      </c>
      <c r="P96" s="8"/>
      <c r="Q96" s="8"/>
      <c r="R96" s="8"/>
      <c r="S96" s="8"/>
      <c r="T96" s="8"/>
      <c r="U96" s="8"/>
      <c r="V96" s="8"/>
      <c r="W96" s="8"/>
      <c r="X96" s="8"/>
      <c r="Y96" s="13">
        <v>17298600</v>
      </c>
      <c r="Z96" s="13">
        <v>9352300</v>
      </c>
      <c r="AA96" s="8"/>
      <c r="AB96" s="8"/>
      <c r="AC96" s="8"/>
      <c r="AD96" s="8"/>
      <c r="AE96" s="8"/>
      <c r="AF96" s="8"/>
      <c r="AG96" s="8"/>
      <c r="AH96" s="8"/>
      <c r="AI96" s="8"/>
      <c r="AJ96" s="10">
        <v>120672380150</v>
      </c>
      <c r="AK96" s="10">
        <v>53175913726.800003</v>
      </c>
      <c r="AL96" s="8"/>
      <c r="AM96" s="8"/>
      <c r="AN96" s="8"/>
      <c r="AO96" s="8"/>
      <c r="AP96" s="8"/>
      <c r="AQ96" s="8"/>
      <c r="AR96" s="8"/>
      <c r="AS96" s="8"/>
      <c r="AT96" s="8"/>
      <c r="AU96" s="14">
        <v>45869</v>
      </c>
      <c r="AV96" s="14">
        <v>45657</v>
      </c>
      <c r="AW96" s="8"/>
      <c r="AX96" s="8"/>
      <c r="AY96" s="8"/>
      <c r="AZ96" s="8"/>
      <c r="BA96" s="8"/>
      <c r="BB96" s="8"/>
      <c r="BC96" s="8"/>
      <c r="BD96" s="8"/>
      <c r="BE96" s="8"/>
      <c r="BF96" s="8" t="s">
        <v>35</v>
      </c>
      <c r="BG96" s="8" t="s">
        <v>35</v>
      </c>
      <c r="BH96" s="8"/>
      <c r="BI96" s="8"/>
      <c r="BJ96" s="8"/>
      <c r="BK96" s="8"/>
      <c r="BL96" s="8"/>
      <c r="BM96" s="8"/>
      <c r="BN96" s="8"/>
      <c r="BO96" s="8"/>
      <c r="BP96" s="8"/>
      <c r="BQ96" s="8" t="s">
        <v>31</v>
      </c>
      <c r="BR96" s="8" t="s">
        <v>36</v>
      </c>
      <c r="BS96" s="10">
        <v>35804573061006</v>
      </c>
      <c r="BT96" s="8"/>
      <c r="BU96" s="8" t="s">
        <v>27</v>
      </c>
      <c r="BV96" s="8" t="s">
        <v>42</v>
      </c>
      <c r="BW96" s="8"/>
      <c r="BX96" s="8"/>
      <c r="BY96" s="8"/>
      <c r="BZ96" s="8"/>
      <c r="CA96" s="8"/>
      <c r="CB96" s="8"/>
      <c r="CC96" s="8"/>
      <c r="CD96" s="8"/>
      <c r="CE96" s="8"/>
      <c r="CF96" s="8" t="s">
        <v>50</v>
      </c>
      <c r="CG96" s="8" t="s">
        <v>51</v>
      </c>
    </row>
    <row r="97" spans="1:85" ht="15.75" customHeight="1" x14ac:dyDescent="0.35">
      <c r="A97" s="8">
        <v>90</v>
      </c>
      <c r="B97" s="8" t="s">
        <v>188</v>
      </c>
      <c r="C97" s="9">
        <v>2.8800000000000001E-4</v>
      </c>
      <c r="D97" s="9">
        <v>3.5300000000000002E-4</v>
      </c>
      <c r="E97" s="9">
        <v>5.2400000000000005E-4</v>
      </c>
      <c r="F97" s="9">
        <v>2.3E-5</v>
      </c>
      <c r="G97" s="9">
        <v>0</v>
      </c>
      <c r="H97" s="9">
        <v>0</v>
      </c>
      <c r="I97" s="9">
        <v>5.71E-4</v>
      </c>
      <c r="J97" s="8"/>
      <c r="K97" s="8"/>
      <c r="L97" s="8"/>
      <c r="M97" s="9">
        <v>3.0000000000000001E-6</v>
      </c>
      <c r="N97" s="10">
        <v>26578900</v>
      </c>
      <c r="O97" s="10">
        <v>32606300</v>
      </c>
      <c r="P97" s="10">
        <v>48398300</v>
      </c>
      <c r="Q97" s="10">
        <v>2149434</v>
      </c>
      <c r="R97" s="10">
        <v>0</v>
      </c>
      <c r="S97" s="10">
        <v>0</v>
      </c>
      <c r="T97" s="10">
        <v>52753124</v>
      </c>
      <c r="U97" s="8"/>
      <c r="V97" s="8"/>
      <c r="W97" s="8"/>
      <c r="X97" s="10">
        <v>234000</v>
      </c>
      <c r="Y97" s="12">
        <v>-6027400</v>
      </c>
      <c r="Z97" s="12">
        <v>-15792000</v>
      </c>
      <c r="AA97" s="13">
        <v>46248866</v>
      </c>
      <c r="AB97" s="13">
        <v>2149434</v>
      </c>
      <c r="AC97" s="11">
        <v>0</v>
      </c>
      <c r="AD97" s="12">
        <v>-52753124</v>
      </c>
      <c r="AE97" s="13">
        <v>52753124</v>
      </c>
      <c r="AF97" s="8"/>
      <c r="AG97" s="8"/>
      <c r="AH97" s="8"/>
      <c r="AI97" s="11">
        <v>0</v>
      </c>
      <c r="AJ97" s="10">
        <v>126833811268.5</v>
      </c>
      <c r="AK97" s="10">
        <v>185395014876.29999</v>
      </c>
      <c r="AL97" s="10">
        <v>292809714774.5</v>
      </c>
      <c r="AM97" s="10">
        <v>10666566244.4</v>
      </c>
      <c r="AN97" s="10">
        <v>0</v>
      </c>
      <c r="AO97" s="10">
        <v>0</v>
      </c>
      <c r="AP97" s="10">
        <v>201858389008</v>
      </c>
      <c r="AQ97" s="8"/>
      <c r="AR97" s="8"/>
      <c r="AS97" s="8"/>
      <c r="AT97" s="10">
        <v>599625049.5</v>
      </c>
      <c r="AU97" s="14">
        <v>45900</v>
      </c>
      <c r="AV97" s="14">
        <v>45657</v>
      </c>
      <c r="AW97" s="14">
        <v>45291</v>
      </c>
      <c r="AX97" s="14">
        <v>44926</v>
      </c>
      <c r="AY97" s="14">
        <v>44196</v>
      </c>
      <c r="AZ97" s="14">
        <v>44196</v>
      </c>
      <c r="BA97" s="14">
        <v>43830</v>
      </c>
      <c r="BB97" s="8"/>
      <c r="BC97" s="8"/>
      <c r="BD97" s="8"/>
      <c r="BE97" s="14">
        <v>41851</v>
      </c>
      <c r="BF97" s="8" t="s">
        <v>35</v>
      </c>
      <c r="BG97" s="8" t="s">
        <v>35</v>
      </c>
      <c r="BH97" s="8" t="s">
        <v>35</v>
      </c>
      <c r="BI97" s="8" t="s">
        <v>35</v>
      </c>
      <c r="BJ97" s="8" t="s">
        <v>35</v>
      </c>
      <c r="BK97" s="8" t="s">
        <v>35</v>
      </c>
      <c r="BL97" s="8" t="s">
        <v>35</v>
      </c>
      <c r="BM97" s="8"/>
      <c r="BN97" s="8"/>
      <c r="BO97" s="8"/>
      <c r="BP97" s="8" t="s">
        <v>35</v>
      </c>
      <c r="BQ97" s="8" t="s">
        <v>31</v>
      </c>
      <c r="BR97" s="8" t="s">
        <v>36</v>
      </c>
      <c r="BS97" s="10">
        <v>1142973195891440</v>
      </c>
      <c r="BT97" s="8" t="s">
        <v>37</v>
      </c>
      <c r="BU97" s="8" t="s">
        <v>27</v>
      </c>
      <c r="BV97" s="8" t="s">
        <v>27</v>
      </c>
      <c r="BW97" s="8" t="s">
        <v>27</v>
      </c>
      <c r="BX97" s="8" t="s">
        <v>27</v>
      </c>
      <c r="BY97" s="8" t="s">
        <v>27</v>
      </c>
      <c r="BZ97" s="8" t="s">
        <v>42</v>
      </c>
      <c r="CA97" s="8" t="s">
        <v>42</v>
      </c>
      <c r="CB97" s="8"/>
      <c r="CC97" s="8"/>
      <c r="CD97" s="8"/>
      <c r="CE97" s="8" t="s">
        <v>42</v>
      </c>
      <c r="CF97" s="8" t="s">
        <v>189</v>
      </c>
      <c r="CG97" s="8" t="s">
        <v>39</v>
      </c>
    </row>
    <row r="98" spans="1:85" ht="15.75" customHeight="1" x14ac:dyDescent="0.35">
      <c r="A98" s="8">
        <v>91</v>
      </c>
      <c r="B98" s="8" t="s">
        <v>190</v>
      </c>
      <c r="C98" s="9">
        <v>2.8400000000000002E-4</v>
      </c>
      <c r="D98" s="9">
        <v>2.7799999999999998E-4</v>
      </c>
      <c r="E98" s="9">
        <v>2.33E-4</v>
      </c>
      <c r="F98" s="9">
        <v>1.93E-4</v>
      </c>
      <c r="G98" s="9">
        <v>1.7799999999999999E-4</v>
      </c>
      <c r="H98" s="9">
        <v>1.56E-4</v>
      </c>
      <c r="I98" s="9">
        <v>9.6000000000000002E-5</v>
      </c>
      <c r="J98" s="9">
        <v>1.18E-4</v>
      </c>
      <c r="K98" s="9">
        <v>1.22E-4</v>
      </c>
      <c r="L98" s="9">
        <v>1.07E-4</v>
      </c>
      <c r="M98" s="9">
        <v>1.07E-4</v>
      </c>
      <c r="N98" s="10">
        <v>26208054</v>
      </c>
      <c r="O98" s="10">
        <v>25718454</v>
      </c>
      <c r="P98" s="10">
        <v>21537494</v>
      </c>
      <c r="Q98" s="10">
        <v>17805394</v>
      </c>
      <c r="R98" s="10">
        <v>16407794</v>
      </c>
      <c r="S98" s="10">
        <v>14382660</v>
      </c>
      <c r="T98" s="10">
        <v>8849460</v>
      </c>
      <c r="U98" s="10">
        <v>10936860</v>
      </c>
      <c r="V98" s="10">
        <v>11257460</v>
      </c>
      <c r="W98" s="10">
        <v>9865744</v>
      </c>
      <c r="X98" s="10">
        <v>9881744</v>
      </c>
      <c r="Y98" s="13">
        <v>489600</v>
      </c>
      <c r="Z98" s="13">
        <v>4180960</v>
      </c>
      <c r="AA98" s="13">
        <v>3732100</v>
      </c>
      <c r="AB98" s="13">
        <v>1397600</v>
      </c>
      <c r="AC98" s="13">
        <v>2025134</v>
      </c>
      <c r="AD98" s="13">
        <v>5533200</v>
      </c>
      <c r="AE98" s="12">
        <v>-2087400</v>
      </c>
      <c r="AF98" s="12">
        <v>-320600</v>
      </c>
      <c r="AG98" s="13">
        <v>1391716</v>
      </c>
      <c r="AH98" s="12">
        <v>-16000</v>
      </c>
      <c r="AI98" s="11">
        <v>0</v>
      </c>
      <c r="AJ98" s="10">
        <v>115280839711.8</v>
      </c>
      <c r="AK98" s="10">
        <v>146231653510.60001</v>
      </c>
      <c r="AL98" s="10">
        <v>130301838566.14999</v>
      </c>
      <c r="AM98" s="10">
        <v>88359267791.300003</v>
      </c>
      <c r="AN98" s="10">
        <v>57571774552.5</v>
      </c>
      <c r="AO98" s="10">
        <v>45485162236.800003</v>
      </c>
      <c r="AP98" s="10">
        <v>33862217080</v>
      </c>
      <c r="AQ98" s="10">
        <v>39830918868.75</v>
      </c>
      <c r="AR98" s="10">
        <v>45029839945.949997</v>
      </c>
      <c r="AS98" s="10">
        <v>28548996753.299999</v>
      </c>
      <c r="AT98" s="10">
        <v>22859824578.900002</v>
      </c>
      <c r="AU98" s="14">
        <v>45930</v>
      </c>
      <c r="AV98" s="14">
        <v>45657</v>
      </c>
      <c r="AW98" s="14">
        <v>45291</v>
      </c>
      <c r="AX98" s="14">
        <v>44926</v>
      </c>
      <c r="AY98" s="14">
        <v>44561</v>
      </c>
      <c r="AZ98" s="14">
        <v>44196</v>
      </c>
      <c r="BA98" s="14">
        <v>43830</v>
      </c>
      <c r="BB98" s="14">
        <v>43465</v>
      </c>
      <c r="BC98" s="14">
        <v>43100</v>
      </c>
      <c r="BD98" s="14">
        <v>42735</v>
      </c>
      <c r="BE98" s="14">
        <v>42369</v>
      </c>
      <c r="BF98" s="8" t="s">
        <v>35</v>
      </c>
      <c r="BG98" s="8" t="s">
        <v>35</v>
      </c>
      <c r="BH98" s="8" t="s">
        <v>35</v>
      </c>
      <c r="BI98" s="8" t="s">
        <v>35</v>
      </c>
      <c r="BJ98" s="8" t="s">
        <v>35</v>
      </c>
      <c r="BK98" s="8" t="s">
        <v>35</v>
      </c>
      <c r="BL98" s="8" t="s">
        <v>35</v>
      </c>
      <c r="BM98" s="8" t="s">
        <v>35</v>
      </c>
      <c r="BN98" s="8" t="s">
        <v>35</v>
      </c>
      <c r="BO98" s="8" t="s">
        <v>35</v>
      </c>
      <c r="BP98" s="8" t="s">
        <v>35</v>
      </c>
      <c r="BQ98" s="8" t="s">
        <v>31</v>
      </c>
      <c r="BR98" s="8" t="s">
        <v>49</v>
      </c>
      <c r="BS98" s="10">
        <v>8496992525690490</v>
      </c>
      <c r="BT98" s="8" t="s">
        <v>46</v>
      </c>
      <c r="BU98" s="8" t="s">
        <v>27</v>
      </c>
      <c r="BV98" s="8" t="s">
        <v>27</v>
      </c>
      <c r="BW98" s="8" t="s">
        <v>27</v>
      </c>
      <c r="BX98" s="8" t="s">
        <v>27</v>
      </c>
      <c r="BY98" s="8" t="s">
        <v>27</v>
      </c>
      <c r="BZ98" s="8" t="s">
        <v>27</v>
      </c>
      <c r="CA98" s="8" t="s">
        <v>27</v>
      </c>
      <c r="CB98" s="8" t="s">
        <v>27</v>
      </c>
      <c r="CC98" s="8" t="s">
        <v>27</v>
      </c>
      <c r="CD98" s="8" t="s">
        <v>27</v>
      </c>
      <c r="CE98" s="8" t="s">
        <v>27</v>
      </c>
      <c r="CF98" s="8" t="s">
        <v>50</v>
      </c>
      <c r="CG98" s="8" t="s">
        <v>51</v>
      </c>
    </row>
    <row r="99" spans="1:85" ht="15.75" customHeight="1" x14ac:dyDescent="0.35">
      <c r="A99" s="8">
        <v>92</v>
      </c>
      <c r="B99" s="8" t="s">
        <v>191</v>
      </c>
      <c r="C99" s="9">
        <v>2.6800000000000001E-4</v>
      </c>
      <c r="D99" s="9">
        <v>2.6800000000000001E-4</v>
      </c>
      <c r="E99" s="8"/>
      <c r="F99" s="8"/>
      <c r="G99" s="8"/>
      <c r="H99" s="8"/>
      <c r="I99" s="8"/>
      <c r="J99" s="8"/>
      <c r="K99" s="8"/>
      <c r="L99" s="8"/>
      <c r="M99" s="8"/>
      <c r="N99" s="10">
        <v>24756300</v>
      </c>
      <c r="O99" s="10">
        <v>24756300</v>
      </c>
      <c r="P99" s="8"/>
      <c r="Q99" s="8"/>
      <c r="R99" s="8"/>
      <c r="S99" s="8"/>
      <c r="T99" s="8"/>
      <c r="U99" s="8"/>
      <c r="V99" s="8"/>
      <c r="W99" s="8"/>
      <c r="X99" s="8"/>
      <c r="Y99" s="11">
        <v>0</v>
      </c>
      <c r="Z99" s="13">
        <v>24756300</v>
      </c>
      <c r="AA99" s="8"/>
      <c r="AB99" s="8"/>
      <c r="AC99" s="8"/>
      <c r="AD99" s="8"/>
      <c r="AE99" s="8"/>
      <c r="AF99" s="8"/>
      <c r="AG99" s="8"/>
      <c r="AH99" s="8"/>
      <c r="AI99" s="8"/>
      <c r="AJ99" s="10">
        <v>152251245164.5</v>
      </c>
      <c r="AK99" s="10">
        <v>152251245164.5</v>
      </c>
      <c r="AL99" s="8"/>
      <c r="AM99" s="8"/>
      <c r="AN99" s="8"/>
      <c r="AO99" s="8"/>
      <c r="AP99" s="8"/>
      <c r="AQ99" s="8"/>
      <c r="AR99" s="8"/>
      <c r="AS99" s="8"/>
      <c r="AT99" s="8"/>
      <c r="AU99" s="14">
        <v>45473</v>
      </c>
      <c r="AV99" s="14">
        <v>45473</v>
      </c>
      <c r="AW99" s="8"/>
      <c r="AX99" s="8"/>
      <c r="AY99" s="8"/>
      <c r="AZ99" s="8"/>
      <c r="BA99" s="8"/>
      <c r="BB99" s="8"/>
      <c r="BC99" s="8"/>
      <c r="BD99" s="8"/>
      <c r="BE99" s="8"/>
      <c r="BF99" s="8" t="s">
        <v>35</v>
      </c>
      <c r="BG99" s="8" t="s">
        <v>35</v>
      </c>
      <c r="BH99" s="8"/>
      <c r="BI99" s="8"/>
      <c r="BJ99" s="8"/>
      <c r="BK99" s="8"/>
      <c r="BL99" s="8"/>
      <c r="BM99" s="8"/>
      <c r="BN99" s="8"/>
      <c r="BO99" s="8"/>
      <c r="BP99" s="8"/>
      <c r="BQ99" s="8" t="s">
        <v>31</v>
      </c>
      <c r="BR99" s="8" t="s">
        <v>101</v>
      </c>
      <c r="BS99" s="10">
        <v>61615992817540.797</v>
      </c>
      <c r="BT99" s="8" t="s">
        <v>101</v>
      </c>
      <c r="BU99" s="8" t="s">
        <v>27</v>
      </c>
      <c r="BV99" s="8" t="s">
        <v>27</v>
      </c>
      <c r="BW99" s="8"/>
      <c r="BX99" s="8"/>
      <c r="BY99" s="8"/>
      <c r="BZ99" s="8"/>
      <c r="CA99" s="8"/>
      <c r="CB99" s="8"/>
      <c r="CC99" s="8"/>
      <c r="CD99" s="8"/>
      <c r="CE99" s="8"/>
      <c r="CF99" s="8" t="s">
        <v>50</v>
      </c>
      <c r="CG99" s="8" t="s">
        <v>51</v>
      </c>
    </row>
    <row r="100" spans="1:85" ht="15.75" customHeight="1" x14ac:dyDescent="0.35">
      <c r="A100" s="8">
        <v>93</v>
      </c>
      <c r="B100" s="8" t="s">
        <v>192</v>
      </c>
      <c r="C100" s="9">
        <v>2.63E-4</v>
      </c>
      <c r="D100" s="9">
        <v>2.7099999999999997E-4</v>
      </c>
      <c r="E100" s="9">
        <v>5.1E-5</v>
      </c>
      <c r="F100" s="9">
        <v>1.4E-5</v>
      </c>
      <c r="G100" s="9">
        <v>1.5E-5</v>
      </c>
      <c r="H100" s="9">
        <v>1.7E-5</v>
      </c>
      <c r="I100" s="9">
        <v>0</v>
      </c>
      <c r="J100" s="9">
        <v>2.3E-5</v>
      </c>
      <c r="K100" s="9">
        <v>4.8999999999999998E-5</v>
      </c>
      <c r="L100" s="9">
        <v>3.4E-5</v>
      </c>
      <c r="M100" s="9">
        <v>0</v>
      </c>
      <c r="N100" s="10">
        <v>24288500</v>
      </c>
      <c r="O100" s="10">
        <v>25052800</v>
      </c>
      <c r="P100" s="10">
        <v>4736700</v>
      </c>
      <c r="Q100" s="10">
        <v>1331600</v>
      </c>
      <c r="R100" s="10">
        <v>1347600</v>
      </c>
      <c r="S100" s="10">
        <v>1537600</v>
      </c>
      <c r="T100" s="10">
        <v>0</v>
      </c>
      <c r="U100" s="10">
        <v>2106600</v>
      </c>
      <c r="V100" s="10">
        <v>4538000</v>
      </c>
      <c r="W100" s="10">
        <v>3144800</v>
      </c>
      <c r="X100" s="10">
        <v>0</v>
      </c>
      <c r="Y100" s="12">
        <v>-764300</v>
      </c>
      <c r="Z100" s="13">
        <v>20316100</v>
      </c>
      <c r="AA100" s="13">
        <v>3405100</v>
      </c>
      <c r="AB100" s="12">
        <v>-16000</v>
      </c>
      <c r="AC100" s="12">
        <v>-190000</v>
      </c>
      <c r="AD100" s="13">
        <v>1537600</v>
      </c>
      <c r="AE100" s="12">
        <v>-2106600</v>
      </c>
      <c r="AF100" s="12">
        <v>-2431400</v>
      </c>
      <c r="AG100" s="13">
        <v>1393200</v>
      </c>
      <c r="AH100" s="13">
        <v>3144800</v>
      </c>
      <c r="AI100" s="11">
        <v>0</v>
      </c>
      <c r="AJ100" s="10">
        <v>106837336131.39999</v>
      </c>
      <c r="AK100" s="10">
        <v>142446834829.70001</v>
      </c>
      <c r="AL100" s="10">
        <v>28657034912.049999</v>
      </c>
      <c r="AM100" s="10">
        <v>6608065027.3000002</v>
      </c>
      <c r="AN100" s="10">
        <v>4728467632.5</v>
      </c>
      <c r="AO100" s="10">
        <v>4862659932</v>
      </c>
      <c r="AP100" s="10">
        <v>0</v>
      </c>
      <c r="AQ100" s="10">
        <v>7215104992</v>
      </c>
      <c r="AR100" s="10">
        <v>15996449952</v>
      </c>
      <c r="AS100" s="10">
        <v>8255099968.5</v>
      </c>
      <c r="AT100" s="10">
        <v>0</v>
      </c>
      <c r="AU100" s="14">
        <v>45930</v>
      </c>
      <c r="AV100" s="14">
        <v>45657</v>
      </c>
      <c r="AW100" s="14">
        <v>45291</v>
      </c>
      <c r="AX100" s="14">
        <v>44926</v>
      </c>
      <c r="AY100" s="14">
        <v>44561</v>
      </c>
      <c r="AZ100" s="14">
        <v>44196</v>
      </c>
      <c r="BA100" s="14">
        <v>43585</v>
      </c>
      <c r="BB100" s="14">
        <v>43404</v>
      </c>
      <c r="BC100" s="14">
        <v>43039</v>
      </c>
      <c r="BD100" s="14">
        <v>42704</v>
      </c>
      <c r="BE100" s="14">
        <v>42124</v>
      </c>
      <c r="BF100" s="8" t="s">
        <v>35</v>
      </c>
      <c r="BG100" s="8" t="s">
        <v>35</v>
      </c>
      <c r="BH100" s="8" t="s">
        <v>35</v>
      </c>
      <c r="BI100" s="8" t="s">
        <v>35</v>
      </c>
      <c r="BJ100" s="8" t="s">
        <v>35</v>
      </c>
      <c r="BK100" s="8" t="s">
        <v>35</v>
      </c>
      <c r="BL100" s="8" t="s">
        <v>35</v>
      </c>
      <c r="BM100" s="8" t="s">
        <v>35</v>
      </c>
      <c r="BN100" s="8" t="s">
        <v>35</v>
      </c>
      <c r="BO100" s="8" t="s">
        <v>35</v>
      </c>
      <c r="BP100" s="8" t="s">
        <v>35</v>
      </c>
      <c r="BQ100" s="8" t="s">
        <v>31</v>
      </c>
      <c r="BR100" s="8" t="s">
        <v>49</v>
      </c>
      <c r="BS100" s="10">
        <v>19244401194550.801</v>
      </c>
      <c r="BT100" s="8" t="s">
        <v>61</v>
      </c>
      <c r="BU100" s="8" t="s">
        <v>27</v>
      </c>
      <c r="BV100" s="8" t="s">
        <v>42</v>
      </c>
      <c r="BW100" s="8" t="s">
        <v>43</v>
      </c>
      <c r="BX100" s="8" t="s">
        <v>42</v>
      </c>
      <c r="BY100" s="8" t="s">
        <v>43</v>
      </c>
      <c r="BZ100" s="8" t="s">
        <v>43</v>
      </c>
      <c r="CA100" s="8" t="s">
        <v>42</v>
      </c>
      <c r="CB100" s="8" t="s">
        <v>27</v>
      </c>
      <c r="CC100" s="8" t="s">
        <v>27</v>
      </c>
      <c r="CD100" s="8" t="s">
        <v>42</v>
      </c>
      <c r="CE100" s="8" t="s">
        <v>43</v>
      </c>
      <c r="CF100" s="8" t="s">
        <v>50</v>
      </c>
      <c r="CG100" s="8" t="s">
        <v>51</v>
      </c>
    </row>
    <row r="101" spans="1:85" ht="15.75" customHeight="1" x14ac:dyDescent="0.35">
      <c r="A101" s="8">
        <v>94</v>
      </c>
      <c r="B101" s="8" t="s">
        <v>193</v>
      </c>
      <c r="C101" s="9">
        <v>2.63E-4</v>
      </c>
      <c r="D101" s="9">
        <v>8.7000000000000001E-5</v>
      </c>
      <c r="E101" s="8"/>
      <c r="F101" s="9">
        <v>1.9000000000000001E-4</v>
      </c>
      <c r="G101" s="9">
        <v>1.9000000000000001E-4</v>
      </c>
      <c r="H101" s="8"/>
      <c r="I101" s="8"/>
      <c r="J101" s="8"/>
      <c r="K101" s="8"/>
      <c r="L101" s="8"/>
      <c r="M101" s="8"/>
      <c r="N101" s="10">
        <v>24275353</v>
      </c>
      <c r="O101" s="10">
        <v>8005853</v>
      </c>
      <c r="P101" s="8"/>
      <c r="Q101" s="10">
        <v>17578800</v>
      </c>
      <c r="R101" s="10">
        <v>17578800</v>
      </c>
      <c r="S101" s="8"/>
      <c r="T101" s="8"/>
      <c r="U101" s="8"/>
      <c r="V101" s="8"/>
      <c r="W101" s="8"/>
      <c r="X101" s="8"/>
      <c r="Y101" s="13">
        <v>16269500</v>
      </c>
      <c r="Z101" s="13">
        <v>8005853</v>
      </c>
      <c r="AA101" s="8"/>
      <c r="AB101" s="11">
        <v>0</v>
      </c>
      <c r="AC101" s="13">
        <v>17578800</v>
      </c>
      <c r="AD101" s="8"/>
      <c r="AE101" s="8"/>
      <c r="AF101" s="8"/>
      <c r="AG101" s="8"/>
      <c r="AH101" s="8"/>
      <c r="AI101" s="8"/>
      <c r="AJ101" s="10">
        <v>106779506605.8</v>
      </c>
      <c r="AK101" s="10">
        <v>45520198083</v>
      </c>
      <c r="AL101" s="8"/>
      <c r="AM101" s="10">
        <v>61525800094.400002</v>
      </c>
      <c r="AN101" s="10">
        <v>61525800094.400002</v>
      </c>
      <c r="AO101" s="8"/>
      <c r="AP101" s="8"/>
      <c r="AQ101" s="8"/>
      <c r="AR101" s="8"/>
      <c r="AS101" s="8"/>
      <c r="AT101" s="8"/>
      <c r="AU101" s="14">
        <v>45930</v>
      </c>
      <c r="AV101" s="14">
        <v>45657</v>
      </c>
      <c r="AW101" s="8"/>
      <c r="AX101" s="14">
        <v>44530</v>
      </c>
      <c r="AY101" s="14">
        <v>44530</v>
      </c>
      <c r="AZ101" s="8"/>
      <c r="BA101" s="8"/>
      <c r="BB101" s="8"/>
      <c r="BC101" s="8"/>
      <c r="BD101" s="8"/>
      <c r="BE101" s="8"/>
      <c r="BF101" s="8" t="s">
        <v>35</v>
      </c>
      <c r="BG101" s="8" t="s">
        <v>35</v>
      </c>
      <c r="BH101" s="8"/>
      <c r="BI101" s="8" t="s">
        <v>35</v>
      </c>
      <c r="BJ101" s="8" t="s">
        <v>35</v>
      </c>
      <c r="BK101" s="8"/>
      <c r="BL101" s="8"/>
      <c r="BM101" s="8"/>
      <c r="BN101" s="8"/>
      <c r="BO101" s="8"/>
      <c r="BP101" s="8"/>
      <c r="BQ101" s="8" t="s">
        <v>31</v>
      </c>
      <c r="BR101" s="8" t="s">
        <v>36</v>
      </c>
      <c r="BS101" s="10">
        <v>144480741689926</v>
      </c>
      <c r="BT101" s="8"/>
      <c r="BU101" s="8" t="s">
        <v>42</v>
      </c>
      <c r="BV101" s="8" t="s">
        <v>43</v>
      </c>
      <c r="BW101" s="8"/>
      <c r="BX101" s="8" t="s">
        <v>27</v>
      </c>
      <c r="BY101" s="8" t="s">
        <v>27</v>
      </c>
      <c r="BZ101" s="8"/>
      <c r="CA101" s="8"/>
      <c r="CB101" s="8"/>
      <c r="CC101" s="8"/>
      <c r="CD101" s="8"/>
      <c r="CE101" s="8"/>
      <c r="CF101" s="8" t="s">
        <v>194</v>
      </c>
      <c r="CG101" s="8" t="s">
        <v>195</v>
      </c>
    </row>
    <row r="102" spans="1:85" ht="15.75" customHeight="1" x14ac:dyDescent="0.35">
      <c r="A102" s="8">
        <v>95</v>
      </c>
      <c r="B102" s="8" t="s">
        <v>196</v>
      </c>
      <c r="C102" s="9">
        <v>2.6200000000000003E-4</v>
      </c>
      <c r="D102" s="9">
        <v>1.6100000000000001E-4</v>
      </c>
      <c r="E102" s="9">
        <v>1.4200000000000001E-4</v>
      </c>
      <c r="F102" s="9">
        <v>2.81E-4</v>
      </c>
      <c r="G102" s="9">
        <v>4.26E-4</v>
      </c>
      <c r="H102" s="9">
        <v>3.5799999999999997E-4</v>
      </c>
      <c r="I102" s="9">
        <v>7.7000000000000001E-5</v>
      </c>
      <c r="J102" s="9">
        <v>1.4E-5</v>
      </c>
      <c r="K102" s="9">
        <v>3.0000000000000001E-6</v>
      </c>
      <c r="L102" s="9">
        <v>1.9999999999999999E-6</v>
      </c>
      <c r="M102" s="9">
        <v>3.0000000000000001E-6</v>
      </c>
      <c r="N102" s="10">
        <v>24216401</v>
      </c>
      <c r="O102" s="10">
        <v>14839911</v>
      </c>
      <c r="P102" s="10">
        <v>13075884</v>
      </c>
      <c r="Q102" s="10">
        <v>25976058</v>
      </c>
      <c r="R102" s="10">
        <v>39360658</v>
      </c>
      <c r="S102" s="10">
        <v>33094692</v>
      </c>
      <c r="T102" s="10">
        <v>7085182</v>
      </c>
      <c r="U102" s="10">
        <v>1255688</v>
      </c>
      <c r="V102" s="10">
        <v>264000</v>
      </c>
      <c r="W102" s="10">
        <v>198000</v>
      </c>
      <c r="X102" s="10">
        <v>284000</v>
      </c>
      <c r="Y102" s="13">
        <v>9376490</v>
      </c>
      <c r="Z102" s="13">
        <v>1764027</v>
      </c>
      <c r="AA102" s="12">
        <v>-12900174</v>
      </c>
      <c r="AB102" s="12">
        <v>-13384600</v>
      </c>
      <c r="AC102" s="13">
        <v>6265966</v>
      </c>
      <c r="AD102" s="13">
        <v>26009510</v>
      </c>
      <c r="AE102" s="13">
        <v>5829494</v>
      </c>
      <c r="AF102" s="13">
        <v>991688</v>
      </c>
      <c r="AG102" s="13">
        <v>66000</v>
      </c>
      <c r="AH102" s="12">
        <v>-86000</v>
      </c>
      <c r="AI102" s="11">
        <v>0</v>
      </c>
      <c r="AJ102" s="10">
        <v>115560028202.85001</v>
      </c>
      <c r="AK102" s="10">
        <v>84377728291</v>
      </c>
      <c r="AL102" s="10">
        <v>79109098159.949997</v>
      </c>
      <c r="AM102" s="10">
        <v>128906187893.45</v>
      </c>
      <c r="AN102" s="10">
        <v>138108933465</v>
      </c>
      <c r="AO102" s="10">
        <v>104661963291.60001</v>
      </c>
      <c r="AP102" s="10">
        <v>27111255462.400002</v>
      </c>
      <c r="AQ102" s="10">
        <v>4573086550</v>
      </c>
      <c r="AR102" s="10">
        <v>976799976.60000002</v>
      </c>
      <c r="AS102" s="10">
        <v>572962479.29999995</v>
      </c>
      <c r="AT102" s="10">
        <v>603499986.60000002</v>
      </c>
      <c r="AU102" s="14">
        <v>45900</v>
      </c>
      <c r="AV102" s="14">
        <v>45657</v>
      </c>
      <c r="AW102" s="14">
        <v>45291</v>
      </c>
      <c r="AX102" s="14">
        <v>44926</v>
      </c>
      <c r="AY102" s="14">
        <v>44561</v>
      </c>
      <c r="AZ102" s="14">
        <v>44196</v>
      </c>
      <c r="BA102" s="14">
        <v>43830</v>
      </c>
      <c r="BB102" s="14">
        <v>43465</v>
      </c>
      <c r="BC102" s="14">
        <v>43069</v>
      </c>
      <c r="BD102" s="14">
        <v>42735</v>
      </c>
      <c r="BE102" s="14">
        <v>42338</v>
      </c>
      <c r="BF102" s="8" t="s">
        <v>35</v>
      </c>
      <c r="BG102" s="8" t="s">
        <v>35</v>
      </c>
      <c r="BH102" s="8" t="s">
        <v>35</v>
      </c>
      <c r="BI102" s="8" t="s">
        <v>35</v>
      </c>
      <c r="BJ102" s="8" t="s">
        <v>35</v>
      </c>
      <c r="BK102" s="8" t="s">
        <v>35</v>
      </c>
      <c r="BL102" s="8" t="s">
        <v>35</v>
      </c>
      <c r="BM102" s="8" t="s">
        <v>35</v>
      </c>
      <c r="BN102" s="8" t="s">
        <v>35</v>
      </c>
      <c r="BO102" s="8" t="s">
        <v>35</v>
      </c>
      <c r="BP102" s="8" t="s">
        <v>35</v>
      </c>
      <c r="BQ102" s="8" t="s">
        <v>31</v>
      </c>
      <c r="BR102" s="8" t="s">
        <v>36</v>
      </c>
      <c r="BS102" s="10">
        <v>746020122320302</v>
      </c>
      <c r="BT102" s="8" t="s">
        <v>41</v>
      </c>
      <c r="BU102" s="8" t="s">
        <v>27</v>
      </c>
      <c r="BV102" s="8" t="s">
        <v>42</v>
      </c>
      <c r="BW102" s="8" t="s">
        <v>27</v>
      </c>
      <c r="BX102" s="8" t="s">
        <v>27</v>
      </c>
      <c r="BY102" s="8" t="s">
        <v>27</v>
      </c>
      <c r="BZ102" s="8" t="s">
        <v>42</v>
      </c>
      <c r="CA102" s="8" t="s">
        <v>42</v>
      </c>
      <c r="CB102" s="8" t="s">
        <v>42</v>
      </c>
      <c r="CC102" s="8" t="s">
        <v>42</v>
      </c>
      <c r="CD102" s="8" t="s">
        <v>42</v>
      </c>
      <c r="CE102" s="8" t="s">
        <v>42</v>
      </c>
      <c r="CF102" s="8" t="s">
        <v>197</v>
      </c>
      <c r="CG102" s="8" t="s">
        <v>198</v>
      </c>
    </row>
    <row r="103" spans="1:85" ht="15.75" customHeight="1" x14ac:dyDescent="0.35">
      <c r="A103" s="8">
        <v>96</v>
      </c>
      <c r="B103" s="8" t="s">
        <v>199</v>
      </c>
      <c r="C103" s="9">
        <v>2.5099999999999998E-4</v>
      </c>
      <c r="D103" s="9">
        <v>2.12E-4</v>
      </c>
      <c r="E103" s="9">
        <v>2.8400000000000002E-4</v>
      </c>
      <c r="F103" s="9">
        <v>4.3000000000000002E-5</v>
      </c>
      <c r="G103" s="9">
        <v>0</v>
      </c>
      <c r="H103" s="8"/>
      <c r="I103" s="8"/>
      <c r="J103" s="9">
        <v>0</v>
      </c>
      <c r="K103" s="9">
        <v>0</v>
      </c>
      <c r="L103" s="9">
        <v>8.1800000000000004E-4</v>
      </c>
      <c r="M103" s="9">
        <v>1.389E-3</v>
      </c>
      <c r="N103" s="10">
        <v>23197800</v>
      </c>
      <c r="O103" s="10">
        <v>19581200</v>
      </c>
      <c r="P103" s="10">
        <v>26286400</v>
      </c>
      <c r="Q103" s="10">
        <v>4000000</v>
      </c>
      <c r="R103" s="10">
        <v>0</v>
      </c>
      <c r="S103" s="8"/>
      <c r="T103" s="8"/>
      <c r="U103" s="10">
        <v>0</v>
      </c>
      <c r="V103" s="10">
        <v>0</v>
      </c>
      <c r="W103" s="10">
        <v>75578800</v>
      </c>
      <c r="X103" s="10">
        <v>128363200</v>
      </c>
      <c r="Y103" s="13">
        <v>3616600</v>
      </c>
      <c r="Z103" s="12">
        <v>-6705200</v>
      </c>
      <c r="AA103" s="13">
        <v>22286400</v>
      </c>
      <c r="AB103" s="13">
        <v>4000000</v>
      </c>
      <c r="AC103" s="11">
        <v>0</v>
      </c>
      <c r="AD103" s="8"/>
      <c r="AE103" s="8"/>
      <c r="AF103" s="11">
        <v>0</v>
      </c>
      <c r="AG103" s="12">
        <v>-75578800</v>
      </c>
      <c r="AH103" s="12">
        <v>-52784400</v>
      </c>
      <c r="AI103" s="13">
        <v>124670000</v>
      </c>
      <c r="AJ103" s="10">
        <v>113421904849.5</v>
      </c>
      <c r="AK103" s="10">
        <v>111336056681</v>
      </c>
      <c r="AL103" s="10">
        <v>159032719906.29999</v>
      </c>
      <c r="AM103" s="10">
        <v>19849999984.099998</v>
      </c>
      <c r="AN103" s="10">
        <v>0</v>
      </c>
      <c r="AO103" s="8"/>
      <c r="AP103" s="8"/>
      <c r="AQ103" s="10">
        <v>0</v>
      </c>
      <c r="AR103" s="10">
        <v>0</v>
      </c>
      <c r="AS103" s="10">
        <v>218706152581.79999</v>
      </c>
      <c r="AT103" s="10">
        <v>296947606934.25</v>
      </c>
      <c r="AU103" s="14">
        <v>45838</v>
      </c>
      <c r="AV103" s="14">
        <v>45657</v>
      </c>
      <c r="AW103" s="14">
        <v>45291</v>
      </c>
      <c r="AX103" s="14">
        <v>44926</v>
      </c>
      <c r="AY103" s="14">
        <v>44286</v>
      </c>
      <c r="AZ103" s="8"/>
      <c r="BA103" s="8"/>
      <c r="BB103" s="14">
        <v>42916</v>
      </c>
      <c r="BC103" s="14">
        <v>42916</v>
      </c>
      <c r="BD103" s="14">
        <v>42735</v>
      </c>
      <c r="BE103" s="14">
        <v>42369</v>
      </c>
      <c r="BF103" s="8" t="s">
        <v>35</v>
      </c>
      <c r="BG103" s="8" t="s">
        <v>35</v>
      </c>
      <c r="BH103" s="8" t="s">
        <v>35</v>
      </c>
      <c r="BI103" s="8" t="s">
        <v>35</v>
      </c>
      <c r="BJ103" s="8" t="s">
        <v>35</v>
      </c>
      <c r="BK103" s="8"/>
      <c r="BL103" s="8"/>
      <c r="BM103" s="8" t="s">
        <v>35</v>
      </c>
      <c r="BN103" s="8" t="s">
        <v>35</v>
      </c>
      <c r="BO103" s="8" t="s">
        <v>35</v>
      </c>
      <c r="BP103" s="8" t="s">
        <v>35</v>
      </c>
      <c r="BQ103" s="8" t="s">
        <v>31</v>
      </c>
      <c r="BR103" s="8" t="s">
        <v>49</v>
      </c>
      <c r="BS103" s="10">
        <v>31201982021144.398</v>
      </c>
      <c r="BT103" s="8" t="s">
        <v>61</v>
      </c>
      <c r="BU103" s="8" t="s">
        <v>27</v>
      </c>
      <c r="BV103" s="8" t="s">
        <v>42</v>
      </c>
      <c r="BW103" s="8" t="s">
        <v>42</v>
      </c>
      <c r="BX103" s="8" t="s">
        <v>42</v>
      </c>
      <c r="BY103" s="8" t="s">
        <v>43</v>
      </c>
      <c r="BZ103" s="8"/>
      <c r="CA103" s="8"/>
      <c r="CB103" s="8" t="s">
        <v>42</v>
      </c>
      <c r="CC103" s="8" t="s">
        <v>42</v>
      </c>
      <c r="CD103" s="8" t="s">
        <v>42</v>
      </c>
      <c r="CE103" s="8" t="s">
        <v>42</v>
      </c>
      <c r="CF103" s="8" t="s">
        <v>70</v>
      </c>
      <c r="CG103" s="8" t="s">
        <v>71</v>
      </c>
    </row>
    <row r="104" spans="1:85" ht="15.75" hidden="1" customHeight="1" x14ac:dyDescent="0.35">
      <c r="A104" s="8">
        <v>97</v>
      </c>
      <c r="B104" s="8" t="s">
        <v>200</v>
      </c>
      <c r="C104" s="9">
        <v>2.4699999999999999E-4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0">
        <v>22850900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13">
        <v>22850900</v>
      </c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10">
        <v>100513793893.8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14">
        <v>45930</v>
      </c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 t="s">
        <v>201</v>
      </c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 t="s">
        <v>25</v>
      </c>
      <c r="BR104" s="8" t="s">
        <v>202</v>
      </c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 t="s">
        <v>29</v>
      </c>
    </row>
    <row r="105" spans="1:85" ht="15.75" customHeight="1" x14ac:dyDescent="0.35">
      <c r="A105" s="8">
        <v>98</v>
      </c>
      <c r="B105" s="8" t="s">
        <v>203</v>
      </c>
      <c r="C105" s="9">
        <v>2.4600000000000002E-4</v>
      </c>
      <c r="D105" s="9">
        <v>2.7799999999999998E-4</v>
      </c>
      <c r="E105" s="9">
        <v>2.7300000000000002E-4</v>
      </c>
      <c r="F105" s="9">
        <v>2.4899999999999998E-4</v>
      </c>
      <c r="G105" s="9">
        <v>1.8100000000000001E-4</v>
      </c>
      <c r="H105" s="9">
        <v>1.3799999999999999E-4</v>
      </c>
      <c r="I105" s="9">
        <v>1.4300000000000001E-4</v>
      </c>
      <c r="J105" s="9">
        <v>1.8900000000000001E-4</v>
      </c>
      <c r="K105" s="9">
        <v>2.22E-4</v>
      </c>
      <c r="L105" s="9">
        <v>2.2599999999999999E-4</v>
      </c>
      <c r="M105" s="9">
        <v>2.2599999999999999E-4</v>
      </c>
      <c r="N105" s="10">
        <v>22743224</v>
      </c>
      <c r="O105" s="10">
        <v>25724024</v>
      </c>
      <c r="P105" s="10">
        <v>25181224</v>
      </c>
      <c r="Q105" s="10">
        <v>23022424</v>
      </c>
      <c r="R105" s="10">
        <v>16750424</v>
      </c>
      <c r="S105" s="10">
        <v>12731824</v>
      </c>
      <c r="T105" s="10">
        <v>13174624</v>
      </c>
      <c r="U105" s="10">
        <v>17479424</v>
      </c>
      <c r="V105" s="10">
        <v>20537424</v>
      </c>
      <c r="W105" s="10">
        <v>20866424</v>
      </c>
      <c r="X105" s="10">
        <v>20874424</v>
      </c>
      <c r="Y105" s="12">
        <v>-2980800</v>
      </c>
      <c r="Z105" s="13">
        <v>542800</v>
      </c>
      <c r="AA105" s="13">
        <v>2158800</v>
      </c>
      <c r="AB105" s="13">
        <v>6272000</v>
      </c>
      <c r="AC105" s="13">
        <v>4018600</v>
      </c>
      <c r="AD105" s="12">
        <v>-442800</v>
      </c>
      <c r="AE105" s="12">
        <v>-4304800</v>
      </c>
      <c r="AF105" s="12">
        <v>-3058000</v>
      </c>
      <c r="AG105" s="12">
        <v>-329000</v>
      </c>
      <c r="AH105" s="12">
        <v>-8000</v>
      </c>
      <c r="AI105" s="11">
        <v>0</v>
      </c>
      <c r="AJ105" s="10">
        <v>100040161755.8</v>
      </c>
      <c r="AK105" s="10">
        <v>146263323779.39999</v>
      </c>
      <c r="AL105" s="10">
        <v>152346405072.79999</v>
      </c>
      <c r="AM105" s="10">
        <v>114248779152.2</v>
      </c>
      <c r="AN105" s="10">
        <v>58773996892.5</v>
      </c>
      <c r="AO105" s="10">
        <v>40264393291.199997</v>
      </c>
      <c r="AP105" s="10">
        <v>50412339190.800003</v>
      </c>
      <c r="AQ105" s="10">
        <v>63658263800</v>
      </c>
      <c r="AR105" s="10">
        <v>82149696023.449997</v>
      </c>
      <c r="AS105" s="10">
        <v>60382214423.400002</v>
      </c>
      <c r="AT105" s="10">
        <v>48289620756.75</v>
      </c>
      <c r="AU105" s="14">
        <v>45930</v>
      </c>
      <c r="AV105" s="14">
        <v>45657</v>
      </c>
      <c r="AW105" s="14">
        <v>45291</v>
      </c>
      <c r="AX105" s="14">
        <v>44926</v>
      </c>
      <c r="AY105" s="14">
        <v>44561</v>
      </c>
      <c r="AZ105" s="14">
        <v>44196</v>
      </c>
      <c r="BA105" s="14">
        <v>43830</v>
      </c>
      <c r="BB105" s="14">
        <v>43465</v>
      </c>
      <c r="BC105" s="14">
        <v>43100</v>
      </c>
      <c r="BD105" s="14">
        <v>42735</v>
      </c>
      <c r="BE105" s="14">
        <v>42369</v>
      </c>
      <c r="BF105" s="8" t="s">
        <v>35</v>
      </c>
      <c r="BG105" s="8" t="s">
        <v>35</v>
      </c>
      <c r="BH105" s="8" t="s">
        <v>35</v>
      </c>
      <c r="BI105" s="8" t="s">
        <v>35</v>
      </c>
      <c r="BJ105" s="8" t="s">
        <v>35</v>
      </c>
      <c r="BK105" s="8" t="s">
        <v>35</v>
      </c>
      <c r="BL105" s="8" t="s">
        <v>35</v>
      </c>
      <c r="BM105" s="8" t="s">
        <v>35</v>
      </c>
      <c r="BN105" s="8" t="s">
        <v>35</v>
      </c>
      <c r="BO105" s="8" t="s">
        <v>35</v>
      </c>
      <c r="BP105" s="8" t="s">
        <v>35</v>
      </c>
      <c r="BQ105" s="8" t="s">
        <v>31</v>
      </c>
      <c r="BR105" s="8" t="s">
        <v>36</v>
      </c>
      <c r="BS105" s="10">
        <v>933299473304782</v>
      </c>
      <c r="BT105" s="8" t="s">
        <v>57</v>
      </c>
      <c r="BU105" s="8" t="s">
        <v>27</v>
      </c>
      <c r="BV105" s="8" t="s">
        <v>27</v>
      </c>
      <c r="BW105" s="8" t="s">
        <v>27</v>
      </c>
      <c r="BX105" s="8" t="s">
        <v>27</v>
      </c>
      <c r="BY105" s="8" t="s">
        <v>27</v>
      </c>
      <c r="BZ105" s="8" t="s">
        <v>27</v>
      </c>
      <c r="CA105" s="8" t="s">
        <v>27</v>
      </c>
      <c r="CB105" s="8" t="s">
        <v>27</v>
      </c>
      <c r="CC105" s="8" t="s">
        <v>27</v>
      </c>
      <c r="CD105" s="8" t="s">
        <v>27</v>
      </c>
      <c r="CE105" s="8" t="s">
        <v>27</v>
      </c>
      <c r="CF105" s="8" t="s">
        <v>204</v>
      </c>
      <c r="CG105" s="8" t="s">
        <v>63</v>
      </c>
    </row>
    <row r="106" spans="1:85" ht="15.75" customHeight="1" x14ac:dyDescent="0.35">
      <c r="A106" s="8">
        <v>99</v>
      </c>
      <c r="B106" s="8" t="s">
        <v>205</v>
      </c>
      <c r="C106" s="9">
        <v>2.42E-4</v>
      </c>
      <c r="D106" s="9">
        <v>9.6000000000000002E-5</v>
      </c>
      <c r="E106" s="9">
        <v>0</v>
      </c>
      <c r="F106" s="9">
        <v>0</v>
      </c>
      <c r="G106" s="8"/>
      <c r="H106" s="8"/>
      <c r="I106" s="8"/>
      <c r="J106" s="8"/>
      <c r="K106" s="8"/>
      <c r="L106" s="8"/>
      <c r="M106" s="8"/>
      <c r="N106" s="10">
        <v>22355615</v>
      </c>
      <c r="O106" s="10">
        <v>8868900</v>
      </c>
      <c r="P106" s="10">
        <v>0</v>
      </c>
      <c r="Q106" s="10">
        <v>0</v>
      </c>
      <c r="R106" s="8"/>
      <c r="S106" s="8"/>
      <c r="T106" s="8"/>
      <c r="U106" s="8"/>
      <c r="V106" s="8"/>
      <c r="W106" s="8"/>
      <c r="X106" s="8"/>
      <c r="Y106" s="13">
        <v>13486715</v>
      </c>
      <c r="Z106" s="13">
        <v>8868900</v>
      </c>
      <c r="AA106" s="11">
        <v>0</v>
      </c>
      <c r="AB106" s="11">
        <v>0</v>
      </c>
      <c r="AC106" s="8"/>
      <c r="AD106" s="8"/>
      <c r="AE106" s="8"/>
      <c r="AF106" s="8"/>
      <c r="AG106" s="8"/>
      <c r="AH106" s="8"/>
      <c r="AI106" s="8"/>
      <c r="AJ106" s="10">
        <v>98335193849.199997</v>
      </c>
      <c r="AK106" s="10">
        <v>50427366668.900002</v>
      </c>
      <c r="AL106" s="10">
        <v>0</v>
      </c>
      <c r="AM106" s="10">
        <v>0</v>
      </c>
      <c r="AN106" s="8"/>
      <c r="AO106" s="8"/>
      <c r="AP106" s="8"/>
      <c r="AQ106" s="8"/>
      <c r="AR106" s="8"/>
      <c r="AS106" s="8"/>
      <c r="AT106" s="8"/>
      <c r="AU106" s="14">
        <v>45930</v>
      </c>
      <c r="AV106" s="14">
        <v>45657</v>
      </c>
      <c r="AW106" s="14">
        <v>44895</v>
      </c>
      <c r="AX106" s="14">
        <v>44895</v>
      </c>
      <c r="AY106" s="8"/>
      <c r="AZ106" s="8"/>
      <c r="BA106" s="8"/>
      <c r="BB106" s="8"/>
      <c r="BC106" s="8"/>
      <c r="BD106" s="8"/>
      <c r="BE106" s="8"/>
      <c r="BF106" s="8" t="s">
        <v>35</v>
      </c>
      <c r="BG106" s="8" t="s">
        <v>35</v>
      </c>
      <c r="BH106" s="8" t="s">
        <v>35</v>
      </c>
      <c r="BI106" s="8" t="s">
        <v>35</v>
      </c>
      <c r="BJ106" s="8"/>
      <c r="BK106" s="8"/>
      <c r="BL106" s="8"/>
      <c r="BM106" s="8"/>
      <c r="BN106" s="8"/>
      <c r="BO106" s="8"/>
      <c r="BP106" s="8"/>
      <c r="BQ106" s="8" t="s">
        <v>31</v>
      </c>
      <c r="BR106" s="8" t="s">
        <v>36</v>
      </c>
      <c r="BS106" s="10">
        <v>6611757621788.4004</v>
      </c>
      <c r="BT106" s="8"/>
      <c r="BU106" s="8" t="s">
        <v>42</v>
      </c>
      <c r="BV106" s="8" t="s">
        <v>43</v>
      </c>
      <c r="BW106" s="8" t="s">
        <v>43</v>
      </c>
      <c r="BX106" s="8" t="s">
        <v>43</v>
      </c>
      <c r="BY106" s="8"/>
      <c r="BZ106" s="8"/>
      <c r="CA106" s="8"/>
      <c r="CB106" s="8"/>
      <c r="CC106" s="8"/>
      <c r="CD106" s="8"/>
      <c r="CE106" s="8"/>
      <c r="CF106" s="8" t="s">
        <v>65</v>
      </c>
      <c r="CG106" s="8" t="s">
        <v>65</v>
      </c>
    </row>
    <row r="107" spans="1:85" ht="15.75" customHeight="1" x14ac:dyDescent="0.35">
      <c r="A107" s="8">
        <v>100</v>
      </c>
      <c r="B107" s="8" t="s">
        <v>206</v>
      </c>
      <c r="C107" s="9">
        <v>2.4000000000000001E-4</v>
      </c>
      <c r="D107" s="9">
        <v>9.6000000000000002E-5</v>
      </c>
      <c r="E107" s="9">
        <v>1.1E-4</v>
      </c>
      <c r="F107" s="9">
        <v>1.11E-4</v>
      </c>
      <c r="G107" s="9">
        <v>1.2300000000000001E-4</v>
      </c>
      <c r="H107" s="9">
        <v>1.4200000000000001E-4</v>
      </c>
      <c r="I107" s="9">
        <v>1.64E-4</v>
      </c>
      <c r="J107" s="9">
        <v>1.8000000000000001E-4</v>
      </c>
      <c r="K107" s="9">
        <v>1.5100000000000001E-4</v>
      </c>
      <c r="L107" s="9">
        <v>2.0100000000000001E-4</v>
      </c>
      <c r="M107" s="9">
        <v>3.59E-4</v>
      </c>
      <c r="N107" s="10">
        <v>22136836</v>
      </c>
      <c r="O107" s="10">
        <v>8837436</v>
      </c>
      <c r="P107" s="10">
        <v>10192136</v>
      </c>
      <c r="Q107" s="10">
        <v>10234136</v>
      </c>
      <c r="R107" s="10">
        <v>11335736</v>
      </c>
      <c r="S107" s="10">
        <v>13091136</v>
      </c>
      <c r="T107" s="10">
        <v>15107536</v>
      </c>
      <c r="U107" s="10">
        <v>16586736</v>
      </c>
      <c r="V107" s="10">
        <v>13943536</v>
      </c>
      <c r="W107" s="10">
        <v>18595536</v>
      </c>
      <c r="X107" s="10">
        <v>33180716</v>
      </c>
      <c r="Y107" s="13">
        <v>13299400</v>
      </c>
      <c r="Z107" s="12">
        <v>-1354700</v>
      </c>
      <c r="AA107" s="12">
        <v>-42000</v>
      </c>
      <c r="AB107" s="12">
        <v>-1101600</v>
      </c>
      <c r="AC107" s="12">
        <v>-1755400</v>
      </c>
      <c r="AD107" s="12">
        <v>-2016400</v>
      </c>
      <c r="AE107" s="12">
        <v>-1479200</v>
      </c>
      <c r="AF107" s="13">
        <v>2643200</v>
      </c>
      <c r="AG107" s="12">
        <v>-4652000</v>
      </c>
      <c r="AH107" s="12">
        <v>-14585180</v>
      </c>
      <c r="AI107" s="13">
        <v>8458040</v>
      </c>
      <c r="AJ107" s="10">
        <v>97372854938.800003</v>
      </c>
      <c r="AK107" s="10">
        <v>50248466625</v>
      </c>
      <c r="AL107" s="10">
        <v>61662422828.650002</v>
      </c>
      <c r="AM107" s="10">
        <v>50786899971.5</v>
      </c>
      <c r="AN107" s="10">
        <v>39774904380</v>
      </c>
      <c r="AO107" s="10">
        <v>41400717602.400002</v>
      </c>
      <c r="AP107" s="10">
        <v>57808574096.800003</v>
      </c>
      <c r="AQ107" s="10">
        <v>60407185912.5</v>
      </c>
      <c r="AR107" s="10">
        <v>55774144019.699997</v>
      </c>
      <c r="AS107" s="10">
        <v>53810832358.199997</v>
      </c>
      <c r="AT107" s="10">
        <v>76758246986.25</v>
      </c>
      <c r="AU107" s="14">
        <v>45930</v>
      </c>
      <c r="AV107" s="14">
        <v>45657</v>
      </c>
      <c r="AW107" s="14">
        <v>45291</v>
      </c>
      <c r="AX107" s="14">
        <v>44926</v>
      </c>
      <c r="AY107" s="14">
        <v>44561</v>
      </c>
      <c r="AZ107" s="14">
        <v>44196</v>
      </c>
      <c r="BA107" s="14">
        <v>43830</v>
      </c>
      <c r="BB107" s="14">
        <v>43465</v>
      </c>
      <c r="BC107" s="14">
        <v>43100</v>
      </c>
      <c r="BD107" s="14">
        <v>42735</v>
      </c>
      <c r="BE107" s="14">
        <v>42369</v>
      </c>
      <c r="BF107" s="8" t="s">
        <v>35</v>
      </c>
      <c r="BG107" s="8" t="s">
        <v>35</v>
      </c>
      <c r="BH107" s="8" t="s">
        <v>35</v>
      </c>
      <c r="BI107" s="8" t="s">
        <v>35</v>
      </c>
      <c r="BJ107" s="8" t="s">
        <v>35</v>
      </c>
      <c r="BK107" s="8" t="s">
        <v>35</v>
      </c>
      <c r="BL107" s="8" t="s">
        <v>35</v>
      </c>
      <c r="BM107" s="8" t="s">
        <v>35</v>
      </c>
      <c r="BN107" s="8" t="s">
        <v>35</v>
      </c>
      <c r="BO107" s="8" t="s">
        <v>35</v>
      </c>
      <c r="BP107" s="8" t="s">
        <v>35</v>
      </c>
      <c r="BQ107" s="8" t="s">
        <v>31</v>
      </c>
      <c r="BR107" s="8" t="s">
        <v>36</v>
      </c>
      <c r="BS107" s="10">
        <v>252714598595153</v>
      </c>
      <c r="BT107" s="8" t="s">
        <v>57</v>
      </c>
      <c r="BU107" s="8" t="s">
        <v>27</v>
      </c>
      <c r="BV107" s="8" t="s">
        <v>42</v>
      </c>
      <c r="BW107" s="8" t="s">
        <v>42</v>
      </c>
      <c r="BX107" s="8" t="s">
        <v>42</v>
      </c>
      <c r="BY107" s="8" t="s">
        <v>42</v>
      </c>
      <c r="BZ107" s="8" t="s">
        <v>42</v>
      </c>
      <c r="CA107" s="8" t="s">
        <v>43</v>
      </c>
      <c r="CB107" s="8" t="s">
        <v>42</v>
      </c>
      <c r="CC107" s="8" t="s">
        <v>42</v>
      </c>
      <c r="CD107" s="8" t="s">
        <v>42</v>
      </c>
      <c r="CE107" s="8" t="s">
        <v>42</v>
      </c>
      <c r="CF107" s="8" t="s">
        <v>194</v>
      </c>
      <c r="CG107" s="8" t="s">
        <v>195</v>
      </c>
    </row>
    <row r="108" spans="1:85" ht="15.75" customHeight="1" x14ac:dyDescent="0.35">
      <c r="A108" s="8">
        <v>101</v>
      </c>
      <c r="B108" s="8" t="s">
        <v>207</v>
      </c>
      <c r="C108" s="9">
        <v>2.3699999999999999E-4</v>
      </c>
      <c r="D108" s="9">
        <v>2.5000000000000001E-4</v>
      </c>
      <c r="E108" s="9">
        <v>3.2699999999999998E-4</v>
      </c>
      <c r="F108" s="9">
        <v>2.72E-4</v>
      </c>
      <c r="G108" s="9">
        <v>3.0600000000000001E-4</v>
      </c>
      <c r="H108" s="9">
        <v>4.9799999999999996E-4</v>
      </c>
      <c r="I108" s="9">
        <v>7.2000000000000002E-5</v>
      </c>
      <c r="J108" s="8"/>
      <c r="K108" s="8"/>
      <c r="L108" s="8"/>
      <c r="M108" s="8"/>
      <c r="N108" s="10">
        <v>21903400</v>
      </c>
      <c r="O108" s="10">
        <v>23078100</v>
      </c>
      <c r="P108" s="10">
        <v>30174200</v>
      </c>
      <c r="Q108" s="10">
        <v>25147400</v>
      </c>
      <c r="R108" s="10">
        <v>28306280</v>
      </c>
      <c r="S108" s="10">
        <v>46006680</v>
      </c>
      <c r="T108" s="10">
        <v>6608600</v>
      </c>
      <c r="U108" s="8"/>
      <c r="V108" s="8"/>
      <c r="W108" s="8"/>
      <c r="X108" s="8"/>
      <c r="Y108" s="12">
        <v>-1174700</v>
      </c>
      <c r="Z108" s="12">
        <v>-7096100</v>
      </c>
      <c r="AA108" s="13">
        <v>5026800</v>
      </c>
      <c r="AB108" s="12">
        <v>-3158880</v>
      </c>
      <c r="AC108" s="12">
        <v>-17700400</v>
      </c>
      <c r="AD108" s="13">
        <v>39398080</v>
      </c>
      <c r="AE108" s="13">
        <v>6608600</v>
      </c>
      <c r="AF108" s="8"/>
      <c r="AG108" s="8"/>
      <c r="AH108" s="8"/>
      <c r="AI108" s="8"/>
      <c r="AJ108" s="10">
        <v>106084813655.5</v>
      </c>
      <c r="AK108" s="10">
        <v>131218957529.8</v>
      </c>
      <c r="AL108" s="10">
        <v>182553909846.04999</v>
      </c>
      <c r="AM108" s="10">
        <v>104047367497</v>
      </c>
      <c r="AN108" s="10">
        <v>99321259822.5</v>
      </c>
      <c r="AO108" s="10">
        <v>145496125335.60001</v>
      </c>
      <c r="AP108" s="10">
        <v>25287627498.400002</v>
      </c>
      <c r="AQ108" s="8"/>
      <c r="AR108" s="8"/>
      <c r="AS108" s="8"/>
      <c r="AT108" s="8"/>
      <c r="AU108" s="14">
        <v>45777</v>
      </c>
      <c r="AV108" s="14">
        <v>45657</v>
      </c>
      <c r="AW108" s="14">
        <v>45291</v>
      </c>
      <c r="AX108" s="14">
        <v>44773</v>
      </c>
      <c r="AY108" s="14">
        <v>44561</v>
      </c>
      <c r="AZ108" s="14">
        <v>44196</v>
      </c>
      <c r="BA108" s="14">
        <v>43830</v>
      </c>
      <c r="BB108" s="8"/>
      <c r="BC108" s="8"/>
      <c r="BD108" s="8"/>
      <c r="BE108" s="8"/>
      <c r="BF108" s="8" t="s">
        <v>35</v>
      </c>
      <c r="BG108" s="8" t="s">
        <v>35</v>
      </c>
      <c r="BH108" s="8" t="s">
        <v>35</v>
      </c>
      <c r="BI108" s="8" t="s">
        <v>35</v>
      </c>
      <c r="BJ108" s="8" t="s">
        <v>35</v>
      </c>
      <c r="BK108" s="8" t="s">
        <v>35</v>
      </c>
      <c r="BL108" s="8" t="s">
        <v>35</v>
      </c>
      <c r="BM108" s="8"/>
      <c r="BN108" s="8"/>
      <c r="BO108" s="8"/>
      <c r="BP108" s="8"/>
      <c r="BQ108" s="8" t="s">
        <v>31</v>
      </c>
      <c r="BR108" s="8" t="s">
        <v>36</v>
      </c>
      <c r="BS108" s="10">
        <v>440168296960878</v>
      </c>
      <c r="BT108" s="8"/>
      <c r="BU108" s="8" t="s">
        <v>27</v>
      </c>
      <c r="BV108" s="8" t="s">
        <v>27</v>
      </c>
      <c r="BW108" s="8" t="s">
        <v>27</v>
      </c>
      <c r="BX108" s="8" t="s">
        <v>27</v>
      </c>
      <c r="BY108" s="8" t="s">
        <v>27</v>
      </c>
      <c r="BZ108" s="8" t="s">
        <v>43</v>
      </c>
      <c r="CA108" s="8" t="s">
        <v>43</v>
      </c>
      <c r="CB108" s="8"/>
      <c r="CC108" s="8"/>
      <c r="CD108" s="8"/>
      <c r="CE108" s="8"/>
      <c r="CF108" s="8" t="s">
        <v>194</v>
      </c>
      <c r="CG108" s="8" t="s">
        <v>195</v>
      </c>
    </row>
    <row r="109" spans="1:85" ht="15.75" customHeight="1" x14ac:dyDescent="0.35">
      <c r="A109" s="8">
        <v>102</v>
      </c>
      <c r="B109" s="8" t="s">
        <v>208</v>
      </c>
      <c r="C109" s="9">
        <v>2.2000000000000001E-4</v>
      </c>
      <c r="D109" s="9">
        <v>1.22E-4</v>
      </c>
      <c r="E109" s="9">
        <v>1.06E-4</v>
      </c>
      <c r="F109" s="8"/>
      <c r="G109" s="8"/>
      <c r="H109" s="8"/>
      <c r="I109" s="8"/>
      <c r="J109" s="8"/>
      <c r="K109" s="8"/>
      <c r="L109" s="8"/>
      <c r="M109" s="8"/>
      <c r="N109" s="10">
        <v>20323911</v>
      </c>
      <c r="O109" s="10">
        <v>11266783</v>
      </c>
      <c r="P109" s="10">
        <v>9788168</v>
      </c>
      <c r="Q109" s="8"/>
      <c r="R109" s="8"/>
      <c r="S109" s="8"/>
      <c r="T109" s="8"/>
      <c r="U109" s="8"/>
      <c r="V109" s="8"/>
      <c r="W109" s="8"/>
      <c r="X109" s="8"/>
      <c r="Y109" s="13">
        <v>9057128</v>
      </c>
      <c r="Z109" s="13">
        <v>1478615</v>
      </c>
      <c r="AA109" s="13">
        <v>9788168</v>
      </c>
      <c r="AB109" s="8"/>
      <c r="AC109" s="8"/>
      <c r="AD109" s="8"/>
      <c r="AE109" s="8"/>
      <c r="AF109" s="8"/>
      <c r="AG109" s="8"/>
      <c r="AH109" s="8"/>
      <c r="AI109" s="8"/>
      <c r="AJ109" s="10">
        <v>89398378339.199997</v>
      </c>
      <c r="AK109" s="10">
        <v>64061405319.800003</v>
      </c>
      <c r="AL109" s="10">
        <v>59218416390.949997</v>
      </c>
      <c r="AM109" s="8"/>
      <c r="AN109" s="8"/>
      <c r="AO109" s="8"/>
      <c r="AP109" s="8"/>
      <c r="AQ109" s="8"/>
      <c r="AR109" s="8"/>
      <c r="AS109" s="8"/>
      <c r="AT109" s="8"/>
      <c r="AU109" s="14">
        <v>45930</v>
      </c>
      <c r="AV109" s="14">
        <v>45657</v>
      </c>
      <c r="AW109" s="14">
        <v>45291</v>
      </c>
      <c r="AX109" s="8"/>
      <c r="AY109" s="8"/>
      <c r="AZ109" s="8"/>
      <c r="BA109" s="8"/>
      <c r="BB109" s="8"/>
      <c r="BC109" s="8"/>
      <c r="BD109" s="8"/>
      <c r="BE109" s="8"/>
      <c r="BF109" s="8" t="s">
        <v>35</v>
      </c>
      <c r="BG109" s="8" t="s">
        <v>35</v>
      </c>
      <c r="BH109" s="8" t="s">
        <v>35</v>
      </c>
      <c r="BI109" s="8"/>
      <c r="BJ109" s="8"/>
      <c r="BK109" s="8"/>
      <c r="BL109" s="8"/>
      <c r="BM109" s="8"/>
      <c r="BN109" s="8"/>
      <c r="BO109" s="8"/>
      <c r="BP109" s="8"/>
      <c r="BQ109" s="8" t="s">
        <v>31</v>
      </c>
      <c r="BR109" s="8" t="s">
        <v>36</v>
      </c>
      <c r="BS109" s="10">
        <v>384281806274592</v>
      </c>
      <c r="BT109" s="8" t="s">
        <v>41</v>
      </c>
      <c r="BU109" s="8" t="s">
        <v>27</v>
      </c>
      <c r="BV109" s="8" t="s">
        <v>42</v>
      </c>
      <c r="BW109" s="8" t="s">
        <v>43</v>
      </c>
      <c r="BX109" s="8"/>
      <c r="BY109" s="8"/>
      <c r="BZ109" s="8"/>
      <c r="CA109" s="8"/>
      <c r="CB109" s="8"/>
      <c r="CC109" s="8"/>
      <c r="CD109" s="8"/>
      <c r="CE109" s="8"/>
      <c r="CF109" s="8" t="s">
        <v>65</v>
      </c>
      <c r="CG109" s="8" t="s">
        <v>65</v>
      </c>
    </row>
    <row r="110" spans="1:85" ht="15.75" customHeight="1" x14ac:dyDescent="0.35">
      <c r="A110" s="8">
        <v>103</v>
      </c>
      <c r="B110" s="8" t="s">
        <v>209</v>
      </c>
      <c r="C110" s="9">
        <v>1.9799999999999999E-4</v>
      </c>
      <c r="D110" s="8"/>
      <c r="E110" s="9">
        <v>0</v>
      </c>
      <c r="F110" s="9">
        <v>0</v>
      </c>
      <c r="G110" s="9">
        <v>5.8E-5</v>
      </c>
      <c r="H110" s="8"/>
      <c r="I110" s="8"/>
      <c r="J110" s="8"/>
      <c r="K110" s="8"/>
      <c r="L110" s="8"/>
      <c r="M110" s="8"/>
      <c r="N110" s="10">
        <v>18294582</v>
      </c>
      <c r="O110" s="8"/>
      <c r="P110" s="10">
        <v>0</v>
      </c>
      <c r="Q110" s="10">
        <v>0</v>
      </c>
      <c r="R110" s="10">
        <v>5326600</v>
      </c>
      <c r="S110" s="8"/>
      <c r="T110" s="8"/>
      <c r="U110" s="8"/>
      <c r="V110" s="8"/>
      <c r="W110" s="8"/>
      <c r="X110" s="8"/>
      <c r="Y110" s="13">
        <v>18294582</v>
      </c>
      <c r="Z110" s="8"/>
      <c r="AA110" s="11">
        <v>0</v>
      </c>
      <c r="AB110" s="12">
        <v>-5326600</v>
      </c>
      <c r="AC110" s="13">
        <v>5326600</v>
      </c>
      <c r="AD110" s="8"/>
      <c r="AE110" s="8"/>
      <c r="AF110" s="8"/>
      <c r="AG110" s="8"/>
      <c r="AH110" s="8"/>
      <c r="AI110" s="8"/>
      <c r="AJ110" s="10">
        <v>82835879910</v>
      </c>
      <c r="AK110" s="8"/>
      <c r="AL110" s="10">
        <v>0</v>
      </c>
      <c r="AM110" s="10">
        <v>0</v>
      </c>
      <c r="AN110" s="10">
        <v>18690008872.5</v>
      </c>
      <c r="AO110" s="8"/>
      <c r="AP110" s="8"/>
      <c r="AQ110" s="8"/>
      <c r="AR110" s="8"/>
      <c r="AS110" s="8"/>
      <c r="AT110" s="8"/>
      <c r="AU110" s="14">
        <v>45869</v>
      </c>
      <c r="AV110" s="8"/>
      <c r="AW110" s="14">
        <v>44742</v>
      </c>
      <c r="AX110" s="14">
        <v>44742</v>
      </c>
      <c r="AY110" s="14">
        <v>44561</v>
      </c>
      <c r="AZ110" s="8"/>
      <c r="BA110" s="8"/>
      <c r="BB110" s="8"/>
      <c r="BC110" s="8"/>
      <c r="BD110" s="8"/>
      <c r="BE110" s="8"/>
      <c r="BF110" s="8" t="s">
        <v>35</v>
      </c>
      <c r="BG110" s="8"/>
      <c r="BH110" s="8" t="s">
        <v>35</v>
      </c>
      <c r="BI110" s="8" t="s">
        <v>35</v>
      </c>
      <c r="BJ110" s="8" t="s">
        <v>35</v>
      </c>
      <c r="BK110" s="8"/>
      <c r="BL110" s="8"/>
      <c r="BM110" s="8"/>
      <c r="BN110" s="8"/>
      <c r="BO110" s="8"/>
      <c r="BP110" s="8"/>
      <c r="BQ110" s="8" t="s">
        <v>31</v>
      </c>
      <c r="BR110" s="8" t="s">
        <v>49</v>
      </c>
      <c r="BS110" s="10">
        <v>87359419149984</v>
      </c>
      <c r="BT110" s="8" t="s">
        <v>61</v>
      </c>
      <c r="BU110" s="8" t="s">
        <v>27</v>
      </c>
      <c r="BV110" s="8"/>
      <c r="BW110" s="8" t="s">
        <v>27</v>
      </c>
      <c r="BX110" s="8" t="s">
        <v>27</v>
      </c>
      <c r="BY110" s="8" t="s">
        <v>42</v>
      </c>
      <c r="BZ110" s="8"/>
      <c r="CA110" s="8"/>
      <c r="CB110" s="8"/>
      <c r="CC110" s="8"/>
      <c r="CD110" s="8"/>
      <c r="CE110" s="8"/>
      <c r="CF110" s="8" t="s">
        <v>210</v>
      </c>
      <c r="CG110" s="8" t="s">
        <v>39</v>
      </c>
    </row>
    <row r="111" spans="1:85" ht="15.75" customHeight="1" x14ac:dyDescent="0.35">
      <c r="A111" s="8">
        <v>104</v>
      </c>
      <c r="B111" s="8" t="s">
        <v>211</v>
      </c>
      <c r="C111" s="9">
        <v>1.9100000000000001E-4</v>
      </c>
      <c r="D111" s="9">
        <v>5.8399999999999999E-4</v>
      </c>
      <c r="E111" s="9">
        <v>5.4799999999999998E-4</v>
      </c>
      <c r="F111" s="9">
        <v>3.59E-4</v>
      </c>
      <c r="G111" s="9">
        <v>2.9399999999999999E-4</v>
      </c>
      <c r="H111" s="9">
        <v>9.8999999999999994E-5</v>
      </c>
      <c r="I111" s="9">
        <v>9.8999999999999994E-5</v>
      </c>
      <c r="J111" s="9">
        <v>1.16E-4</v>
      </c>
      <c r="K111" s="9">
        <v>2.81E-4</v>
      </c>
      <c r="L111" s="9">
        <v>2.4899999999999998E-4</v>
      </c>
      <c r="M111" s="9">
        <v>2.04E-4</v>
      </c>
      <c r="N111" s="10">
        <v>17643000</v>
      </c>
      <c r="O111" s="10">
        <v>53921800</v>
      </c>
      <c r="P111" s="10">
        <v>50660500</v>
      </c>
      <c r="Q111" s="10">
        <v>33148400</v>
      </c>
      <c r="R111" s="10">
        <v>27148400</v>
      </c>
      <c r="S111" s="10">
        <v>9148400</v>
      </c>
      <c r="T111" s="10">
        <v>9148400</v>
      </c>
      <c r="U111" s="10">
        <v>10678000</v>
      </c>
      <c r="V111" s="10">
        <v>25934400</v>
      </c>
      <c r="W111" s="10">
        <v>22990000</v>
      </c>
      <c r="X111" s="10">
        <v>18809200</v>
      </c>
      <c r="Y111" s="12">
        <v>-36278800</v>
      </c>
      <c r="Z111" s="13">
        <v>3261300</v>
      </c>
      <c r="AA111" s="13">
        <v>17512100</v>
      </c>
      <c r="AB111" s="13">
        <v>6000000</v>
      </c>
      <c r="AC111" s="13">
        <v>18000000</v>
      </c>
      <c r="AD111" s="11">
        <v>0</v>
      </c>
      <c r="AE111" s="12">
        <v>-1529600</v>
      </c>
      <c r="AF111" s="12">
        <v>-15256400</v>
      </c>
      <c r="AG111" s="13">
        <v>2944400</v>
      </c>
      <c r="AH111" s="13">
        <v>4180800</v>
      </c>
      <c r="AI111" s="12">
        <v>-1652000</v>
      </c>
      <c r="AJ111" s="10">
        <v>77605909047.800003</v>
      </c>
      <c r="AK111" s="10">
        <v>306592066993.79999</v>
      </c>
      <c r="AL111" s="10">
        <v>306496024802.15002</v>
      </c>
      <c r="AM111" s="10">
        <v>164498935196.75</v>
      </c>
      <c r="AN111" s="10">
        <v>95258482935</v>
      </c>
      <c r="AO111" s="10">
        <v>28931814943.200001</v>
      </c>
      <c r="AP111" s="10">
        <v>35006102857.599998</v>
      </c>
      <c r="AQ111" s="10">
        <v>38888177331.25</v>
      </c>
      <c r="AR111" s="10">
        <v>103737599970.95</v>
      </c>
      <c r="AS111" s="10">
        <v>66527312476.199997</v>
      </c>
      <c r="AT111" s="10">
        <v>43512057363.150002</v>
      </c>
      <c r="AU111" s="14">
        <v>45930</v>
      </c>
      <c r="AV111" s="14">
        <v>45657</v>
      </c>
      <c r="AW111" s="14">
        <v>45291</v>
      </c>
      <c r="AX111" s="14">
        <v>44926</v>
      </c>
      <c r="AY111" s="14">
        <v>44561</v>
      </c>
      <c r="AZ111" s="14">
        <v>44196</v>
      </c>
      <c r="BA111" s="14">
        <v>43830</v>
      </c>
      <c r="BB111" s="14">
        <v>43465</v>
      </c>
      <c r="BC111" s="14">
        <v>43100</v>
      </c>
      <c r="BD111" s="14">
        <v>42735</v>
      </c>
      <c r="BE111" s="14">
        <v>42369</v>
      </c>
      <c r="BF111" s="8" t="s">
        <v>35</v>
      </c>
      <c r="BG111" s="8" t="s">
        <v>35</v>
      </c>
      <c r="BH111" s="8" t="s">
        <v>35</v>
      </c>
      <c r="BI111" s="8" t="s">
        <v>35</v>
      </c>
      <c r="BJ111" s="8" t="s">
        <v>35</v>
      </c>
      <c r="BK111" s="8" t="s">
        <v>35</v>
      </c>
      <c r="BL111" s="8" t="s">
        <v>35</v>
      </c>
      <c r="BM111" s="8" t="s">
        <v>35</v>
      </c>
      <c r="BN111" s="8" t="s">
        <v>35</v>
      </c>
      <c r="BO111" s="8" t="s">
        <v>35</v>
      </c>
      <c r="BP111" s="8" t="s">
        <v>35</v>
      </c>
      <c r="BQ111" s="8" t="s">
        <v>31</v>
      </c>
      <c r="BR111" s="8" t="s">
        <v>49</v>
      </c>
      <c r="BS111" s="10">
        <v>2959910671623570</v>
      </c>
      <c r="BT111" s="8" t="s">
        <v>41</v>
      </c>
      <c r="BU111" s="8" t="s">
        <v>27</v>
      </c>
      <c r="BV111" s="8" t="s">
        <v>27</v>
      </c>
      <c r="BW111" s="8" t="s">
        <v>27</v>
      </c>
      <c r="BX111" s="8" t="s">
        <v>27</v>
      </c>
      <c r="BY111" s="8" t="s">
        <v>27</v>
      </c>
      <c r="BZ111" s="8" t="s">
        <v>27</v>
      </c>
      <c r="CA111" s="8" t="s">
        <v>27</v>
      </c>
      <c r="CB111" s="8" t="s">
        <v>27</v>
      </c>
      <c r="CC111" s="8" t="s">
        <v>27</v>
      </c>
      <c r="CD111" s="8" t="s">
        <v>27</v>
      </c>
      <c r="CE111" s="8" t="s">
        <v>27</v>
      </c>
      <c r="CF111" s="8" t="s">
        <v>212</v>
      </c>
      <c r="CG111" s="8" t="s">
        <v>213</v>
      </c>
    </row>
    <row r="112" spans="1:85" ht="15.75" customHeight="1" x14ac:dyDescent="0.35">
      <c r="A112" s="8">
        <v>105</v>
      </c>
      <c r="B112" s="8" t="s">
        <v>214</v>
      </c>
      <c r="C112" s="9">
        <v>1.9100000000000001E-4</v>
      </c>
      <c r="D112" s="9">
        <v>2.04E-4</v>
      </c>
      <c r="E112" s="9">
        <v>2.4499999999999999E-4</v>
      </c>
      <c r="F112" s="9">
        <v>2.5900000000000001E-4</v>
      </c>
      <c r="G112" s="9">
        <v>2.6699999999999998E-4</v>
      </c>
      <c r="H112" s="9">
        <v>6.3299999999999999E-4</v>
      </c>
      <c r="I112" s="9">
        <v>6.4599999999999998E-4</v>
      </c>
      <c r="J112" s="9">
        <v>5.1599999999999997E-4</v>
      </c>
      <c r="K112" s="9">
        <v>5.0100000000000003E-4</v>
      </c>
      <c r="L112" s="9">
        <v>4.9600000000000002E-4</v>
      </c>
      <c r="M112" s="9">
        <v>4.86E-4</v>
      </c>
      <c r="N112" s="10">
        <v>17604000</v>
      </c>
      <c r="O112" s="10">
        <v>18806500</v>
      </c>
      <c r="P112" s="10">
        <v>22668600</v>
      </c>
      <c r="Q112" s="10">
        <v>23944200</v>
      </c>
      <c r="R112" s="10">
        <v>24690600</v>
      </c>
      <c r="S112" s="10">
        <v>58485800</v>
      </c>
      <c r="T112" s="10">
        <v>59669000</v>
      </c>
      <c r="U112" s="10">
        <v>47711000</v>
      </c>
      <c r="V112" s="10">
        <v>46266000</v>
      </c>
      <c r="W112" s="10">
        <v>45806000</v>
      </c>
      <c r="X112" s="10">
        <v>44892000</v>
      </c>
      <c r="Y112" s="12">
        <v>-1202500</v>
      </c>
      <c r="Z112" s="12">
        <v>-3862100</v>
      </c>
      <c r="AA112" s="12">
        <v>-1275600</v>
      </c>
      <c r="AB112" s="12">
        <v>-746400</v>
      </c>
      <c r="AC112" s="12">
        <v>-33795200</v>
      </c>
      <c r="AD112" s="12">
        <v>-1183200</v>
      </c>
      <c r="AE112" s="13">
        <v>11958000</v>
      </c>
      <c r="AF112" s="13">
        <v>1445000</v>
      </c>
      <c r="AG112" s="13">
        <v>460000</v>
      </c>
      <c r="AH112" s="13">
        <v>914000</v>
      </c>
      <c r="AI112" s="13">
        <v>591904</v>
      </c>
      <c r="AJ112" s="10">
        <v>77434360528</v>
      </c>
      <c r="AK112" s="10">
        <v>106931217251.5</v>
      </c>
      <c r="AL112" s="10">
        <v>137145029835.2</v>
      </c>
      <c r="AM112" s="10">
        <v>126006352615</v>
      </c>
      <c r="AN112" s="10">
        <v>86634538260</v>
      </c>
      <c r="AO112" s="10">
        <v>184961342311.20001</v>
      </c>
      <c r="AP112" s="10">
        <v>228321799773.20001</v>
      </c>
      <c r="AQ112" s="10">
        <v>173758553243.75</v>
      </c>
      <c r="AR112" s="10">
        <v>185064000061.5</v>
      </c>
      <c r="AS112" s="10">
        <v>132551112580.8</v>
      </c>
      <c r="AT112" s="10">
        <v>103850417944.8</v>
      </c>
      <c r="AU112" s="14">
        <v>45930</v>
      </c>
      <c r="AV112" s="14">
        <v>45657</v>
      </c>
      <c r="AW112" s="14">
        <v>45291</v>
      </c>
      <c r="AX112" s="14">
        <v>44895</v>
      </c>
      <c r="AY112" s="14">
        <v>44561</v>
      </c>
      <c r="AZ112" s="14">
        <v>44196</v>
      </c>
      <c r="BA112" s="14">
        <v>43830</v>
      </c>
      <c r="BB112" s="14">
        <v>43465</v>
      </c>
      <c r="BC112" s="14">
        <v>43100</v>
      </c>
      <c r="BD112" s="14">
        <v>42735</v>
      </c>
      <c r="BE112" s="14">
        <v>42369</v>
      </c>
      <c r="BF112" s="8" t="s">
        <v>35</v>
      </c>
      <c r="BG112" s="8" t="s">
        <v>35</v>
      </c>
      <c r="BH112" s="8" t="s">
        <v>35</v>
      </c>
      <c r="BI112" s="8" t="s">
        <v>35</v>
      </c>
      <c r="BJ112" s="8" t="s">
        <v>35</v>
      </c>
      <c r="BK112" s="8" t="s">
        <v>35</v>
      </c>
      <c r="BL112" s="8" t="s">
        <v>35</v>
      </c>
      <c r="BM112" s="8" t="s">
        <v>35</v>
      </c>
      <c r="BN112" s="8" t="s">
        <v>35</v>
      </c>
      <c r="BO112" s="8" t="s">
        <v>35</v>
      </c>
      <c r="BP112" s="8" t="s">
        <v>35</v>
      </c>
      <c r="BQ112" s="8" t="s">
        <v>31</v>
      </c>
      <c r="BR112" s="8" t="s">
        <v>49</v>
      </c>
      <c r="BS112" s="10">
        <v>2501191123470710</v>
      </c>
      <c r="BT112" s="8" t="s">
        <v>41</v>
      </c>
      <c r="BU112" s="8" t="s">
        <v>27</v>
      </c>
      <c r="BV112" s="8" t="s">
        <v>27</v>
      </c>
      <c r="BW112" s="8" t="s">
        <v>43</v>
      </c>
      <c r="BX112" s="8" t="s">
        <v>27</v>
      </c>
      <c r="BY112" s="8" t="s">
        <v>27</v>
      </c>
      <c r="BZ112" s="8" t="s">
        <v>27</v>
      </c>
      <c r="CA112" s="8" t="s">
        <v>27</v>
      </c>
      <c r="CB112" s="8" t="s">
        <v>27</v>
      </c>
      <c r="CC112" s="8" t="s">
        <v>27</v>
      </c>
      <c r="CD112" s="8" t="s">
        <v>27</v>
      </c>
      <c r="CE112" s="8" t="s">
        <v>27</v>
      </c>
      <c r="CF112" s="8" t="s">
        <v>215</v>
      </c>
      <c r="CG112" s="8" t="s">
        <v>99</v>
      </c>
    </row>
    <row r="113" spans="1:85" ht="15.75" customHeight="1" x14ac:dyDescent="0.35">
      <c r="A113" s="8">
        <v>106</v>
      </c>
      <c r="B113" s="8" t="s">
        <v>216</v>
      </c>
      <c r="C113" s="9">
        <v>1.83E-4</v>
      </c>
      <c r="D113" s="9">
        <v>1.7799999999999999E-4</v>
      </c>
      <c r="E113" s="9">
        <v>1.54E-4</v>
      </c>
      <c r="F113" s="9">
        <v>7.7999999999999999E-5</v>
      </c>
      <c r="G113" s="8"/>
      <c r="H113" s="8"/>
      <c r="I113" s="8"/>
      <c r="J113" s="8"/>
      <c r="K113" s="8"/>
      <c r="L113" s="8"/>
      <c r="M113" s="8"/>
      <c r="N113" s="10">
        <v>16896500</v>
      </c>
      <c r="O113" s="10">
        <v>16424400</v>
      </c>
      <c r="P113" s="10">
        <v>14213100</v>
      </c>
      <c r="Q113" s="10">
        <v>7252200</v>
      </c>
      <c r="R113" s="8"/>
      <c r="S113" s="8"/>
      <c r="T113" s="8"/>
      <c r="U113" s="8"/>
      <c r="V113" s="8"/>
      <c r="W113" s="8"/>
      <c r="X113" s="8"/>
      <c r="Y113" s="13">
        <v>472100</v>
      </c>
      <c r="Z113" s="13">
        <v>2211300</v>
      </c>
      <c r="AA113" s="13">
        <v>6960900</v>
      </c>
      <c r="AB113" s="13">
        <v>7252200</v>
      </c>
      <c r="AC113" s="8"/>
      <c r="AD113" s="8"/>
      <c r="AE113" s="8"/>
      <c r="AF113" s="8"/>
      <c r="AG113" s="8"/>
      <c r="AH113" s="8"/>
      <c r="AI113" s="8"/>
      <c r="AJ113" s="10">
        <v>74322294519.199997</v>
      </c>
      <c r="AK113" s="10">
        <v>93386918483.899994</v>
      </c>
      <c r="AL113" s="10">
        <v>85989254979.300003</v>
      </c>
      <c r="AM113" s="10">
        <v>35989042476.199997</v>
      </c>
      <c r="AN113" s="8"/>
      <c r="AO113" s="8"/>
      <c r="AP113" s="8"/>
      <c r="AQ113" s="8"/>
      <c r="AR113" s="8"/>
      <c r="AS113" s="8"/>
      <c r="AT113" s="8"/>
      <c r="AU113" s="14">
        <v>45930</v>
      </c>
      <c r="AV113" s="14">
        <v>45657</v>
      </c>
      <c r="AW113" s="14">
        <v>45291</v>
      </c>
      <c r="AX113" s="14">
        <v>44926</v>
      </c>
      <c r="AY113" s="8"/>
      <c r="AZ113" s="8"/>
      <c r="BA113" s="8"/>
      <c r="BB113" s="8"/>
      <c r="BC113" s="8"/>
      <c r="BD113" s="8"/>
      <c r="BE113" s="8"/>
      <c r="BF113" s="8" t="s">
        <v>35</v>
      </c>
      <c r="BG113" s="8" t="s">
        <v>35</v>
      </c>
      <c r="BH113" s="8" t="s">
        <v>35</v>
      </c>
      <c r="BI113" s="8" t="s">
        <v>35</v>
      </c>
      <c r="BJ113" s="8"/>
      <c r="BK113" s="8"/>
      <c r="BL113" s="8"/>
      <c r="BM113" s="8"/>
      <c r="BN113" s="8"/>
      <c r="BO113" s="8"/>
      <c r="BP113" s="8"/>
      <c r="BQ113" s="8" t="s">
        <v>31</v>
      </c>
      <c r="BR113" s="8" t="s">
        <v>160</v>
      </c>
      <c r="BS113" s="10">
        <v>58173571156934.398</v>
      </c>
      <c r="BT113" s="8"/>
      <c r="BU113" s="8" t="s">
        <v>27</v>
      </c>
      <c r="BV113" s="8" t="s">
        <v>27</v>
      </c>
      <c r="BW113" s="8" t="s">
        <v>42</v>
      </c>
      <c r="BX113" s="8" t="s">
        <v>27</v>
      </c>
      <c r="BY113" s="8"/>
      <c r="BZ113" s="8"/>
      <c r="CA113" s="8"/>
      <c r="CB113" s="8"/>
      <c r="CC113" s="8"/>
      <c r="CD113" s="8"/>
      <c r="CE113" s="8"/>
      <c r="CF113" s="8" t="s">
        <v>65</v>
      </c>
      <c r="CG113" s="8" t="s">
        <v>65</v>
      </c>
    </row>
    <row r="114" spans="1:85" ht="15.75" customHeight="1" x14ac:dyDescent="0.35">
      <c r="A114" s="8">
        <v>107</v>
      </c>
      <c r="B114" s="8" t="s">
        <v>217</v>
      </c>
      <c r="C114" s="9">
        <v>1.8000000000000001E-4</v>
      </c>
      <c r="D114" s="9">
        <v>1.02E-4</v>
      </c>
      <c r="E114" s="9">
        <v>9.0000000000000006E-5</v>
      </c>
      <c r="F114" s="9">
        <v>8.6000000000000003E-5</v>
      </c>
      <c r="G114" s="9">
        <v>1.25E-4</v>
      </c>
      <c r="H114" s="9">
        <v>1.5200000000000001E-4</v>
      </c>
      <c r="I114" s="9">
        <v>1.7200000000000001E-4</v>
      </c>
      <c r="J114" s="9">
        <v>1.5300000000000001E-4</v>
      </c>
      <c r="K114" s="9">
        <v>2.0999999999999999E-5</v>
      </c>
      <c r="L114" s="9">
        <v>1.4E-5</v>
      </c>
      <c r="M114" s="9">
        <v>1.0000000000000001E-5</v>
      </c>
      <c r="N114" s="10">
        <v>16666200</v>
      </c>
      <c r="O114" s="10">
        <v>9413800</v>
      </c>
      <c r="P114" s="10">
        <v>8344900</v>
      </c>
      <c r="Q114" s="10">
        <v>7962820</v>
      </c>
      <c r="R114" s="10">
        <v>11559220</v>
      </c>
      <c r="S114" s="10">
        <v>14063420</v>
      </c>
      <c r="T114" s="10">
        <v>15872220</v>
      </c>
      <c r="U114" s="10">
        <v>14147000</v>
      </c>
      <c r="V114" s="10">
        <v>1934400</v>
      </c>
      <c r="W114" s="10">
        <v>1324800</v>
      </c>
      <c r="X114" s="10">
        <v>921600</v>
      </c>
      <c r="Y114" s="13">
        <v>7252400</v>
      </c>
      <c r="Z114" s="13">
        <v>1068900</v>
      </c>
      <c r="AA114" s="13">
        <v>382080</v>
      </c>
      <c r="AB114" s="12">
        <v>-3596400</v>
      </c>
      <c r="AC114" s="12">
        <v>-2504200</v>
      </c>
      <c r="AD114" s="12">
        <v>-1808800</v>
      </c>
      <c r="AE114" s="13">
        <v>1725220</v>
      </c>
      <c r="AF114" s="13">
        <v>12212600</v>
      </c>
      <c r="AG114" s="13">
        <v>609600</v>
      </c>
      <c r="AH114" s="13">
        <v>403200</v>
      </c>
      <c r="AI114" s="12">
        <v>-428400</v>
      </c>
      <c r="AJ114" s="10">
        <v>73309278554.399994</v>
      </c>
      <c r="AK114" s="10">
        <v>53525594478.800003</v>
      </c>
      <c r="AL114" s="10">
        <v>50486645036.400002</v>
      </c>
      <c r="AM114" s="10">
        <v>39515494326</v>
      </c>
      <c r="AN114" s="10">
        <v>40559066490</v>
      </c>
      <c r="AO114" s="10">
        <v>44475565633.199997</v>
      </c>
      <c r="AP114" s="10">
        <v>60734616619.199997</v>
      </c>
      <c r="AQ114" s="10">
        <v>51521918487.5</v>
      </c>
      <c r="AR114" s="10">
        <v>7737599984.1000004</v>
      </c>
      <c r="AS114" s="10">
        <v>3833639991.3000002</v>
      </c>
      <c r="AT114" s="10">
        <v>2131973350.05</v>
      </c>
      <c r="AU114" s="14">
        <v>45930</v>
      </c>
      <c r="AV114" s="14">
        <v>45657</v>
      </c>
      <c r="AW114" s="14">
        <v>45291</v>
      </c>
      <c r="AX114" s="14">
        <v>44926</v>
      </c>
      <c r="AY114" s="14">
        <v>44561</v>
      </c>
      <c r="AZ114" s="14">
        <v>44196</v>
      </c>
      <c r="BA114" s="14">
        <v>43830</v>
      </c>
      <c r="BB114" s="14">
        <v>43465</v>
      </c>
      <c r="BC114" s="14">
        <v>43100</v>
      </c>
      <c r="BD114" s="14">
        <v>42735</v>
      </c>
      <c r="BE114" s="14">
        <v>42369</v>
      </c>
      <c r="BF114" s="8" t="s">
        <v>35</v>
      </c>
      <c r="BG114" s="8" t="s">
        <v>35</v>
      </c>
      <c r="BH114" s="8" t="s">
        <v>35</v>
      </c>
      <c r="BI114" s="8" t="s">
        <v>35</v>
      </c>
      <c r="BJ114" s="8" t="s">
        <v>35</v>
      </c>
      <c r="BK114" s="8" t="s">
        <v>35</v>
      </c>
      <c r="BL114" s="8" t="s">
        <v>35</v>
      </c>
      <c r="BM114" s="8" t="s">
        <v>35</v>
      </c>
      <c r="BN114" s="8" t="s">
        <v>35</v>
      </c>
      <c r="BO114" s="8" t="s">
        <v>35</v>
      </c>
      <c r="BP114" s="8" t="s">
        <v>35</v>
      </c>
      <c r="BQ114" s="8" t="s">
        <v>31</v>
      </c>
      <c r="BR114" s="8" t="s">
        <v>49</v>
      </c>
      <c r="BS114" s="10">
        <v>8169455275853390</v>
      </c>
      <c r="BT114" s="8" t="s">
        <v>46</v>
      </c>
      <c r="BU114" s="8" t="s">
        <v>27</v>
      </c>
      <c r="BV114" s="8" t="s">
        <v>27</v>
      </c>
      <c r="BW114" s="8" t="s">
        <v>27</v>
      </c>
      <c r="BX114" s="8" t="s">
        <v>27</v>
      </c>
      <c r="BY114" s="8" t="s">
        <v>27</v>
      </c>
      <c r="BZ114" s="8" t="s">
        <v>27</v>
      </c>
      <c r="CA114" s="8" t="s">
        <v>27</v>
      </c>
      <c r="CB114" s="8" t="s">
        <v>27</v>
      </c>
      <c r="CC114" s="8" t="s">
        <v>27</v>
      </c>
      <c r="CD114" s="8" t="s">
        <v>27</v>
      </c>
      <c r="CE114" s="8" t="s">
        <v>27</v>
      </c>
      <c r="CF114" s="8" t="s">
        <v>80</v>
      </c>
      <c r="CG114" s="8" t="s">
        <v>39</v>
      </c>
    </row>
    <row r="115" spans="1:85" ht="15.75" customHeight="1" x14ac:dyDescent="0.35">
      <c r="A115" s="8">
        <v>108</v>
      </c>
      <c r="B115" s="8" t="s">
        <v>218</v>
      </c>
      <c r="C115" s="9">
        <v>1.7899999999999999E-4</v>
      </c>
      <c r="D115" s="9">
        <v>1.06E-4</v>
      </c>
      <c r="E115" s="9">
        <v>9.6000000000000002E-5</v>
      </c>
      <c r="F115" s="8"/>
      <c r="G115" s="8"/>
      <c r="H115" s="8"/>
      <c r="I115" s="8"/>
      <c r="J115" s="8"/>
      <c r="K115" s="8"/>
      <c r="L115" s="8"/>
      <c r="M115" s="8"/>
      <c r="N115" s="10">
        <v>16576868</v>
      </c>
      <c r="O115" s="10">
        <v>9764789</v>
      </c>
      <c r="P115" s="10">
        <v>8826073</v>
      </c>
      <c r="Q115" s="8"/>
      <c r="R115" s="8"/>
      <c r="S115" s="8"/>
      <c r="T115" s="8"/>
      <c r="U115" s="8"/>
      <c r="V115" s="8"/>
      <c r="W115" s="8"/>
      <c r="X115" s="8"/>
      <c r="Y115" s="13">
        <v>6812079</v>
      </c>
      <c r="Z115" s="13">
        <v>938716</v>
      </c>
      <c r="AA115" s="13">
        <v>8826073</v>
      </c>
      <c r="AB115" s="8"/>
      <c r="AC115" s="8"/>
      <c r="AD115" s="8"/>
      <c r="AE115" s="8"/>
      <c r="AF115" s="8"/>
      <c r="AG115" s="8"/>
      <c r="AH115" s="8"/>
      <c r="AI115" s="8"/>
      <c r="AJ115" s="10">
        <v>72916335627.800003</v>
      </c>
      <c r="AK115" s="10">
        <v>55521270485.099998</v>
      </c>
      <c r="AL115" s="10">
        <v>53397741624.199997</v>
      </c>
      <c r="AM115" s="8"/>
      <c r="AN115" s="8"/>
      <c r="AO115" s="8"/>
      <c r="AP115" s="8"/>
      <c r="AQ115" s="8"/>
      <c r="AR115" s="8"/>
      <c r="AS115" s="8"/>
      <c r="AT115" s="8"/>
      <c r="AU115" s="14">
        <v>45930</v>
      </c>
      <c r="AV115" s="14">
        <v>45657</v>
      </c>
      <c r="AW115" s="14">
        <v>45291</v>
      </c>
      <c r="AX115" s="8"/>
      <c r="AY115" s="8"/>
      <c r="AZ115" s="8"/>
      <c r="BA115" s="8"/>
      <c r="BB115" s="8"/>
      <c r="BC115" s="8"/>
      <c r="BD115" s="8"/>
      <c r="BE115" s="8"/>
      <c r="BF115" s="8" t="s">
        <v>35</v>
      </c>
      <c r="BG115" s="8" t="s">
        <v>35</v>
      </c>
      <c r="BH115" s="8" t="s">
        <v>35</v>
      </c>
      <c r="BI115" s="8"/>
      <c r="BJ115" s="8"/>
      <c r="BK115" s="8"/>
      <c r="BL115" s="8"/>
      <c r="BM115" s="8"/>
      <c r="BN115" s="8"/>
      <c r="BO115" s="8"/>
      <c r="BP115" s="8"/>
      <c r="BQ115" s="8" t="s">
        <v>31</v>
      </c>
      <c r="BR115" s="8" t="s">
        <v>219</v>
      </c>
      <c r="BS115" s="10">
        <v>88217153167854</v>
      </c>
      <c r="BT115" s="8"/>
      <c r="BU115" s="8" t="s">
        <v>27</v>
      </c>
      <c r="BV115" s="8" t="s">
        <v>42</v>
      </c>
      <c r="BW115" s="8" t="s">
        <v>27</v>
      </c>
      <c r="BX115" s="8"/>
      <c r="BY115" s="8"/>
      <c r="BZ115" s="8"/>
      <c r="CA115" s="8"/>
      <c r="CB115" s="8"/>
      <c r="CC115" s="8"/>
      <c r="CD115" s="8"/>
      <c r="CE115" s="8"/>
      <c r="CF115" s="8" t="s">
        <v>120</v>
      </c>
      <c r="CG115" s="8" t="s">
        <v>51</v>
      </c>
    </row>
    <row r="116" spans="1:85" ht="15.75" customHeight="1" x14ac:dyDescent="0.35">
      <c r="A116" s="8">
        <v>109</v>
      </c>
      <c r="B116" s="8" t="s">
        <v>220</v>
      </c>
      <c r="C116" s="9">
        <v>1.7899999999999999E-4</v>
      </c>
      <c r="D116" s="9">
        <v>5.9999999999999995E-4</v>
      </c>
      <c r="E116" s="9">
        <v>4.8899999999999996E-4</v>
      </c>
      <c r="F116" s="9">
        <v>4.35E-4</v>
      </c>
      <c r="G116" s="9">
        <v>1.9699999999999999E-4</v>
      </c>
      <c r="H116" s="9">
        <v>4.44E-4</v>
      </c>
      <c r="I116" s="9">
        <v>4.2000000000000002E-4</v>
      </c>
      <c r="J116" s="9">
        <v>2.6899999999999998E-4</v>
      </c>
      <c r="K116" s="9">
        <v>3.9399999999999998E-4</v>
      </c>
      <c r="L116" s="9">
        <v>3.1300000000000002E-4</v>
      </c>
      <c r="M116" s="9">
        <v>2.33E-4</v>
      </c>
      <c r="N116" s="10">
        <v>16540000</v>
      </c>
      <c r="O116" s="10">
        <v>55459767</v>
      </c>
      <c r="P116" s="10">
        <v>45203787</v>
      </c>
      <c r="Q116" s="10">
        <v>40221934</v>
      </c>
      <c r="R116" s="10">
        <v>18220626</v>
      </c>
      <c r="S116" s="10">
        <v>41007200</v>
      </c>
      <c r="T116" s="10">
        <v>38774600</v>
      </c>
      <c r="U116" s="10">
        <v>24863400</v>
      </c>
      <c r="V116" s="10">
        <v>36434600</v>
      </c>
      <c r="W116" s="10">
        <v>28914400</v>
      </c>
      <c r="X116" s="10">
        <v>21548900</v>
      </c>
      <c r="Y116" s="12">
        <v>-38919767</v>
      </c>
      <c r="Z116" s="13">
        <v>10255980</v>
      </c>
      <c r="AA116" s="13">
        <v>4981853</v>
      </c>
      <c r="AB116" s="13">
        <v>22001308</v>
      </c>
      <c r="AC116" s="12">
        <v>-22786574</v>
      </c>
      <c r="AD116" s="13">
        <v>2232600</v>
      </c>
      <c r="AE116" s="13">
        <v>13911200</v>
      </c>
      <c r="AF116" s="12">
        <v>-11571200</v>
      </c>
      <c r="AG116" s="13">
        <v>7520200</v>
      </c>
      <c r="AH116" s="13">
        <v>7365500</v>
      </c>
      <c r="AI116" s="11">
        <v>0</v>
      </c>
      <c r="AJ116" s="10">
        <v>78928444624.050003</v>
      </c>
      <c r="AK116" s="10">
        <v>315336739356.59998</v>
      </c>
      <c r="AL116" s="10">
        <v>273482911212.70001</v>
      </c>
      <c r="AM116" s="10">
        <v>199601347644.04999</v>
      </c>
      <c r="AN116" s="10">
        <v>63932651362.5</v>
      </c>
      <c r="AO116" s="10">
        <v>129685269823.2</v>
      </c>
      <c r="AP116" s="10">
        <v>148369948532.79999</v>
      </c>
      <c r="AQ116" s="10">
        <v>90549944731.25</v>
      </c>
      <c r="AR116" s="10">
        <v>145738399969.54999</v>
      </c>
      <c r="AS116" s="10">
        <v>83671044978.899994</v>
      </c>
      <c r="AT116" s="10">
        <v>49849912512</v>
      </c>
      <c r="AU116" s="14">
        <v>45900</v>
      </c>
      <c r="AV116" s="14">
        <v>45657</v>
      </c>
      <c r="AW116" s="14">
        <v>45291</v>
      </c>
      <c r="AX116" s="14">
        <v>44926</v>
      </c>
      <c r="AY116" s="14">
        <v>44561</v>
      </c>
      <c r="AZ116" s="14">
        <v>44196</v>
      </c>
      <c r="BA116" s="14">
        <v>43830</v>
      </c>
      <c r="BB116" s="14">
        <v>43465</v>
      </c>
      <c r="BC116" s="14">
        <v>43100</v>
      </c>
      <c r="BD116" s="14">
        <v>42735</v>
      </c>
      <c r="BE116" s="14">
        <v>42369</v>
      </c>
      <c r="BF116" s="8" t="s">
        <v>35</v>
      </c>
      <c r="BG116" s="8" t="s">
        <v>35</v>
      </c>
      <c r="BH116" s="8" t="s">
        <v>35</v>
      </c>
      <c r="BI116" s="8" t="s">
        <v>35</v>
      </c>
      <c r="BJ116" s="8" t="s">
        <v>35</v>
      </c>
      <c r="BK116" s="8" t="s">
        <v>35</v>
      </c>
      <c r="BL116" s="8" t="s">
        <v>35</v>
      </c>
      <c r="BM116" s="8" t="s">
        <v>35</v>
      </c>
      <c r="BN116" s="8" t="s">
        <v>35</v>
      </c>
      <c r="BO116" s="8" t="s">
        <v>35</v>
      </c>
      <c r="BP116" s="8" t="s">
        <v>35</v>
      </c>
      <c r="BQ116" s="8" t="s">
        <v>31</v>
      </c>
      <c r="BR116" s="8" t="s">
        <v>49</v>
      </c>
      <c r="BS116" s="10">
        <v>1498475432632940</v>
      </c>
      <c r="BT116" s="8" t="s">
        <v>41</v>
      </c>
      <c r="BU116" s="8" t="s">
        <v>27</v>
      </c>
      <c r="BV116" s="8" t="s">
        <v>27</v>
      </c>
      <c r="BW116" s="8" t="s">
        <v>27</v>
      </c>
      <c r="BX116" s="8" t="s">
        <v>27</v>
      </c>
      <c r="BY116" s="8" t="s">
        <v>27</v>
      </c>
      <c r="BZ116" s="8" t="s">
        <v>42</v>
      </c>
      <c r="CA116" s="8" t="s">
        <v>27</v>
      </c>
      <c r="CB116" s="8" t="s">
        <v>27</v>
      </c>
      <c r="CC116" s="8" t="s">
        <v>27</v>
      </c>
      <c r="CD116" s="8" t="s">
        <v>27</v>
      </c>
      <c r="CE116" s="8" t="s">
        <v>42</v>
      </c>
      <c r="CF116" s="8" t="s">
        <v>221</v>
      </c>
      <c r="CG116" s="8" t="s">
        <v>55</v>
      </c>
    </row>
    <row r="117" spans="1:85" ht="15.75" customHeight="1" x14ac:dyDescent="0.35">
      <c r="A117" s="8">
        <v>110</v>
      </c>
      <c r="B117" s="8" t="s">
        <v>222</v>
      </c>
      <c r="C117" s="9">
        <v>1.73E-4</v>
      </c>
      <c r="D117" s="8"/>
      <c r="E117" s="8"/>
      <c r="F117" s="8"/>
      <c r="G117" s="9">
        <v>0</v>
      </c>
      <c r="H117" s="9">
        <v>0</v>
      </c>
      <c r="I117" s="8"/>
      <c r="J117" s="8"/>
      <c r="K117" s="8"/>
      <c r="L117" s="8"/>
      <c r="M117" s="8"/>
      <c r="N117" s="10">
        <v>15955300</v>
      </c>
      <c r="O117" s="8"/>
      <c r="P117" s="8"/>
      <c r="Q117" s="8"/>
      <c r="R117" s="10">
        <v>0</v>
      </c>
      <c r="S117" s="10">
        <v>0</v>
      </c>
      <c r="T117" s="8"/>
      <c r="U117" s="8"/>
      <c r="V117" s="8"/>
      <c r="W117" s="8"/>
      <c r="X117" s="8"/>
      <c r="Y117" s="13">
        <v>15955300</v>
      </c>
      <c r="Z117" s="8"/>
      <c r="AA117" s="8"/>
      <c r="AB117" s="8"/>
      <c r="AC117" s="11">
        <v>0</v>
      </c>
      <c r="AD117" s="11">
        <v>0</v>
      </c>
      <c r="AE117" s="8"/>
      <c r="AF117" s="8"/>
      <c r="AG117" s="8"/>
      <c r="AH117" s="8"/>
      <c r="AI117" s="8"/>
      <c r="AJ117" s="10">
        <v>70182257030.199997</v>
      </c>
      <c r="AK117" s="8"/>
      <c r="AL117" s="8"/>
      <c r="AM117" s="8"/>
      <c r="AN117" s="10">
        <v>0</v>
      </c>
      <c r="AO117" s="10">
        <v>0</v>
      </c>
      <c r="AP117" s="8"/>
      <c r="AQ117" s="8"/>
      <c r="AR117" s="8"/>
      <c r="AS117" s="8"/>
      <c r="AT117" s="8"/>
      <c r="AU117" s="14">
        <v>45930</v>
      </c>
      <c r="AV117" s="8"/>
      <c r="AW117" s="8"/>
      <c r="AX117" s="8"/>
      <c r="AY117" s="14">
        <v>43982</v>
      </c>
      <c r="AZ117" s="14">
        <v>43982</v>
      </c>
      <c r="BA117" s="8"/>
      <c r="BB117" s="8"/>
      <c r="BC117" s="8"/>
      <c r="BD117" s="8"/>
      <c r="BE117" s="8"/>
      <c r="BF117" s="8" t="s">
        <v>35</v>
      </c>
      <c r="BG117" s="8"/>
      <c r="BH117" s="8"/>
      <c r="BI117" s="8"/>
      <c r="BJ117" s="8" t="s">
        <v>35</v>
      </c>
      <c r="BK117" s="8" t="s">
        <v>35</v>
      </c>
      <c r="BL117" s="8"/>
      <c r="BM117" s="8"/>
      <c r="BN117" s="8"/>
      <c r="BO117" s="8"/>
      <c r="BP117" s="8"/>
      <c r="BQ117" s="8" t="s">
        <v>31</v>
      </c>
      <c r="BR117" s="8" t="s">
        <v>49</v>
      </c>
      <c r="BS117" s="10">
        <v>6906782877994.7998</v>
      </c>
      <c r="BT117" s="8" t="s">
        <v>41</v>
      </c>
      <c r="BU117" s="8" t="s">
        <v>27</v>
      </c>
      <c r="BV117" s="8"/>
      <c r="BW117" s="8"/>
      <c r="BX117" s="8"/>
      <c r="BY117" s="8" t="s">
        <v>27</v>
      </c>
      <c r="BZ117" s="8" t="s">
        <v>27</v>
      </c>
      <c r="CA117" s="8"/>
      <c r="CB117" s="8"/>
      <c r="CC117" s="8"/>
      <c r="CD117" s="8"/>
      <c r="CE117" s="8"/>
      <c r="CF117" s="8" t="s">
        <v>50</v>
      </c>
      <c r="CG117" s="8" t="s">
        <v>51</v>
      </c>
    </row>
    <row r="118" spans="1:85" ht="15.75" hidden="1" customHeight="1" x14ac:dyDescent="0.35">
      <c r="A118" s="8">
        <v>111</v>
      </c>
      <c r="B118" s="8" t="s">
        <v>223</v>
      </c>
      <c r="C118" s="9">
        <v>1.6699999999999999E-4</v>
      </c>
      <c r="D118" s="9">
        <v>1.2300000000000001E-4</v>
      </c>
      <c r="E118" s="9">
        <v>7.2999999999999999E-5</v>
      </c>
      <c r="F118" s="9">
        <v>4.5000000000000003E-5</v>
      </c>
      <c r="G118" s="9">
        <v>3.4999999999999997E-5</v>
      </c>
      <c r="H118" s="9">
        <v>2.6999999999999999E-5</v>
      </c>
      <c r="I118" s="9">
        <v>9.0000000000000002E-6</v>
      </c>
      <c r="J118" s="9">
        <v>1.9999999999999999E-6</v>
      </c>
      <c r="K118" s="8"/>
      <c r="L118" s="8"/>
      <c r="M118" s="8"/>
      <c r="N118" s="10">
        <v>15445000</v>
      </c>
      <c r="O118" s="10">
        <v>11347300</v>
      </c>
      <c r="P118" s="10">
        <v>6755100</v>
      </c>
      <c r="Q118" s="10">
        <v>4121400</v>
      </c>
      <c r="R118" s="10">
        <v>3270400</v>
      </c>
      <c r="S118" s="10">
        <v>2500200</v>
      </c>
      <c r="T118" s="10">
        <v>830200</v>
      </c>
      <c r="U118" s="10">
        <v>140000</v>
      </c>
      <c r="V118" s="8"/>
      <c r="W118" s="8"/>
      <c r="X118" s="8"/>
      <c r="Y118" s="13">
        <v>4097700</v>
      </c>
      <c r="Z118" s="13">
        <v>4592200</v>
      </c>
      <c r="AA118" s="13">
        <v>2633700</v>
      </c>
      <c r="AB118" s="13">
        <v>851000</v>
      </c>
      <c r="AC118" s="13">
        <v>770200</v>
      </c>
      <c r="AD118" s="13">
        <v>1670000</v>
      </c>
      <c r="AE118" s="13">
        <v>690200</v>
      </c>
      <c r="AF118" s="13">
        <v>140000</v>
      </c>
      <c r="AG118" s="8"/>
      <c r="AH118" s="8"/>
      <c r="AI118" s="8"/>
      <c r="AJ118" s="10">
        <v>71608636359</v>
      </c>
      <c r="AK118" s="10">
        <v>64519214089.800003</v>
      </c>
      <c r="AL118" s="10">
        <v>40868354916.099998</v>
      </c>
      <c r="AM118" s="10">
        <v>20452447511.650002</v>
      </c>
      <c r="AN118" s="10">
        <v>11475200812.5</v>
      </c>
      <c r="AO118" s="10">
        <v>7906882510.8000002</v>
      </c>
      <c r="AP118" s="10">
        <v>3176737669.1999998</v>
      </c>
      <c r="AQ118" s="10">
        <v>509865581.25</v>
      </c>
      <c r="AR118" s="8"/>
      <c r="AS118" s="8"/>
      <c r="AT118" s="8"/>
      <c r="AU118" s="14">
        <v>45698</v>
      </c>
      <c r="AV118" s="14">
        <v>45657</v>
      </c>
      <c r="AW118" s="14">
        <v>45291</v>
      </c>
      <c r="AX118" s="14">
        <v>44926</v>
      </c>
      <c r="AY118" s="14">
        <v>44561</v>
      </c>
      <c r="AZ118" s="14">
        <v>44196</v>
      </c>
      <c r="BA118" s="14">
        <v>43830</v>
      </c>
      <c r="BB118" s="14">
        <v>43465</v>
      </c>
      <c r="BC118" s="8"/>
      <c r="BD118" s="8"/>
      <c r="BE118" s="8"/>
      <c r="BF118" s="8" t="s">
        <v>201</v>
      </c>
      <c r="BG118" s="8" t="s">
        <v>201</v>
      </c>
      <c r="BH118" s="8" t="s">
        <v>201</v>
      </c>
      <c r="BI118" s="8" t="s">
        <v>201</v>
      </c>
      <c r="BJ118" s="8" t="s">
        <v>201</v>
      </c>
      <c r="BK118" s="8" t="s">
        <v>201</v>
      </c>
      <c r="BL118" s="8" t="s">
        <v>201</v>
      </c>
      <c r="BM118" s="8" t="s">
        <v>201</v>
      </c>
      <c r="BN118" s="8"/>
      <c r="BO118" s="8"/>
      <c r="BP118" s="8"/>
      <c r="BQ118" s="8" t="s">
        <v>25</v>
      </c>
      <c r="BR118" s="8" t="s">
        <v>202</v>
      </c>
      <c r="BS118" s="10">
        <v>72062265729.600006</v>
      </c>
      <c r="BT118" s="8"/>
      <c r="BU118" s="8" t="s">
        <v>42</v>
      </c>
      <c r="BV118" s="8" t="s">
        <v>27</v>
      </c>
      <c r="BW118" s="8" t="s">
        <v>27</v>
      </c>
      <c r="BX118" s="8" t="s">
        <v>27</v>
      </c>
      <c r="BY118" s="8" t="s">
        <v>27</v>
      </c>
      <c r="BZ118" s="8" t="s">
        <v>27</v>
      </c>
      <c r="CA118" s="8" t="s">
        <v>42</v>
      </c>
      <c r="CB118" s="8" t="s">
        <v>27</v>
      </c>
      <c r="CC118" s="8"/>
      <c r="CD118" s="8"/>
      <c r="CE118" s="8"/>
      <c r="CF118" s="8"/>
      <c r="CG118" s="8" t="s">
        <v>132</v>
      </c>
    </row>
    <row r="119" spans="1:85" ht="15.75" customHeight="1" x14ac:dyDescent="0.35">
      <c r="A119" s="8">
        <v>112</v>
      </c>
      <c r="B119" s="8" t="s">
        <v>224</v>
      </c>
      <c r="C119" s="9">
        <v>1.66E-4</v>
      </c>
      <c r="D119" s="9">
        <v>1.66E-4</v>
      </c>
      <c r="E119" s="8"/>
      <c r="F119" s="8"/>
      <c r="G119" s="9">
        <v>0</v>
      </c>
      <c r="H119" s="9">
        <v>0</v>
      </c>
      <c r="I119" s="9">
        <v>1.9550000000000001E-3</v>
      </c>
      <c r="J119" s="9">
        <v>1.6299999999999999E-3</v>
      </c>
      <c r="K119" s="9">
        <v>1.3990000000000001E-3</v>
      </c>
      <c r="L119" s="9">
        <v>7.4899999999999999E-4</v>
      </c>
      <c r="M119" s="9">
        <v>6.5600000000000001E-4</v>
      </c>
      <c r="N119" s="10">
        <v>15319000</v>
      </c>
      <c r="O119" s="10">
        <v>15319000</v>
      </c>
      <c r="P119" s="8"/>
      <c r="Q119" s="8"/>
      <c r="R119" s="10">
        <v>0</v>
      </c>
      <c r="S119" s="10">
        <v>0</v>
      </c>
      <c r="T119" s="10">
        <v>180598000</v>
      </c>
      <c r="U119" s="10">
        <v>150570000</v>
      </c>
      <c r="V119" s="10">
        <v>129272000</v>
      </c>
      <c r="W119" s="10">
        <v>69164000</v>
      </c>
      <c r="X119" s="10">
        <v>60632000</v>
      </c>
      <c r="Y119" s="11">
        <v>0</v>
      </c>
      <c r="Z119" s="13">
        <v>15319000</v>
      </c>
      <c r="AA119" s="8"/>
      <c r="AB119" s="8"/>
      <c r="AC119" s="11">
        <v>0</v>
      </c>
      <c r="AD119" s="12">
        <v>-180598000</v>
      </c>
      <c r="AE119" s="13">
        <v>30028000</v>
      </c>
      <c r="AF119" s="13">
        <v>21298000</v>
      </c>
      <c r="AG119" s="13">
        <v>60108000</v>
      </c>
      <c r="AH119" s="13">
        <v>8532000</v>
      </c>
      <c r="AI119" s="11">
        <v>0</v>
      </c>
      <c r="AJ119" s="10">
        <v>111062749926</v>
      </c>
      <c r="AK119" s="10">
        <v>111062749926</v>
      </c>
      <c r="AL119" s="8"/>
      <c r="AM119" s="8"/>
      <c r="AN119" s="10">
        <v>0</v>
      </c>
      <c r="AO119" s="10">
        <v>0</v>
      </c>
      <c r="AP119" s="10">
        <v>672727550513.84998</v>
      </c>
      <c r="AQ119" s="10">
        <v>577812375196.80005</v>
      </c>
      <c r="AR119" s="10">
        <v>378120600050.13</v>
      </c>
      <c r="AS119" s="10">
        <v>178097299961.89999</v>
      </c>
      <c r="AT119" s="10">
        <v>189096050037.60001</v>
      </c>
      <c r="AU119" s="14">
        <v>45382</v>
      </c>
      <c r="AV119" s="14">
        <v>45382</v>
      </c>
      <c r="AW119" s="8"/>
      <c r="AX119" s="8"/>
      <c r="AY119" s="14">
        <v>43921</v>
      </c>
      <c r="AZ119" s="14">
        <v>43921</v>
      </c>
      <c r="BA119" s="14">
        <v>43555</v>
      </c>
      <c r="BB119" s="14">
        <v>43190</v>
      </c>
      <c r="BC119" s="14">
        <v>42825</v>
      </c>
      <c r="BD119" s="14">
        <v>42460</v>
      </c>
      <c r="BE119" s="14">
        <v>42094</v>
      </c>
      <c r="BF119" s="8" t="s">
        <v>35</v>
      </c>
      <c r="BG119" s="8" t="s">
        <v>35</v>
      </c>
      <c r="BH119" s="8"/>
      <c r="BI119" s="8"/>
      <c r="BJ119" s="8" t="s">
        <v>35</v>
      </c>
      <c r="BK119" s="8" t="s">
        <v>35</v>
      </c>
      <c r="BL119" s="8" t="s">
        <v>35</v>
      </c>
      <c r="BM119" s="8" t="s">
        <v>35</v>
      </c>
      <c r="BN119" s="8" t="s">
        <v>35</v>
      </c>
      <c r="BO119" s="8" t="s">
        <v>35</v>
      </c>
      <c r="BP119" s="8" t="s">
        <v>35</v>
      </c>
      <c r="BQ119" s="8" t="s">
        <v>31</v>
      </c>
      <c r="BR119" s="8" t="s">
        <v>53</v>
      </c>
      <c r="BS119" s="10">
        <v>3031799263194570</v>
      </c>
      <c r="BT119" s="8" t="s">
        <v>61</v>
      </c>
      <c r="BU119" s="8" t="s">
        <v>27</v>
      </c>
      <c r="BV119" s="8" t="s">
        <v>27</v>
      </c>
      <c r="BW119" s="8"/>
      <c r="BX119" s="8"/>
      <c r="BY119" s="8" t="s">
        <v>27</v>
      </c>
      <c r="BZ119" s="8" t="s">
        <v>42</v>
      </c>
      <c r="CA119" s="8" t="s">
        <v>27</v>
      </c>
      <c r="CB119" s="8" t="s">
        <v>27</v>
      </c>
      <c r="CC119" s="8" t="s">
        <v>27</v>
      </c>
      <c r="CD119" s="8" t="s">
        <v>42</v>
      </c>
      <c r="CE119" s="8" t="s">
        <v>42</v>
      </c>
      <c r="CF119" s="8" t="s">
        <v>114</v>
      </c>
      <c r="CG119" s="8" t="s">
        <v>115</v>
      </c>
    </row>
    <row r="120" spans="1:85" ht="15.75" hidden="1" customHeight="1" x14ac:dyDescent="0.35">
      <c r="A120" s="8">
        <v>113</v>
      </c>
      <c r="B120" s="8" t="s">
        <v>225</v>
      </c>
      <c r="C120" s="9">
        <v>1.6200000000000001E-4</v>
      </c>
      <c r="D120" s="9">
        <v>1.21E-4</v>
      </c>
      <c r="E120" s="9">
        <v>7.2999999999999999E-5</v>
      </c>
      <c r="F120" s="9">
        <v>4.8000000000000001E-5</v>
      </c>
      <c r="G120" s="9">
        <v>3.4E-5</v>
      </c>
      <c r="H120" s="9">
        <v>2.9E-5</v>
      </c>
      <c r="I120" s="9">
        <v>1.1E-5</v>
      </c>
      <c r="J120" s="9">
        <v>1.9999999999999999E-6</v>
      </c>
      <c r="K120" s="8"/>
      <c r="L120" s="8"/>
      <c r="M120" s="8"/>
      <c r="N120" s="10">
        <v>15013800</v>
      </c>
      <c r="O120" s="10">
        <v>11134200</v>
      </c>
      <c r="P120" s="10">
        <v>6762300</v>
      </c>
      <c r="Q120" s="10">
        <v>4412200</v>
      </c>
      <c r="R120" s="10">
        <v>3128600</v>
      </c>
      <c r="S120" s="10">
        <v>2639000</v>
      </c>
      <c r="T120" s="10">
        <v>1059000</v>
      </c>
      <c r="U120" s="10">
        <v>175200</v>
      </c>
      <c r="V120" s="8"/>
      <c r="W120" s="8"/>
      <c r="X120" s="8"/>
      <c r="Y120" s="13">
        <v>3879600</v>
      </c>
      <c r="Z120" s="13">
        <v>4371900</v>
      </c>
      <c r="AA120" s="13">
        <v>2350100</v>
      </c>
      <c r="AB120" s="13">
        <v>1283600</v>
      </c>
      <c r="AC120" s="13">
        <v>489600</v>
      </c>
      <c r="AD120" s="13">
        <v>1580000</v>
      </c>
      <c r="AE120" s="13">
        <v>883800</v>
      </c>
      <c r="AF120" s="13">
        <v>175200</v>
      </c>
      <c r="AG120" s="8"/>
      <c r="AH120" s="8"/>
      <c r="AI120" s="8"/>
      <c r="AJ120" s="10">
        <v>73407555592.5</v>
      </c>
      <c r="AK120" s="10">
        <v>63307556318</v>
      </c>
      <c r="AL120" s="10">
        <v>40911914914.650002</v>
      </c>
      <c r="AM120" s="10">
        <v>21895542478.150002</v>
      </c>
      <c r="AN120" s="10">
        <v>10977652087.5</v>
      </c>
      <c r="AO120" s="10">
        <v>8345837494.8000002</v>
      </c>
      <c r="AP120" s="10">
        <v>4052234631.1999998</v>
      </c>
      <c r="AQ120" s="10">
        <v>638060393.75</v>
      </c>
      <c r="AR120" s="8"/>
      <c r="AS120" s="8"/>
      <c r="AT120" s="8"/>
      <c r="AU120" s="14">
        <v>45838</v>
      </c>
      <c r="AV120" s="14">
        <v>45657</v>
      </c>
      <c r="AW120" s="14">
        <v>45291</v>
      </c>
      <c r="AX120" s="14">
        <v>44926</v>
      </c>
      <c r="AY120" s="14">
        <v>44561</v>
      </c>
      <c r="AZ120" s="14">
        <v>44196</v>
      </c>
      <c r="BA120" s="14">
        <v>43830</v>
      </c>
      <c r="BB120" s="14">
        <v>43465</v>
      </c>
      <c r="BC120" s="8"/>
      <c r="BD120" s="8"/>
      <c r="BE120" s="8"/>
      <c r="BF120" s="8" t="s">
        <v>201</v>
      </c>
      <c r="BG120" s="8" t="s">
        <v>201</v>
      </c>
      <c r="BH120" s="8" t="s">
        <v>201</v>
      </c>
      <c r="BI120" s="8" t="s">
        <v>201</v>
      </c>
      <c r="BJ120" s="8" t="s">
        <v>201</v>
      </c>
      <c r="BK120" s="8" t="s">
        <v>201</v>
      </c>
      <c r="BL120" s="8" t="s">
        <v>201</v>
      </c>
      <c r="BM120" s="8" t="s">
        <v>201</v>
      </c>
      <c r="BN120" s="8"/>
      <c r="BO120" s="8"/>
      <c r="BP120" s="8"/>
      <c r="BQ120" s="8" t="s">
        <v>25</v>
      </c>
      <c r="BR120" s="8" t="s">
        <v>202</v>
      </c>
      <c r="BS120" s="10">
        <v>75442885230</v>
      </c>
      <c r="BT120" s="8"/>
      <c r="BU120" s="8" t="s">
        <v>27</v>
      </c>
      <c r="BV120" s="8" t="s">
        <v>27</v>
      </c>
      <c r="BW120" s="8" t="s">
        <v>27</v>
      </c>
      <c r="BX120" s="8" t="s">
        <v>27</v>
      </c>
      <c r="BY120" s="8" t="s">
        <v>27</v>
      </c>
      <c r="BZ120" s="8" t="s">
        <v>27</v>
      </c>
      <c r="CA120" s="8" t="s">
        <v>42</v>
      </c>
      <c r="CB120" s="8" t="s">
        <v>27</v>
      </c>
      <c r="CC120" s="8"/>
      <c r="CD120" s="8"/>
      <c r="CE120" s="8"/>
      <c r="CF120" s="8"/>
      <c r="CG120" s="8" t="s">
        <v>29</v>
      </c>
    </row>
    <row r="121" spans="1:85" ht="15.75" hidden="1" customHeight="1" x14ac:dyDescent="0.35">
      <c r="A121" s="8">
        <v>114</v>
      </c>
      <c r="B121" s="8" t="s">
        <v>226</v>
      </c>
      <c r="C121" s="9">
        <v>1.6000000000000001E-4</v>
      </c>
      <c r="D121" s="9">
        <v>1.1900000000000001E-4</v>
      </c>
      <c r="E121" s="9">
        <v>8.0000000000000007E-5</v>
      </c>
      <c r="F121" s="9">
        <v>5.8E-5</v>
      </c>
      <c r="G121" s="9">
        <v>4.6E-5</v>
      </c>
      <c r="H121" s="9">
        <v>3.3000000000000003E-5</v>
      </c>
      <c r="I121" s="9">
        <v>1.5999999999999999E-5</v>
      </c>
      <c r="J121" s="9">
        <v>9.0000000000000002E-6</v>
      </c>
      <c r="K121" s="8"/>
      <c r="L121" s="8"/>
      <c r="M121" s="8"/>
      <c r="N121" s="10">
        <v>14829800</v>
      </c>
      <c r="O121" s="10">
        <v>11028200</v>
      </c>
      <c r="P121" s="10">
        <v>7425200</v>
      </c>
      <c r="Q121" s="10">
        <v>5400000</v>
      </c>
      <c r="R121" s="10">
        <v>4243400</v>
      </c>
      <c r="S121" s="10">
        <v>3087200</v>
      </c>
      <c r="T121" s="10">
        <v>1507200</v>
      </c>
      <c r="U121" s="10">
        <v>817000</v>
      </c>
      <c r="V121" s="8"/>
      <c r="W121" s="8"/>
      <c r="X121" s="8"/>
      <c r="Y121" s="13">
        <v>3801600</v>
      </c>
      <c r="Z121" s="13">
        <v>3603000</v>
      </c>
      <c r="AA121" s="13">
        <v>2025200</v>
      </c>
      <c r="AB121" s="13">
        <v>1156600</v>
      </c>
      <c r="AC121" s="13">
        <v>1156200</v>
      </c>
      <c r="AD121" s="13">
        <v>1580000</v>
      </c>
      <c r="AE121" s="13">
        <v>690200</v>
      </c>
      <c r="AF121" s="13">
        <v>817000</v>
      </c>
      <c r="AG121" s="8"/>
      <c r="AH121" s="8"/>
      <c r="AI121" s="8"/>
      <c r="AJ121" s="10">
        <v>68756345550.75</v>
      </c>
      <c r="AK121" s="10">
        <v>62704854684.5</v>
      </c>
      <c r="AL121" s="10">
        <v>44922459898.75</v>
      </c>
      <c r="AM121" s="10">
        <v>26797499994.099998</v>
      </c>
      <c r="AN121" s="10">
        <v>14889269535</v>
      </c>
      <c r="AO121" s="10">
        <v>9763269984</v>
      </c>
      <c r="AP121" s="10">
        <v>5767259645.6000004</v>
      </c>
      <c r="AQ121" s="10">
        <v>2975429931.25</v>
      </c>
      <c r="AR121" s="8"/>
      <c r="AS121" s="8"/>
      <c r="AT121" s="8"/>
      <c r="AU121" s="14">
        <v>45699</v>
      </c>
      <c r="AV121" s="14">
        <v>45657</v>
      </c>
      <c r="AW121" s="14">
        <v>45291</v>
      </c>
      <c r="AX121" s="14">
        <v>44926</v>
      </c>
      <c r="AY121" s="14">
        <v>44561</v>
      </c>
      <c r="AZ121" s="14">
        <v>44196</v>
      </c>
      <c r="BA121" s="14">
        <v>43830</v>
      </c>
      <c r="BB121" s="14">
        <v>43465</v>
      </c>
      <c r="BC121" s="8"/>
      <c r="BD121" s="8"/>
      <c r="BE121" s="8"/>
      <c r="BF121" s="8" t="s">
        <v>201</v>
      </c>
      <c r="BG121" s="8" t="s">
        <v>201</v>
      </c>
      <c r="BH121" s="8" t="s">
        <v>201</v>
      </c>
      <c r="BI121" s="8" t="s">
        <v>201</v>
      </c>
      <c r="BJ121" s="8" t="s">
        <v>201</v>
      </c>
      <c r="BK121" s="8" t="s">
        <v>201</v>
      </c>
      <c r="BL121" s="8" t="s">
        <v>201</v>
      </c>
      <c r="BM121" s="8" t="s">
        <v>201</v>
      </c>
      <c r="BN121" s="8"/>
      <c r="BO121" s="8"/>
      <c r="BP121" s="8"/>
      <c r="BQ121" s="8" t="s">
        <v>25</v>
      </c>
      <c r="BR121" s="8" t="s">
        <v>202</v>
      </c>
      <c r="BS121" s="10">
        <v>69191906110.800003</v>
      </c>
      <c r="BT121" s="8"/>
      <c r="BU121" s="8" t="s">
        <v>27</v>
      </c>
      <c r="BV121" s="8" t="s">
        <v>27</v>
      </c>
      <c r="BW121" s="8" t="s">
        <v>27</v>
      </c>
      <c r="BX121" s="8" t="s">
        <v>27</v>
      </c>
      <c r="BY121" s="8" t="s">
        <v>27</v>
      </c>
      <c r="BZ121" s="8" t="s">
        <v>27</v>
      </c>
      <c r="CA121" s="8" t="s">
        <v>27</v>
      </c>
      <c r="CB121" s="8" t="s">
        <v>27</v>
      </c>
      <c r="CC121" s="8"/>
      <c r="CD121" s="8"/>
      <c r="CE121" s="8"/>
      <c r="CF121" s="8"/>
      <c r="CG121" s="8" t="s">
        <v>29</v>
      </c>
    </row>
    <row r="122" spans="1:85" ht="15.75" customHeight="1" x14ac:dyDescent="0.35">
      <c r="A122" s="8">
        <v>115</v>
      </c>
      <c r="B122" s="8" t="s">
        <v>227</v>
      </c>
      <c r="C122" s="9">
        <v>1.5799999999999999E-4</v>
      </c>
      <c r="D122" s="9">
        <v>9.3999999999999994E-5</v>
      </c>
      <c r="E122" s="9">
        <v>1.3100000000000001E-4</v>
      </c>
      <c r="F122" s="9">
        <v>2.4800000000000001E-4</v>
      </c>
      <c r="G122" s="9">
        <v>1.4899999999999999E-4</v>
      </c>
      <c r="H122" s="9">
        <v>1.36E-4</v>
      </c>
      <c r="I122" s="9">
        <v>1.56E-4</v>
      </c>
      <c r="J122" s="9">
        <v>1.1900000000000001E-4</v>
      </c>
      <c r="K122" s="9">
        <v>1.47E-4</v>
      </c>
      <c r="L122" s="9">
        <v>6.7999999999999999E-5</v>
      </c>
      <c r="M122" s="9">
        <v>3.6000000000000001E-5</v>
      </c>
      <c r="N122" s="10">
        <v>14596207</v>
      </c>
      <c r="O122" s="10">
        <v>8656271</v>
      </c>
      <c r="P122" s="10">
        <v>12093290</v>
      </c>
      <c r="Q122" s="10">
        <v>22898642</v>
      </c>
      <c r="R122" s="10">
        <v>13786682</v>
      </c>
      <c r="S122" s="10">
        <v>12530450</v>
      </c>
      <c r="T122" s="10">
        <v>14459756</v>
      </c>
      <c r="U122" s="10">
        <v>10957024</v>
      </c>
      <c r="V122" s="10">
        <v>13569384</v>
      </c>
      <c r="W122" s="10">
        <v>6258224</v>
      </c>
      <c r="X122" s="10">
        <v>3363160</v>
      </c>
      <c r="Y122" s="13">
        <v>5939936</v>
      </c>
      <c r="Z122" s="12">
        <v>-3437019</v>
      </c>
      <c r="AA122" s="12">
        <v>-10805352</v>
      </c>
      <c r="AB122" s="13">
        <v>9111960</v>
      </c>
      <c r="AC122" s="13">
        <v>1256232</v>
      </c>
      <c r="AD122" s="12">
        <v>-1929306</v>
      </c>
      <c r="AE122" s="13">
        <v>3502732</v>
      </c>
      <c r="AF122" s="12">
        <v>-2612360</v>
      </c>
      <c r="AG122" s="13">
        <v>7311160</v>
      </c>
      <c r="AH122" s="13">
        <v>2895064</v>
      </c>
      <c r="AI122" s="12">
        <v>-4770184</v>
      </c>
      <c r="AJ122" s="10">
        <v>64204041939.800003</v>
      </c>
      <c r="AK122" s="10">
        <v>49218386916.699997</v>
      </c>
      <c r="AL122" s="10">
        <v>73164404506.149994</v>
      </c>
      <c r="AM122" s="10">
        <v>113634510941.05</v>
      </c>
      <c r="AN122" s="10">
        <v>48374799757.5</v>
      </c>
      <c r="AO122" s="10">
        <v>39627548017.199997</v>
      </c>
      <c r="AP122" s="10">
        <v>55329861627.599998</v>
      </c>
      <c r="AQ122" s="10">
        <v>39904354131.25</v>
      </c>
      <c r="AR122" s="10">
        <v>54277536018.099998</v>
      </c>
      <c r="AS122" s="10">
        <v>18109735707.900002</v>
      </c>
      <c r="AT122" s="10">
        <v>7780129521.4499998</v>
      </c>
      <c r="AU122" s="14">
        <v>45930</v>
      </c>
      <c r="AV122" s="14">
        <v>45657</v>
      </c>
      <c r="AW122" s="14">
        <v>45291</v>
      </c>
      <c r="AX122" s="14">
        <v>44926</v>
      </c>
      <c r="AY122" s="14">
        <v>44561</v>
      </c>
      <c r="AZ122" s="14">
        <v>44196</v>
      </c>
      <c r="BA122" s="14">
        <v>43830</v>
      </c>
      <c r="BB122" s="14">
        <v>43465</v>
      </c>
      <c r="BC122" s="14">
        <v>43100</v>
      </c>
      <c r="BD122" s="14">
        <v>42735</v>
      </c>
      <c r="BE122" s="14">
        <v>42369</v>
      </c>
      <c r="BF122" s="8" t="s">
        <v>35</v>
      </c>
      <c r="BG122" s="8" t="s">
        <v>35</v>
      </c>
      <c r="BH122" s="8" t="s">
        <v>35</v>
      </c>
      <c r="BI122" s="8" t="s">
        <v>35</v>
      </c>
      <c r="BJ122" s="8" t="s">
        <v>35</v>
      </c>
      <c r="BK122" s="8" t="s">
        <v>35</v>
      </c>
      <c r="BL122" s="8" t="s">
        <v>35</v>
      </c>
      <c r="BM122" s="8" t="s">
        <v>35</v>
      </c>
      <c r="BN122" s="8" t="s">
        <v>35</v>
      </c>
      <c r="BO122" s="8" t="s">
        <v>35</v>
      </c>
      <c r="BP122" s="8" t="s">
        <v>35</v>
      </c>
      <c r="BQ122" s="8" t="s">
        <v>31</v>
      </c>
      <c r="BR122" s="8" t="s">
        <v>36</v>
      </c>
      <c r="BS122" s="10">
        <v>5512887371145010</v>
      </c>
      <c r="BT122" s="8" t="s">
        <v>46</v>
      </c>
      <c r="BU122" s="8" t="s">
        <v>27</v>
      </c>
      <c r="BV122" s="8" t="s">
        <v>27</v>
      </c>
      <c r="BW122" s="8" t="s">
        <v>27</v>
      </c>
      <c r="BX122" s="8" t="s">
        <v>27</v>
      </c>
      <c r="BY122" s="8" t="s">
        <v>27</v>
      </c>
      <c r="BZ122" s="8" t="s">
        <v>42</v>
      </c>
      <c r="CA122" s="8" t="s">
        <v>42</v>
      </c>
      <c r="CB122" s="8" t="s">
        <v>27</v>
      </c>
      <c r="CC122" s="8" t="s">
        <v>27</v>
      </c>
      <c r="CD122" s="8" t="s">
        <v>27</v>
      </c>
      <c r="CE122" s="8" t="s">
        <v>27</v>
      </c>
      <c r="CF122" s="8" t="s">
        <v>80</v>
      </c>
      <c r="CG122" s="8" t="s">
        <v>39</v>
      </c>
    </row>
    <row r="123" spans="1:85" ht="15.75" hidden="1" customHeight="1" x14ac:dyDescent="0.35">
      <c r="A123" s="8">
        <v>116</v>
      </c>
      <c r="B123" s="8" t="s">
        <v>228</v>
      </c>
      <c r="C123" s="9">
        <v>1.5699999999999999E-4</v>
      </c>
      <c r="D123" s="9">
        <v>1.22E-4</v>
      </c>
      <c r="E123" s="9">
        <v>7.6000000000000004E-5</v>
      </c>
      <c r="F123" s="9">
        <v>4.3000000000000002E-5</v>
      </c>
      <c r="G123" s="9">
        <v>3.0000000000000001E-5</v>
      </c>
      <c r="H123" s="9">
        <v>2.0000000000000002E-5</v>
      </c>
      <c r="I123" s="9">
        <v>3.0000000000000001E-6</v>
      </c>
      <c r="J123" s="8"/>
      <c r="K123" s="8"/>
      <c r="L123" s="8"/>
      <c r="M123" s="8"/>
      <c r="N123" s="10">
        <v>14547800</v>
      </c>
      <c r="O123" s="10">
        <v>11250000</v>
      </c>
      <c r="P123" s="10">
        <v>7000000</v>
      </c>
      <c r="Q123" s="10">
        <v>3964000</v>
      </c>
      <c r="R123" s="10">
        <v>2803000</v>
      </c>
      <c r="S123" s="10">
        <v>1870800</v>
      </c>
      <c r="T123" s="10">
        <v>316800</v>
      </c>
      <c r="U123" s="8"/>
      <c r="V123" s="8"/>
      <c r="W123" s="8"/>
      <c r="X123" s="8"/>
      <c r="Y123" s="13">
        <v>3297800</v>
      </c>
      <c r="Z123" s="13">
        <v>4250000</v>
      </c>
      <c r="AA123" s="13">
        <v>3036000</v>
      </c>
      <c r="AB123" s="13">
        <v>1161000</v>
      </c>
      <c r="AC123" s="13">
        <v>932200</v>
      </c>
      <c r="AD123" s="13">
        <v>1554000</v>
      </c>
      <c r="AE123" s="13">
        <v>316800</v>
      </c>
      <c r="AF123" s="8"/>
      <c r="AG123" s="8"/>
      <c r="AH123" s="8"/>
      <c r="AI123" s="8"/>
      <c r="AJ123" s="10">
        <v>63991115144.599998</v>
      </c>
      <c r="AK123" s="10">
        <v>63965979552.300003</v>
      </c>
      <c r="AL123" s="10">
        <v>42350000044.25</v>
      </c>
      <c r="AM123" s="10">
        <v>19671350050.549999</v>
      </c>
      <c r="AN123" s="10">
        <v>9835184700</v>
      </c>
      <c r="AO123" s="10">
        <v>5916405034.8000002</v>
      </c>
      <c r="AP123" s="10">
        <v>1212226594.8</v>
      </c>
      <c r="AQ123" s="8"/>
      <c r="AR123" s="8"/>
      <c r="AS123" s="8"/>
      <c r="AT123" s="8"/>
      <c r="AU123" s="14">
        <v>45930</v>
      </c>
      <c r="AV123" s="14">
        <v>45657</v>
      </c>
      <c r="AW123" s="14">
        <v>45291</v>
      </c>
      <c r="AX123" s="14">
        <v>44926</v>
      </c>
      <c r="AY123" s="14">
        <v>44561</v>
      </c>
      <c r="AZ123" s="14">
        <v>44196</v>
      </c>
      <c r="BA123" s="14">
        <v>43830</v>
      </c>
      <c r="BB123" s="8"/>
      <c r="BC123" s="8"/>
      <c r="BD123" s="8"/>
      <c r="BE123" s="8"/>
      <c r="BF123" s="8" t="s">
        <v>201</v>
      </c>
      <c r="BG123" s="8" t="s">
        <v>201</v>
      </c>
      <c r="BH123" s="8" t="s">
        <v>201</v>
      </c>
      <c r="BI123" s="8" t="s">
        <v>201</v>
      </c>
      <c r="BJ123" s="8" t="s">
        <v>201</v>
      </c>
      <c r="BK123" s="8" t="s">
        <v>201</v>
      </c>
      <c r="BL123" s="8" t="s">
        <v>201</v>
      </c>
      <c r="BM123" s="8"/>
      <c r="BN123" s="8"/>
      <c r="BO123" s="8"/>
      <c r="BP123" s="8"/>
      <c r="BQ123" s="8" t="s">
        <v>25</v>
      </c>
      <c r="BR123" s="8" t="s">
        <v>202</v>
      </c>
      <c r="BS123" s="10">
        <v>73101280610.399994</v>
      </c>
      <c r="BT123" s="8"/>
      <c r="BU123" s="8" t="s">
        <v>27</v>
      </c>
      <c r="BV123" s="8" t="s">
        <v>27</v>
      </c>
      <c r="BW123" s="8" t="s">
        <v>27</v>
      </c>
      <c r="BX123" s="8" t="s">
        <v>27</v>
      </c>
      <c r="BY123" s="8" t="s">
        <v>27</v>
      </c>
      <c r="BZ123" s="8" t="s">
        <v>42</v>
      </c>
      <c r="CA123" s="8" t="s">
        <v>27</v>
      </c>
      <c r="CB123" s="8"/>
      <c r="CC123" s="8"/>
      <c r="CD123" s="8"/>
      <c r="CE123" s="8"/>
      <c r="CF123" s="8"/>
      <c r="CG123" s="8" t="s">
        <v>29</v>
      </c>
    </row>
    <row r="124" spans="1:85" ht="15.75" customHeight="1" x14ac:dyDescent="0.35">
      <c r="A124" s="8">
        <v>117</v>
      </c>
      <c r="B124" s="8" t="s">
        <v>229</v>
      </c>
      <c r="C124" s="9">
        <v>1.5300000000000001E-4</v>
      </c>
      <c r="D124" s="9">
        <v>1.5300000000000001E-4</v>
      </c>
      <c r="E124" s="9">
        <v>1.5799999999999999E-4</v>
      </c>
      <c r="F124" s="9">
        <v>0</v>
      </c>
      <c r="G124" s="9">
        <v>4.7399999999999997E-4</v>
      </c>
      <c r="H124" s="9">
        <v>9.9999999999999995E-7</v>
      </c>
      <c r="I124" s="9">
        <v>5.0900000000000001E-4</v>
      </c>
      <c r="J124" s="9">
        <v>5.9400000000000002E-4</v>
      </c>
      <c r="K124" s="9">
        <v>6.1899999999999998E-4</v>
      </c>
      <c r="L124" s="9">
        <v>3.97E-4</v>
      </c>
      <c r="M124" s="9">
        <v>3.5799999999999997E-4</v>
      </c>
      <c r="N124" s="10">
        <v>14167151</v>
      </c>
      <c r="O124" s="10">
        <v>14167151</v>
      </c>
      <c r="P124" s="10">
        <v>14583558</v>
      </c>
      <c r="Q124" s="10">
        <v>0</v>
      </c>
      <c r="R124" s="10">
        <v>43795726</v>
      </c>
      <c r="S124" s="10">
        <v>104738</v>
      </c>
      <c r="T124" s="10">
        <v>46999380</v>
      </c>
      <c r="U124" s="10">
        <v>54887016</v>
      </c>
      <c r="V124" s="10">
        <v>57164650</v>
      </c>
      <c r="W124" s="10">
        <v>36711160</v>
      </c>
      <c r="X124" s="10">
        <v>33049244</v>
      </c>
      <c r="Y124" s="11">
        <v>0</v>
      </c>
      <c r="Z124" s="12">
        <v>-416407</v>
      </c>
      <c r="AA124" s="13">
        <v>14583558</v>
      </c>
      <c r="AB124" s="12">
        <v>-43795726</v>
      </c>
      <c r="AC124" s="13">
        <v>43690988</v>
      </c>
      <c r="AD124" s="12">
        <v>-46894642</v>
      </c>
      <c r="AE124" s="12">
        <v>-7887636</v>
      </c>
      <c r="AF124" s="12">
        <v>-2277634</v>
      </c>
      <c r="AG124" s="13">
        <v>20453490</v>
      </c>
      <c r="AH124" s="13">
        <v>3661916</v>
      </c>
      <c r="AI124" s="13">
        <v>2091312</v>
      </c>
      <c r="AJ124" s="10">
        <v>100940951050.5</v>
      </c>
      <c r="AK124" s="10">
        <v>100940951050.5</v>
      </c>
      <c r="AL124" s="10">
        <v>88230525893.600006</v>
      </c>
      <c r="AM124" s="10">
        <v>0</v>
      </c>
      <c r="AN124" s="10">
        <v>153670728900</v>
      </c>
      <c r="AO124" s="10">
        <v>331233926.39999998</v>
      </c>
      <c r="AP124" s="10">
        <v>179841844731.20001</v>
      </c>
      <c r="AQ124" s="10">
        <v>199892865162.5</v>
      </c>
      <c r="AR124" s="10">
        <v>228658600065.85001</v>
      </c>
      <c r="AS124" s="10">
        <v>106232919300.60001</v>
      </c>
      <c r="AT124" s="10">
        <v>76454107704.149994</v>
      </c>
      <c r="AU124" s="14">
        <v>45535</v>
      </c>
      <c r="AV124" s="14">
        <v>45535</v>
      </c>
      <c r="AW124" s="14">
        <v>45291</v>
      </c>
      <c r="AX124" s="14">
        <v>44865</v>
      </c>
      <c r="AY124" s="14">
        <v>44561</v>
      </c>
      <c r="AZ124" s="14">
        <v>44196</v>
      </c>
      <c r="BA124" s="14">
        <v>43830</v>
      </c>
      <c r="BB124" s="14">
        <v>43465</v>
      </c>
      <c r="BC124" s="14">
        <v>43100</v>
      </c>
      <c r="BD124" s="14">
        <v>42735</v>
      </c>
      <c r="BE124" s="14">
        <v>42369</v>
      </c>
      <c r="BF124" s="8" t="s">
        <v>35</v>
      </c>
      <c r="BG124" s="8" t="s">
        <v>35</v>
      </c>
      <c r="BH124" s="8" t="s">
        <v>35</v>
      </c>
      <c r="BI124" s="8" t="s">
        <v>35</v>
      </c>
      <c r="BJ124" s="8" t="s">
        <v>35</v>
      </c>
      <c r="BK124" s="8" t="s">
        <v>35</v>
      </c>
      <c r="BL124" s="8" t="s">
        <v>35</v>
      </c>
      <c r="BM124" s="8" t="s">
        <v>35</v>
      </c>
      <c r="BN124" s="8" t="s">
        <v>35</v>
      </c>
      <c r="BO124" s="8" t="s">
        <v>35</v>
      </c>
      <c r="BP124" s="8" t="s">
        <v>35</v>
      </c>
      <c r="BQ124" s="8" t="s">
        <v>31</v>
      </c>
      <c r="BR124" s="8" t="s">
        <v>49</v>
      </c>
      <c r="BS124" s="10">
        <v>221135101628135</v>
      </c>
      <c r="BT124" s="8" t="s">
        <v>41</v>
      </c>
      <c r="BU124" s="8" t="s">
        <v>27</v>
      </c>
      <c r="BV124" s="8" t="s">
        <v>27</v>
      </c>
      <c r="BW124" s="8" t="s">
        <v>42</v>
      </c>
      <c r="BX124" s="8" t="s">
        <v>27</v>
      </c>
      <c r="BY124" s="8" t="s">
        <v>27</v>
      </c>
      <c r="BZ124" s="8" t="s">
        <v>42</v>
      </c>
      <c r="CA124" s="8" t="s">
        <v>42</v>
      </c>
      <c r="CB124" s="8" t="s">
        <v>42</v>
      </c>
      <c r="CC124" s="8" t="s">
        <v>42</v>
      </c>
      <c r="CD124" s="8" t="s">
        <v>42</v>
      </c>
      <c r="CE124" s="8" t="s">
        <v>42</v>
      </c>
      <c r="CF124" s="8" t="s">
        <v>82</v>
      </c>
      <c r="CG124" s="8" t="s">
        <v>39</v>
      </c>
    </row>
    <row r="125" spans="1:85" ht="15.75" customHeight="1" x14ac:dyDescent="0.35">
      <c r="A125" s="8">
        <v>118</v>
      </c>
      <c r="B125" s="8" t="s">
        <v>230</v>
      </c>
      <c r="C125" s="9">
        <v>1.5300000000000001E-4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10">
        <v>14140984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13">
        <v>14140984</v>
      </c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10">
        <v>67480403404.050003</v>
      </c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14">
        <v>45900</v>
      </c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 t="s">
        <v>35</v>
      </c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 t="s">
        <v>31</v>
      </c>
      <c r="BR125" s="8" t="s">
        <v>36</v>
      </c>
      <c r="BS125" s="10">
        <v>134520347587.2</v>
      </c>
      <c r="BT125" s="8"/>
      <c r="BU125" s="8" t="s">
        <v>27</v>
      </c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 t="s">
        <v>50</v>
      </c>
      <c r="CG125" s="8" t="s">
        <v>51</v>
      </c>
    </row>
    <row r="126" spans="1:85" ht="15.75" customHeight="1" x14ac:dyDescent="0.35">
      <c r="A126" s="8">
        <v>119</v>
      </c>
      <c r="B126" s="8" t="s">
        <v>231</v>
      </c>
      <c r="C126" s="9">
        <v>1.4999999999999999E-4</v>
      </c>
      <c r="D126" s="9">
        <v>8.5000000000000006E-5</v>
      </c>
      <c r="E126" s="8"/>
      <c r="F126" s="8"/>
      <c r="G126" s="8"/>
      <c r="H126" s="8"/>
      <c r="I126" s="8"/>
      <c r="J126" s="8"/>
      <c r="K126" s="8"/>
      <c r="L126" s="8"/>
      <c r="M126" s="8"/>
      <c r="N126" s="10">
        <v>13900000</v>
      </c>
      <c r="O126" s="10">
        <v>7900000</v>
      </c>
      <c r="P126" s="8"/>
      <c r="Q126" s="8"/>
      <c r="R126" s="8"/>
      <c r="S126" s="8"/>
      <c r="T126" s="8"/>
      <c r="U126" s="8"/>
      <c r="V126" s="8"/>
      <c r="W126" s="8"/>
      <c r="X126" s="8"/>
      <c r="Y126" s="13">
        <v>6000000</v>
      </c>
      <c r="Z126" s="13">
        <v>7900000</v>
      </c>
      <c r="AA126" s="8"/>
      <c r="AB126" s="8"/>
      <c r="AC126" s="8"/>
      <c r="AD126" s="8"/>
      <c r="AE126" s="8"/>
      <c r="AF126" s="8"/>
      <c r="AG126" s="8"/>
      <c r="AH126" s="8"/>
      <c r="AI126" s="8"/>
      <c r="AJ126" s="10">
        <v>61141650220</v>
      </c>
      <c r="AK126" s="10">
        <v>44918332325</v>
      </c>
      <c r="AL126" s="8"/>
      <c r="AM126" s="8"/>
      <c r="AN126" s="8"/>
      <c r="AO126" s="8"/>
      <c r="AP126" s="8"/>
      <c r="AQ126" s="8"/>
      <c r="AR126" s="8"/>
      <c r="AS126" s="8"/>
      <c r="AT126" s="8"/>
      <c r="AU126" s="14">
        <v>45930</v>
      </c>
      <c r="AV126" s="14">
        <v>45657</v>
      </c>
      <c r="AW126" s="8"/>
      <c r="AX126" s="8"/>
      <c r="AY126" s="8"/>
      <c r="AZ126" s="8"/>
      <c r="BA126" s="8"/>
      <c r="BB126" s="8"/>
      <c r="BC126" s="8"/>
      <c r="BD126" s="8"/>
      <c r="BE126" s="8"/>
      <c r="BF126" s="8" t="s">
        <v>35</v>
      </c>
      <c r="BG126" s="8" t="s">
        <v>35</v>
      </c>
      <c r="BH126" s="8"/>
      <c r="BI126" s="8"/>
      <c r="BJ126" s="8"/>
      <c r="BK126" s="8"/>
      <c r="BL126" s="8"/>
      <c r="BM126" s="8"/>
      <c r="BN126" s="8"/>
      <c r="BO126" s="8"/>
      <c r="BP126" s="8"/>
      <c r="BQ126" s="8" t="s">
        <v>31</v>
      </c>
      <c r="BR126" s="8" t="s">
        <v>36</v>
      </c>
      <c r="BS126" s="10">
        <v>9605965003266</v>
      </c>
      <c r="BT126" s="8" t="s">
        <v>57</v>
      </c>
      <c r="BU126" s="8" t="s">
        <v>27</v>
      </c>
      <c r="BV126" s="8" t="s">
        <v>27</v>
      </c>
      <c r="BW126" s="8"/>
      <c r="BX126" s="8"/>
      <c r="BY126" s="8"/>
      <c r="BZ126" s="8"/>
      <c r="CA126" s="8"/>
      <c r="CB126" s="8"/>
      <c r="CC126" s="8"/>
      <c r="CD126" s="8"/>
      <c r="CE126" s="8"/>
      <c r="CF126" s="8" t="s">
        <v>232</v>
      </c>
      <c r="CG126" s="8" t="s">
        <v>232</v>
      </c>
    </row>
    <row r="127" spans="1:85" ht="15.75" customHeight="1" x14ac:dyDescent="0.35">
      <c r="A127" s="8">
        <v>120</v>
      </c>
      <c r="B127" s="8" t="s">
        <v>233</v>
      </c>
      <c r="C127" s="9">
        <v>1.45E-4</v>
      </c>
      <c r="D127" s="9">
        <v>1.11E-4</v>
      </c>
      <c r="E127" s="9">
        <v>1.5300000000000001E-4</v>
      </c>
      <c r="F127" s="9">
        <v>2.3699999999999999E-4</v>
      </c>
      <c r="G127" s="9">
        <v>2.42E-4</v>
      </c>
      <c r="H127" s="9">
        <v>1.3100000000000001E-4</v>
      </c>
      <c r="I127" s="9">
        <v>1.0900000000000001E-4</v>
      </c>
      <c r="J127" s="9">
        <v>9.5000000000000005E-5</v>
      </c>
      <c r="K127" s="9">
        <v>6.9999999999999994E-5</v>
      </c>
      <c r="L127" s="9">
        <v>5.3000000000000001E-5</v>
      </c>
      <c r="M127" s="9">
        <v>1.9999999999999999E-6</v>
      </c>
      <c r="N127" s="10">
        <v>13373153</v>
      </c>
      <c r="O127" s="10">
        <v>10219175</v>
      </c>
      <c r="P127" s="10">
        <v>14173483</v>
      </c>
      <c r="Q127" s="10">
        <v>21884400</v>
      </c>
      <c r="R127" s="10">
        <v>22317400</v>
      </c>
      <c r="S127" s="10">
        <v>12098800</v>
      </c>
      <c r="T127" s="10">
        <v>10083600</v>
      </c>
      <c r="U127" s="10">
        <v>8797800</v>
      </c>
      <c r="V127" s="10">
        <v>6435000</v>
      </c>
      <c r="W127" s="10">
        <v>4881800</v>
      </c>
      <c r="X127" s="10">
        <v>188000</v>
      </c>
      <c r="Y127" s="13">
        <v>3153978</v>
      </c>
      <c r="Z127" s="12">
        <v>-3954308</v>
      </c>
      <c r="AA127" s="12">
        <v>-7710917</v>
      </c>
      <c r="AB127" s="12">
        <v>-433000</v>
      </c>
      <c r="AC127" s="13">
        <v>10218600</v>
      </c>
      <c r="AD127" s="13">
        <v>2015200</v>
      </c>
      <c r="AE127" s="13">
        <v>1285800</v>
      </c>
      <c r="AF127" s="13">
        <v>2362800</v>
      </c>
      <c r="AG127" s="13">
        <v>1553200</v>
      </c>
      <c r="AH127" s="13">
        <v>4693800</v>
      </c>
      <c r="AI127" s="13">
        <v>4000</v>
      </c>
      <c r="AJ127" s="10">
        <v>58824218896.800003</v>
      </c>
      <c r="AK127" s="10">
        <v>58104847899.300003</v>
      </c>
      <c r="AL127" s="10">
        <v>85749572071.699997</v>
      </c>
      <c r="AM127" s="10">
        <v>108601335027.35001</v>
      </c>
      <c r="AN127" s="10">
        <v>78307438612.5</v>
      </c>
      <c r="AO127" s="10">
        <v>38262454963.199997</v>
      </c>
      <c r="AP127" s="10">
        <v>38584620167.599998</v>
      </c>
      <c r="AQ127" s="10">
        <v>32040682450</v>
      </c>
      <c r="AR127" s="10">
        <v>25740000011.650002</v>
      </c>
      <c r="AS127" s="10">
        <v>14126708702.1</v>
      </c>
      <c r="AT127" s="10">
        <v>434907789.75</v>
      </c>
      <c r="AU127" s="14">
        <v>45930</v>
      </c>
      <c r="AV127" s="14">
        <v>45657</v>
      </c>
      <c r="AW127" s="14">
        <v>45291</v>
      </c>
      <c r="AX127" s="14">
        <v>44926</v>
      </c>
      <c r="AY127" s="14">
        <v>44561</v>
      </c>
      <c r="AZ127" s="14">
        <v>44196</v>
      </c>
      <c r="BA127" s="14">
        <v>43830</v>
      </c>
      <c r="BB127" s="14">
        <v>43465</v>
      </c>
      <c r="BC127" s="14">
        <v>43100</v>
      </c>
      <c r="BD127" s="14">
        <v>42735</v>
      </c>
      <c r="BE127" s="14">
        <v>42369</v>
      </c>
      <c r="BF127" s="8" t="s">
        <v>35</v>
      </c>
      <c r="BG127" s="8" t="s">
        <v>35</v>
      </c>
      <c r="BH127" s="8" t="s">
        <v>35</v>
      </c>
      <c r="BI127" s="8" t="s">
        <v>35</v>
      </c>
      <c r="BJ127" s="8" t="s">
        <v>35</v>
      </c>
      <c r="BK127" s="8" t="s">
        <v>35</v>
      </c>
      <c r="BL127" s="8" t="s">
        <v>35</v>
      </c>
      <c r="BM127" s="8" t="s">
        <v>35</v>
      </c>
      <c r="BN127" s="8" t="s">
        <v>35</v>
      </c>
      <c r="BO127" s="8" t="s">
        <v>35</v>
      </c>
      <c r="BP127" s="8" t="s">
        <v>35</v>
      </c>
      <c r="BQ127" s="8" t="s">
        <v>31</v>
      </c>
      <c r="BR127" s="8" t="s">
        <v>36</v>
      </c>
      <c r="BS127" s="10">
        <v>903224009100829</v>
      </c>
      <c r="BT127" s="8" t="s">
        <v>46</v>
      </c>
      <c r="BU127" s="8" t="s">
        <v>27</v>
      </c>
      <c r="BV127" s="8" t="s">
        <v>42</v>
      </c>
      <c r="BW127" s="8" t="s">
        <v>42</v>
      </c>
      <c r="BX127" s="8" t="s">
        <v>27</v>
      </c>
      <c r="BY127" s="8" t="s">
        <v>27</v>
      </c>
      <c r="BZ127" s="8" t="s">
        <v>27</v>
      </c>
      <c r="CA127" s="8" t="s">
        <v>27</v>
      </c>
      <c r="CB127" s="8" t="s">
        <v>27</v>
      </c>
      <c r="CC127" s="8" t="s">
        <v>27</v>
      </c>
      <c r="CD127" s="8" t="s">
        <v>43</v>
      </c>
      <c r="CE127" s="8" t="s">
        <v>42</v>
      </c>
      <c r="CF127" s="8" t="s">
        <v>194</v>
      </c>
      <c r="CG127" s="8" t="s">
        <v>195</v>
      </c>
    </row>
    <row r="128" spans="1:85" ht="15.75" customHeight="1" x14ac:dyDescent="0.35">
      <c r="A128" s="8">
        <v>121</v>
      </c>
      <c r="B128" s="8" t="s">
        <v>234</v>
      </c>
      <c r="C128" s="9">
        <v>1.4300000000000001E-4</v>
      </c>
      <c r="D128" s="9">
        <v>9.5000000000000005E-5</v>
      </c>
      <c r="E128" s="9">
        <v>3.1700000000000001E-4</v>
      </c>
      <c r="F128" s="9">
        <v>4.4099999999999999E-4</v>
      </c>
      <c r="G128" s="9">
        <v>0</v>
      </c>
      <c r="H128" s="9">
        <v>1.83E-4</v>
      </c>
      <c r="I128" s="8"/>
      <c r="J128" s="8"/>
      <c r="K128" s="8"/>
      <c r="L128" s="8"/>
      <c r="M128" s="9">
        <v>0</v>
      </c>
      <c r="N128" s="10">
        <v>13227800</v>
      </c>
      <c r="O128" s="10">
        <v>8763300</v>
      </c>
      <c r="P128" s="10">
        <v>29262300</v>
      </c>
      <c r="Q128" s="10">
        <v>40729000</v>
      </c>
      <c r="R128" s="10">
        <v>0</v>
      </c>
      <c r="S128" s="10">
        <v>16881400</v>
      </c>
      <c r="T128" s="8"/>
      <c r="U128" s="8"/>
      <c r="V128" s="8"/>
      <c r="W128" s="8"/>
      <c r="X128" s="10">
        <v>0</v>
      </c>
      <c r="Y128" s="13">
        <v>4464500</v>
      </c>
      <c r="Z128" s="12">
        <v>-20499000</v>
      </c>
      <c r="AA128" s="12">
        <v>-11466700</v>
      </c>
      <c r="AB128" s="13">
        <v>40729000</v>
      </c>
      <c r="AC128" s="12">
        <v>-16881400</v>
      </c>
      <c r="AD128" s="13">
        <v>16881400</v>
      </c>
      <c r="AE128" s="8"/>
      <c r="AF128" s="8"/>
      <c r="AG128" s="8"/>
      <c r="AH128" s="8"/>
      <c r="AI128" s="11">
        <v>0</v>
      </c>
      <c r="AJ128" s="10">
        <v>63122713500</v>
      </c>
      <c r="AK128" s="10">
        <v>49826939356.900002</v>
      </c>
      <c r="AL128" s="10">
        <v>177036914847.95001</v>
      </c>
      <c r="AM128" s="10">
        <v>202117662590.79999</v>
      </c>
      <c r="AN128" s="10">
        <v>0</v>
      </c>
      <c r="AO128" s="10">
        <v>53387427412.800003</v>
      </c>
      <c r="AP128" s="8"/>
      <c r="AQ128" s="8"/>
      <c r="AR128" s="8"/>
      <c r="AS128" s="8"/>
      <c r="AT128" s="10">
        <v>0</v>
      </c>
      <c r="AU128" s="14">
        <v>45900</v>
      </c>
      <c r="AV128" s="14">
        <v>45657</v>
      </c>
      <c r="AW128" s="14">
        <v>45291</v>
      </c>
      <c r="AX128" s="14">
        <v>44926</v>
      </c>
      <c r="AY128" s="14">
        <v>44439</v>
      </c>
      <c r="AZ128" s="14">
        <v>44196</v>
      </c>
      <c r="BA128" s="8"/>
      <c r="BB128" s="8"/>
      <c r="BC128" s="8"/>
      <c r="BD128" s="8"/>
      <c r="BE128" s="14">
        <v>41729</v>
      </c>
      <c r="BF128" s="8" t="s">
        <v>35</v>
      </c>
      <c r="BG128" s="8" t="s">
        <v>35</v>
      </c>
      <c r="BH128" s="8" t="s">
        <v>35</v>
      </c>
      <c r="BI128" s="8" t="s">
        <v>35</v>
      </c>
      <c r="BJ128" s="8" t="s">
        <v>35</v>
      </c>
      <c r="BK128" s="8" t="s">
        <v>35</v>
      </c>
      <c r="BL128" s="8"/>
      <c r="BM128" s="8"/>
      <c r="BN128" s="8"/>
      <c r="BO128" s="8"/>
      <c r="BP128" s="8" t="s">
        <v>35</v>
      </c>
      <c r="BQ128" s="8" t="s">
        <v>31</v>
      </c>
      <c r="BR128" s="8" t="s">
        <v>36</v>
      </c>
      <c r="BS128" s="10">
        <v>66797384339318.398</v>
      </c>
      <c r="BT128" s="8" t="s">
        <v>57</v>
      </c>
      <c r="BU128" s="8" t="s">
        <v>27</v>
      </c>
      <c r="BV128" s="8" t="s">
        <v>42</v>
      </c>
      <c r="BW128" s="8" t="s">
        <v>42</v>
      </c>
      <c r="BX128" s="8" t="s">
        <v>42</v>
      </c>
      <c r="BY128" s="8" t="s">
        <v>43</v>
      </c>
      <c r="BZ128" s="8" t="s">
        <v>42</v>
      </c>
      <c r="CA128" s="8"/>
      <c r="CB128" s="8"/>
      <c r="CC128" s="8"/>
      <c r="CD128" s="8"/>
      <c r="CE128" s="8" t="s">
        <v>27</v>
      </c>
      <c r="CF128" s="8" t="s">
        <v>70</v>
      </c>
      <c r="CG128" s="8" t="s">
        <v>71</v>
      </c>
    </row>
    <row r="129" spans="1:85" ht="15.75" customHeight="1" x14ac:dyDescent="0.35">
      <c r="A129" s="8">
        <v>122</v>
      </c>
      <c r="B129" s="8" t="s">
        <v>235</v>
      </c>
      <c r="C129" s="9">
        <v>1.4200000000000001E-4</v>
      </c>
      <c r="D129" s="9">
        <v>4.8000000000000001E-5</v>
      </c>
      <c r="E129" s="9">
        <v>6.0000000000000002E-5</v>
      </c>
      <c r="F129" s="9">
        <v>2.41E-4</v>
      </c>
      <c r="G129" s="9">
        <v>2.41E-4</v>
      </c>
      <c r="H129" s="9">
        <v>0</v>
      </c>
      <c r="I129" s="9">
        <v>0</v>
      </c>
      <c r="J129" s="9">
        <v>6.8999999999999997E-5</v>
      </c>
      <c r="K129" s="9">
        <v>1.93E-4</v>
      </c>
      <c r="L129" s="9">
        <v>9.0000000000000002E-6</v>
      </c>
      <c r="M129" s="9">
        <v>0</v>
      </c>
      <c r="N129" s="10">
        <v>13132500</v>
      </c>
      <c r="O129" s="10">
        <v>4415400</v>
      </c>
      <c r="P129" s="10">
        <v>5539300</v>
      </c>
      <c r="Q129" s="10">
        <v>22296800</v>
      </c>
      <c r="R129" s="10">
        <v>22296800</v>
      </c>
      <c r="S129" s="10">
        <v>0</v>
      </c>
      <c r="T129" s="10">
        <v>22836</v>
      </c>
      <c r="U129" s="10">
        <v>6371060</v>
      </c>
      <c r="V129" s="10">
        <v>17846400</v>
      </c>
      <c r="W129" s="10">
        <v>853876</v>
      </c>
      <c r="X129" s="10">
        <v>0</v>
      </c>
      <c r="Y129" s="13">
        <v>8717100</v>
      </c>
      <c r="Z129" s="12">
        <v>-1123900</v>
      </c>
      <c r="AA129" s="12">
        <v>-16757500</v>
      </c>
      <c r="AB129" s="11">
        <v>0</v>
      </c>
      <c r="AC129" s="13">
        <v>22296800</v>
      </c>
      <c r="AD129" s="12">
        <v>-22836</v>
      </c>
      <c r="AE129" s="12">
        <v>-6348224</v>
      </c>
      <c r="AF129" s="12">
        <v>-11475340</v>
      </c>
      <c r="AG129" s="13">
        <v>16992524</v>
      </c>
      <c r="AH129" s="13">
        <v>853876</v>
      </c>
      <c r="AI129" s="11">
        <v>0</v>
      </c>
      <c r="AJ129" s="10">
        <v>62667944442.599998</v>
      </c>
      <c r="AK129" s="10">
        <v>25105367626.599998</v>
      </c>
      <c r="AL129" s="10">
        <v>33512764934.299999</v>
      </c>
      <c r="AM129" s="10">
        <v>68562659997.900002</v>
      </c>
      <c r="AN129" s="10">
        <v>68562659997.900002</v>
      </c>
      <c r="AO129" s="10">
        <v>0</v>
      </c>
      <c r="AP129" s="10">
        <v>80211402.239999995</v>
      </c>
      <c r="AQ129" s="10">
        <v>23202745000</v>
      </c>
      <c r="AR129" s="10">
        <v>71385600072.100006</v>
      </c>
      <c r="AS129" s="10">
        <v>2049302349</v>
      </c>
      <c r="AT129" s="10">
        <v>0</v>
      </c>
      <c r="AU129" s="14">
        <v>45900</v>
      </c>
      <c r="AV129" s="14">
        <v>45657</v>
      </c>
      <c r="AW129" s="14">
        <v>45291</v>
      </c>
      <c r="AX129" s="14">
        <v>44469</v>
      </c>
      <c r="AY129" s="14">
        <v>44469</v>
      </c>
      <c r="AZ129" s="14">
        <v>43890</v>
      </c>
      <c r="BA129" s="14">
        <v>43769</v>
      </c>
      <c r="BB129" s="14">
        <v>43465</v>
      </c>
      <c r="BC129" s="14">
        <v>43100</v>
      </c>
      <c r="BD129" s="14">
        <v>42400</v>
      </c>
      <c r="BE129" s="14">
        <v>42308</v>
      </c>
      <c r="BF129" s="8" t="s">
        <v>35</v>
      </c>
      <c r="BG129" s="8" t="s">
        <v>35</v>
      </c>
      <c r="BH129" s="8" t="s">
        <v>35</v>
      </c>
      <c r="BI129" s="8" t="s">
        <v>35</v>
      </c>
      <c r="BJ129" s="8" t="s">
        <v>35</v>
      </c>
      <c r="BK129" s="8" t="s">
        <v>35</v>
      </c>
      <c r="BL129" s="8" t="s">
        <v>35</v>
      </c>
      <c r="BM129" s="8" t="s">
        <v>35</v>
      </c>
      <c r="BN129" s="8" t="s">
        <v>35</v>
      </c>
      <c r="BO129" s="8" t="s">
        <v>35</v>
      </c>
      <c r="BP129" s="8" t="s">
        <v>35</v>
      </c>
      <c r="BQ129" s="8" t="s">
        <v>31</v>
      </c>
      <c r="BR129" s="8" t="s">
        <v>36</v>
      </c>
      <c r="BS129" s="10">
        <v>123023283538534</v>
      </c>
      <c r="BT129" s="8" t="s">
        <v>61</v>
      </c>
      <c r="BU129" s="8" t="s">
        <v>42</v>
      </c>
      <c r="BV129" s="8" t="s">
        <v>42</v>
      </c>
      <c r="BW129" s="8" t="s">
        <v>42</v>
      </c>
      <c r="BX129" s="8" t="s">
        <v>27</v>
      </c>
      <c r="BY129" s="8" t="s">
        <v>43</v>
      </c>
      <c r="BZ129" s="8" t="s">
        <v>27</v>
      </c>
      <c r="CA129" s="8" t="s">
        <v>42</v>
      </c>
      <c r="CB129" s="8" t="s">
        <v>42</v>
      </c>
      <c r="CC129" s="8" t="s">
        <v>42</v>
      </c>
      <c r="CD129" s="8" t="s">
        <v>42</v>
      </c>
      <c r="CE129" s="8" t="s">
        <v>42</v>
      </c>
      <c r="CF129" s="8" t="s">
        <v>70</v>
      </c>
      <c r="CG129" s="8" t="s">
        <v>71</v>
      </c>
    </row>
    <row r="130" spans="1:85" ht="15.75" customHeight="1" x14ac:dyDescent="0.35">
      <c r="A130" s="8">
        <v>123</v>
      </c>
      <c r="B130" s="8" t="s">
        <v>236</v>
      </c>
      <c r="C130" s="9">
        <v>1.3799999999999999E-4</v>
      </c>
      <c r="D130" s="9">
        <v>1.1E-4</v>
      </c>
      <c r="E130" s="9">
        <v>1.2999999999999999E-4</v>
      </c>
      <c r="F130" s="9">
        <v>5.7000000000000003E-5</v>
      </c>
      <c r="G130" s="8"/>
      <c r="H130" s="8"/>
      <c r="I130" s="8"/>
      <c r="J130" s="8"/>
      <c r="K130" s="8"/>
      <c r="L130" s="8"/>
      <c r="M130" s="8"/>
      <c r="N130" s="10">
        <v>12763311</v>
      </c>
      <c r="O130" s="10">
        <v>10145262</v>
      </c>
      <c r="P130" s="10">
        <v>11978362</v>
      </c>
      <c r="Q130" s="10">
        <v>5285040</v>
      </c>
      <c r="R130" s="8"/>
      <c r="S130" s="8"/>
      <c r="T130" s="8"/>
      <c r="U130" s="8"/>
      <c r="V130" s="8"/>
      <c r="W130" s="8"/>
      <c r="X130" s="8"/>
      <c r="Y130" s="13">
        <v>2618049</v>
      </c>
      <c r="Z130" s="12">
        <v>-1833100</v>
      </c>
      <c r="AA130" s="13">
        <v>6693322</v>
      </c>
      <c r="AB130" s="13">
        <v>5285040</v>
      </c>
      <c r="AC130" s="8"/>
      <c r="AD130" s="8"/>
      <c r="AE130" s="8"/>
      <c r="AF130" s="8"/>
      <c r="AG130" s="8"/>
      <c r="AH130" s="8"/>
      <c r="AI130" s="8"/>
      <c r="AJ130" s="10">
        <v>56141719159.400002</v>
      </c>
      <c r="AK130" s="10">
        <v>57684588523.199997</v>
      </c>
      <c r="AL130" s="10">
        <v>72469090100.899994</v>
      </c>
      <c r="AM130" s="10">
        <v>26227010991.5</v>
      </c>
      <c r="AN130" s="8"/>
      <c r="AO130" s="8"/>
      <c r="AP130" s="8"/>
      <c r="AQ130" s="8"/>
      <c r="AR130" s="8"/>
      <c r="AS130" s="8"/>
      <c r="AT130" s="8"/>
      <c r="AU130" s="14">
        <v>45930</v>
      </c>
      <c r="AV130" s="14">
        <v>45657</v>
      </c>
      <c r="AW130" s="14">
        <v>45291</v>
      </c>
      <c r="AX130" s="14">
        <v>44926</v>
      </c>
      <c r="AY130" s="8"/>
      <c r="AZ130" s="8"/>
      <c r="BA130" s="8"/>
      <c r="BB130" s="8"/>
      <c r="BC130" s="8"/>
      <c r="BD130" s="8"/>
      <c r="BE130" s="8"/>
      <c r="BF130" s="8" t="s">
        <v>35</v>
      </c>
      <c r="BG130" s="8" t="s">
        <v>35</v>
      </c>
      <c r="BH130" s="8" t="s">
        <v>35</v>
      </c>
      <c r="BI130" s="8" t="s">
        <v>35</v>
      </c>
      <c r="BJ130" s="8"/>
      <c r="BK130" s="8"/>
      <c r="BL130" s="8"/>
      <c r="BM130" s="8"/>
      <c r="BN130" s="8"/>
      <c r="BO130" s="8"/>
      <c r="BP130" s="8"/>
      <c r="BQ130" s="8" t="s">
        <v>31</v>
      </c>
      <c r="BR130" s="8" t="s">
        <v>101</v>
      </c>
      <c r="BS130" s="10">
        <v>19170934054153.199</v>
      </c>
      <c r="BT130" s="8" t="s">
        <v>101</v>
      </c>
      <c r="BU130" s="8" t="s">
        <v>43</v>
      </c>
      <c r="BV130" s="8" t="s">
        <v>43</v>
      </c>
      <c r="BW130" s="8" t="s">
        <v>43</v>
      </c>
      <c r="BX130" s="8" t="s">
        <v>43</v>
      </c>
      <c r="BY130" s="8"/>
      <c r="BZ130" s="8"/>
      <c r="CA130" s="8"/>
      <c r="CB130" s="8"/>
      <c r="CC130" s="8"/>
      <c r="CD130" s="8"/>
      <c r="CE130" s="8"/>
      <c r="CF130" s="8" t="s">
        <v>82</v>
      </c>
      <c r="CG130" s="8" t="s">
        <v>39</v>
      </c>
    </row>
    <row r="131" spans="1:85" ht="15.75" customHeight="1" x14ac:dyDescent="0.35">
      <c r="A131" s="8">
        <v>124</v>
      </c>
      <c r="B131" s="8" t="s">
        <v>237</v>
      </c>
      <c r="C131" s="9">
        <v>1.37E-4</v>
      </c>
      <c r="D131" s="9">
        <v>1.3300000000000001E-4</v>
      </c>
      <c r="E131" s="9">
        <v>1.18E-4</v>
      </c>
      <c r="F131" s="9">
        <v>1.2999999999999999E-4</v>
      </c>
      <c r="G131" s="9">
        <v>1.2799999999999999E-4</v>
      </c>
      <c r="H131" s="9">
        <v>9.7E-5</v>
      </c>
      <c r="I131" s="9">
        <v>9.6000000000000002E-5</v>
      </c>
      <c r="J131" s="9">
        <v>9.0000000000000006E-5</v>
      </c>
      <c r="K131" s="9">
        <v>9.2999999999999997E-5</v>
      </c>
      <c r="L131" s="9">
        <v>7.8999999999999996E-5</v>
      </c>
      <c r="M131" s="9">
        <v>1.01E-4</v>
      </c>
      <c r="N131" s="10">
        <v>12625094</v>
      </c>
      <c r="O131" s="10">
        <v>12271203</v>
      </c>
      <c r="P131" s="10">
        <v>10869184</v>
      </c>
      <c r="Q131" s="10">
        <v>12018900</v>
      </c>
      <c r="R131" s="10">
        <v>11797246</v>
      </c>
      <c r="S131" s="10">
        <v>8992772</v>
      </c>
      <c r="T131" s="10">
        <v>8881590</v>
      </c>
      <c r="U131" s="10">
        <v>8353986</v>
      </c>
      <c r="V131" s="10">
        <v>8592700</v>
      </c>
      <c r="W131" s="10">
        <v>7261072</v>
      </c>
      <c r="X131" s="10">
        <v>9371988</v>
      </c>
      <c r="Y131" s="13">
        <v>353891</v>
      </c>
      <c r="Z131" s="13">
        <v>1402019</v>
      </c>
      <c r="AA131" s="12">
        <v>-1149716</v>
      </c>
      <c r="AB131" s="13">
        <v>221654</v>
      </c>
      <c r="AC131" s="13">
        <v>2804474</v>
      </c>
      <c r="AD131" s="13">
        <v>111182</v>
      </c>
      <c r="AE131" s="13">
        <v>527604</v>
      </c>
      <c r="AF131" s="12">
        <v>-238714</v>
      </c>
      <c r="AG131" s="13">
        <v>1331628</v>
      </c>
      <c r="AH131" s="12">
        <v>-2110916</v>
      </c>
      <c r="AI131" s="11">
        <v>0</v>
      </c>
      <c r="AJ131" s="10">
        <v>55533746945.599998</v>
      </c>
      <c r="AK131" s="10">
        <v>69772401665.5</v>
      </c>
      <c r="AL131" s="10">
        <v>65758563089.050003</v>
      </c>
      <c r="AM131" s="10">
        <v>53183632513.199997</v>
      </c>
      <c r="AN131" s="10">
        <v>41394253717.5</v>
      </c>
      <c r="AO131" s="10">
        <v>28439641479.599998</v>
      </c>
      <c r="AP131" s="10">
        <v>33985161678.400002</v>
      </c>
      <c r="AQ131" s="10">
        <v>30424357450</v>
      </c>
      <c r="AR131" s="10">
        <v>34370800036.199997</v>
      </c>
      <c r="AS131" s="10">
        <v>21011727055.5</v>
      </c>
      <c r="AT131" s="10">
        <v>21680586064.650002</v>
      </c>
      <c r="AU131" s="14">
        <v>45930</v>
      </c>
      <c r="AV131" s="14">
        <v>45657</v>
      </c>
      <c r="AW131" s="14">
        <v>45291</v>
      </c>
      <c r="AX131" s="14">
        <v>44804</v>
      </c>
      <c r="AY131" s="14">
        <v>44561</v>
      </c>
      <c r="AZ131" s="14">
        <v>44196</v>
      </c>
      <c r="BA131" s="14">
        <v>43830</v>
      </c>
      <c r="BB131" s="14">
        <v>43465</v>
      </c>
      <c r="BC131" s="14">
        <v>43100</v>
      </c>
      <c r="BD131" s="14">
        <v>42735</v>
      </c>
      <c r="BE131" s="14">
        <v>42369</v>
      </c>
      <c r="BF131" s="8" t="s">
        <v>35</v>
      </c>
      <c r="BG131" s="8" t="s">
        <v>35</v>
      </c>
      <c r="BH131" s="8" t="s">
        <v>35</v>
      </c>
      <c r="BI131" s="8" t="s">
        <v>35</v>
      </c>
      <c r="BJ131" s="8" t="s">
        <v>35</v>
      </c>
      <c r="BK131" s="8" t="s">
        <v>35</v>
      </c>
      <c r="BL131" s="8" t="s">
        <v>35</v>
      </c>
      <c r="BM131" s="8" t="s">
        <v>35</v>
      </c>
      <c r="BN131" s="8" t="s">
        <v>35</v>
      </c>
      <c r="BO131" s="8" t="s">
        <v>35</v>
      </c>
      <c r="BP131" s="8" t="s">
        <v>35</v>
      </c>
      <c r="BQ131" s="8" t="s">
        <v>31</v>
      </c>
      <c r="BR131" s="8" t="s">
        <v>36</v>
      </c>
      <c r="BS131" s="10">
        <v>1496829638149650</v>
      </c>
      <c r="BT131" s="8" t="s">
        <v>46</v>
      </c>
      <c r="BU131" s="8" t="s">
        <v>27</v>
      </c>
      <c r="BV131" s="8" t="s">
        <v>27</v>
      </c>
      <c r="BW131" s="8" t="s">
        <v>27</v>
      </c>
      <c r="BX131" s="8" t="s">
        <v>27</v>
      </c>
      <c r="BY131" s="8" t="s">
        <v>27</v>
      </c>
      <c r="BZ131" s="8" t="s">
        <v>27</v>
      </c>
      <c r="CA131" s="8" t="s">
        <v>27</v>
      </c>
      <c r="CB131" s="8" t="s">
        <v>27</v>
      </c>
      <c r="CC131" s="8" t="s">
        <v>27</v>
      </c>
      <c r="CD131" s="8" t="s">
        <v>43</v>
      </c>
      <c r="CE131" s="8" t="s">
        <v>42</v>
      </c>
      <c r="CF131" s="8" t="s">
        <v>238</v>
      </c>
      <c r="CG131" s="8" t="s">
        <v>132</v>
      </c>
    </row>
    <row r="132" spans="1:85" ht="15.75" customHeight="1" x14ac:dyDescent="0.35">
      <c r="A132" s="8">
        <v>125</v>
      </c>
      <c r="B132" s="8" t="s">
        <v>239</v>
      </c>
      <c r="C132" s="9">
        <v>1.34E-4</v>
      </c>
      <c r="D132" s="9">
        <v>2.4000000000000001E-4</v>
      </c>
      <c r="E132" s="8"/>
      <c r="F132" s="8"/>
      <c r="G132" s="9">
        <v>0</v>
      </c>
      <c r="H132" s="9">
        <v>0</v>
      </c>
      <c r="I132" s="9">
        <v>3.4E-5</v>
      </c>
      <c r="J132" s="9">
        <v>9.0000000000000002E-6</v>
      </c>
      <c r="K132" s="9">
        <v>9.0000000000000002E-6</v>
      </c>
      <c r="L132" s="9">
        <v>9.0000000000000002E-6</v>
      </c>
      <c r="M132" s="9">
        <v>1.0900000000000001E-4</v>
      </c>
      <c r="N132" s="10">
        <v>12381900</v>
      </c>
      <c r="O132" s="10">
        <v>22159500</v>
      </c>
      <c r="P132" s="8"/>
      <c r="Q132" s="8"/>
      <c r="R132" s="10">
        <v>0</v>
      </c>
      <c r="S132" s="10">
        <v>0</v>
      </c>
      <c r="T132" s="10">
        <v>3180000</v>
      </c>
      <c r="U132" s="10">
        <v>792000</v>
      </c>
      <c r="V132" s="10">
        <v>792000</v>
      </c>
      <c r="W132" s="10">
        <v>792000</v>
      </c>
      <c r="X132" s="10">
        <v>10116000</v>
      </c>
      <c r="Y132" s="12">
        <v>-9777600</v>
      </c>
      <c r="Z132" s="13">
        <v>22159500</v>
      </c>
      <c r="AA132" s="8"/>
      <c r="AB132" s="8"/>
      <c r="AC132" s="11">
        <v>0</v>
      </c>
      <c r="AD132" s="12">
        <v>-3180000</v>
      </c>
      <c r="AE132" s="13">
        <v>2388000</v>
      </c>
      <c r="AF132" s="11">
        <v>0</v>
      </c>
      <c r="AG132" s="11">
        <v>0</v>
      </c>
      <c r="AH132" s="12">
        <v>-9324000</v>
      </c>
      <c r="AI132" s="11">
        <v>0</v>
      </c>
      <c r="AJ132" s="10">
        <v>60539304706.5</v>
      </c>
      <c r="AK132" s="10">
        <v>125995921970.5</v>
      </c>
      <c r="AL132" s="8"/>
      <c r="AM132" s="8"/>
      <c r="AN132" s="10">
        <v>0</v>
      </c>
      <c r="AO132" s="10">
        <v>0</v>
      </c>
      <c r="AP132" s="10">
        <v>12168183208.799999</v>
      </c>
      <c r="AQ132" s="10">
        <v>2884382562.5</v>
      </c>
      <c r="AR132" s="10">
        <v>3167999943</v>
      </c>
      <c r="AS132" s="10">
        <v>2291850051.9000001</v>
      </c>
      <c r="AT132" s="10">
        <v>27819000016.900002</v>
      </c>
      <c r="AU132" s="14">
        <v>45838</v>
      </c>
      <c r="AV132" s="14">
        <v>45657</v>
      </c>
      <c r="AW132" s="8"/>
      <c r="AX132" s="8"/>
      <c r="AY132" s="14">
        <v>44196</v>
      </c>
      <c r="AZ132" s="14">
        <v>44196</v>
      </c>
      <c r="BA132" s="14">
        <v>43830</v>
      </c>
      <c r="BB132" s="14">
        <v>43465</v>
      </c>
      <c r="BC132" s="14">
        <v>43100</v>
      </c>
      <c r="BD132" s="14">
        <v>42735</v>
      </c>
      <c r="BE132" s="14">
        <v>42035</v>
      </c>
      <c r="BF132" s="8" t="s">
        <v>35</v>
      </c>
      <c r="BG132" s="8" t="s">
        <v>35</v>
      </c>
      <c r="BH132" s="8"/>
      <c r="BI132" s="8"/>
      <c r="BJ132" s="8" t="s">
        <v>35</v>
      </c>
      <c r="BK132" s="8" t="s">
        <v>35</v>
      </c>
      <c r="BL132" s="8" t="s">
        <v>35</v>
      </c>
      <c r="BM132" s="8" t="s">
        <v>35</v>
      </c>
      <c r="BN132" s="8" t="s">
        <v>35</v>
      </c>
      <c r="BO132" s="8" t="s">
        <v>35</v>
      </c>
      <c r="BP132" s="8" t="s">
        <v>35</v>
      </c>
      <c r="BQ132" s="8" t="s">
        <v>31</v>
      </c>
      <c r="BR132" s="8" t="s">
        <v>49</v>
      </c>
      <c r="BS132" s="10">
        <v>1647254873672870</v>
      </c>
      <c r="BT132" s="8" t="s">
        <v>41</v>
      </c>
      <c r="BU132" s="8" t="s">
        <v>27</v>
      </c>
      <c r="BV132" s="8" t="s">
        <v>27</v>
      </c>
      <c r="BW132" s="8"/>
      <c r="BX132" s="8"/>
      <c r="BY132" s="8" t="s">
        <v>27</v>
      </c>
      <c r="BZ132" s="8" t="s">
        <v>27</v>
      </c>
      <c r="CA132" s="8" t="s">
        <v>42</v>
      </c>
      <c r="CB132" s="8" t="s">
        <v>27</v>
      </c>
      <c r="CC132" s="8" t="s">
        <v>27</v>
      </c>
      <c r="CD132" s="8" t="s">
        <v>42</v>
      </c>
      <c r="CE132" s="8" t="s">
        <v>27</v>
      </c>
      <c r="CF132" s="8" t="s">
        <v>95</v>
      </c>
      <c r="CG132" s="8" t="s">
        <v>96</v>
      </c>
    </row>
    <row r="133" spans="1:85" ht="15.75" customHeight="1" x14ac:dyDescent="0.35">
      <c r="A133" s="8">
        <v>126</v>
      </c>
      <c r="B133" s="8" t="s">
        <v>240</v>
      </c>
      <c r="C133" s="9">
        <v>1.3300000000000001E-4</v>
      </c>
      <c r="D133" s="9">
        <v>3.0400000000000002E-4</v>
      </c>
      <c r="E133" s="8"/>
      <c r="F133" s="8"/>
      <c r="G133" s="8"/>
      <c r="H133" s="8"/>
      <c r="I133" s="8"/>
      <c r="J133" s="8"/>
      <c r="K133" s="8"/>
      <c r="L133" s="8"/>
      <c r="M133" s="8"/>
      <c r="N133" s="10">
        <v>12288700</v>
      </c>
      <c r="O133" s="10">
        <v>28083300</v>
      </c>
      <c r="P133" s="8"/>
      <c r="Q133" s="8"/>
      <c r="R133" s="8"/>
      <c r="S133" s="8"/>
      <c r="T133" s="8"/>
      <c r="U133" s="8"/>
      <c r="V133" s="8"/>
      <c r="W133" s="8"/>
      <c r="X133" s="8"/>
      <c r="Y133" s="12">
        <v>-15794600</v>
      </c>
      <c r="Z133" s="13">
        <v>28083300</v>
      </c>
      <c r="AA133" s="8"/>
      <c r="AB133" s="8"/>
      <c r="AC133" s="8"/>
      <c r="AD133" s="8"/>
      <c r="AE133" s="8"/>
      <c r="AF133" s="8"/>
      <c r="AG133" s="8"/>
      <c r="AH133" s="8"/>
      <c r="AI133" s="8"/>
      <c r="AJ133" s="10">
        <v>60083618404.800003</v>
      </c>
      <c r="AK133" s="10">
        <v>159677848169.29999</v>
      </c>
      <c r="AL133" s="8"/>
      <c r="AM133" s="8"/>
      <c r="AN133" s="8"/>
      <c r="AO133" s="8"/>
      <c r="AP133" s="8"/>
      <c r="AQ133" s="8"/>
      <c r="AR133" s="8"/>
      <c r="AS133" s="8"/>
      <c r="AT133" s="8"/>
      <c r="AU133" s="14">
        <v>45838</v>
      </c>
      <c r="AV133" s="14">
        <v>45657</v>
      </c>
      <c r="AW133" s="8"/>
      <c r="AX133" s="8"/>
      <c r="AY133" s="8"/>
      <c r="AZ133" s="8"/>
      <c r="BA133" s="8"/>
      <c r="BB133" s="8"/>
      <c r="BC133" s="8"/>
      <c r="BD133" s="8"/>
      <c r="BE133" s="8"/>
      <c r="BF133" s="8" t="s">
        <v>35</v>
      </c>
      <c r="BG133" s="8" t="s">
        <v>35</v>
      </c>
      <c r="BH133" s="8"/>
      <c r="BI133" s="8"/>
      <c r="BJ133" s="8"/>
      <c r="BK133" s="8"/>
      <c r="BL133" s="8"/>
      <c r="BM133" s="8"/>
      <c r="BN133" s="8"/>
      <c r="BO133" s="8"/>
      <c r="BP133" s="8"/>
      <c r="BQ133" s="8" t="s">
        <v>31</v>
      </c>
      <c r="BR133" s="8" t="s">
        <v>36</v>
      </c>
      <c r="BS133" s="10">
        <v>38620246625433.602</v>
      </c>
      <c r="BT133" s="8"/>
      <c r="BU133" s="8" t="s">
        <v>27</v>
      </c>
      <c r="BV133" s="8" t="s">
        <v>42</v>
      </c>
      <c r="BW133" s="8"/>
      <c r="BX133" s="8"/>
      <c r="BY133" s="8"/>
      <c r="BZ133" s="8"/>
      <c r="CA133" s="8"/>
      <c r="CB133" s="8"/>
      <c r="CC133" s="8"/>
      <c r="CD133" s="8"/>
      <c r="CE133" s="8"/>
      <c r="CF133" s="8" t="s">
        <v>50</v>
      </c>
      <c r="CG133" s="8" t="s">
        <v>51</v>
      </c>
    </row>
    <row r="134" spans="1:85" ht="15.75" customHeight="1" x14ac:dyDescent="0.35">
      <c r="A134" s="8">
        <v>127</v>
      </c>
      <c r="B134" s="8" t="s">
        <v>241</v>
      </c>
      <c r="C134" s="9">
        <v>1.3300000000000001E-4</v>
      </c>
      <c r="D134" s="9">
        <v>0</v>
      </c>
      <c r="E134" s="9">
        <v>1.02E-4</v>
      </c>
      <c r="F134" s="8"/>
      <c r="G134" s="8"/>
      <c r="H134" s="8"/>
      <c r="I134" s="8"/>
      <c r="J134" s="8"/>
      <c r="K134" s="8"/>
      <c r="L134" s="9">
        <v>5.4000000000000001E-4</v>
      </c>
      <c r="M134" s="9">
        <v>5.4000000000000001E-4</v>
      </c>
      <c r="N134" s="10">
        <v>12260500</v>
      </c>
      <c r="O134" s="10">
        <v>0</v>
      </c>
      <c r="P134" s="10">
        <v>9393900</v>
      </c>
      <c r="Q134" s="8"/>
      <c r="R134" s="8"/>
      <c r="S134" s="8"/>
      <c r="T134" s="8"/>
      <c r="U134" s="8"/>
      <c r="V134" s="8"/>
      <c r="W134" s="10">
        <v>49934000</v>
      </c>
      <c r="X134" s="10">
        <v>49934000</v>
      </c>
      <c r="Y134" s="13">
        <v>12260500</v>
      </c>
      <c r="Z134" s="12">
        <v>-9393900</v>
      </c>
      <c r="AA134" s="13">
        <v>9393900</v>
      </c>
      <c r="AB134" s="8"/>
      <c r="AC134" s="8"/>
      <c r="AD134" s="8"/>
      <c r="AE134" s="8"/>
      <c r="AF134" s="8"/>
      <c r="AG134" s="8"/>
      <c r="AH134" s="11">
        <v>0</v>
      </c>
      <c r="AI134" s="11">
        <v>0</v>
      </c>
      <c r="AJ134" s="10">
        <v>59945739036.599998</v>
      </c>
      <c r="AK134" s="10">
        <v>0</v>
      </c>
      <c r="AL134" s="10">
        <v>56833094923.5</v>
      </c>
      <c r="AM134" s="8"/>
      <c r="AN134" s="8"/>
      <c r="AO134" s="8"/>
      <c r="AP134" s="8"/>
      <c r="AQ134" s="8"/>
      <c r="AR134" s="8"/>
      <c r="AS134" s="10">
        <v>106109750049.60001</v>
      </c>
      <c r="AT134" s="10">
        <v>106109750049.60001</v>
      </c>
      <c r="AU134" s="14">
        <v>45838</v>
      </c>
      <c r="AV134" s="14">
        <v>45535</v>
      </c>
      <c r="AW134" s="14">
        <v>45291</v>
      </c>
      <c r="AX134" s="8"/>
      <c r="AY134" s="8"/>
      <c r="AZ134" s="8"/>
      <c r="BA134" s="8"/>
      <c r="BB134" s="8"/>
      <c r="BC134" s="8"/>
      <c r="BD134" s="14">
        <v>42338</v>
      </c>
      <c r="BE134" s="14">
        <v>42338</v>
      </c>
      <c r="BF134" s="8" t="s">
        <v>35</v>
      </c>
      <c r="BG134" s="8" t="s">
        <v>35</v>
      </c>
      <c r="BH134" s="8" t="s">
        <v>35</v>
      </c>
      <c r="BI134" s="8"/>
      <c r="BJ134" s="8"/>
      <c r="BK134" s="8"/>
      <c r="BL134" s="8"/>
      <c r="BM134" s="8"/>
      <c r="BN134" s="8"/>
      <c r="BO134" s="8" t="s">
        <v>35</v>
      </c>
      <c r="BP134" s="8" t="s">
        <v>35</v>
      </c>
      <c r="BQ134" s="8" t="s">
        <v>31</v>
      </c>
      <c r="BR134" s="8" t="s">
        <v>49</v>
      </c>
      <c r="BS134" s="10">
        <v>3231531421820400</v>
      </c>
      <c r="BT134" s="8" t="s">
        <v>91</v>
      </c>
      <c r="BU134" s="8" t="s">
        <v>27</v>
      </c>
      <c r="BV134" s="8" t="s">
        <v>27</v>
      </c>
      <c r="BW134" s="8" t="s">
        <v>27</v>
      </c>
      <c r="BX134" s="8"/>
      <c r="BY134" s="8"/>
      <c r="BZ134" s="8"/>
      <c r="CA134" s="8"/>
      <c r="CB134" s="8"/>
      <c r="CC134" s="8"/>
      <c r="CD134" s="8" t="s">
        <v>27</v>
      </c>
      <c r="CE134" s="8" t="s">
        <v>27</v>
      </c>
      <c r="CF134" s="8" t="s">
        <v>242</v>
      </c>
      <c r="CG134" s="8" t="s">
        <v>39</v>
      </c>
    </row>
    <row r="135" spans="1:85" ht="15.75" customHeight="1" x14ac:dyDescent="0.35">
      <c r="A135" s="8">
        <v>128</v>
      </c>
      <c r="B135" s="8" t="s">
        <v>243</v>
      </c>
      <c r="C135" s="9">
        <v>1.2999999999999999E-4</v>
      </c>
      <c r="D135" s="9">
        <v>1.4100000000000001E-4</v>
      </c>
      <c r="E135" s="9">
        <v>1.25E-4</v>
      </c>
      <c r="F135" s="9">
        <v>1.9599999999999999E-4</v>
      </c>
      <c r="G135" s="9">
        <v>1.9999999999999999E-6</v>
      </c>
      <c r="H135" s="9">
        <v>0</v>
      </c>
      <c r="I135" s="9">
        <v>2.3599999999999999E-4</v>
      </c>
      <c r="J135" s="9">
        <v>1.45E-4</v>
      </c>
      <c r="K135" s="9">
        <v>1.1400000000000001E-4</v>
      </c>
      <c r="L135" s="9">
        <v>1.1900000000000001E-4</v>
      </c>
      <c r="M135" s="9">
        <v>1.4899999999999999E-4</v>
      </c>
      <c r="N135" s="10">
        <v>11983042</v>
      </c>
      <c r="O135" s="10">
        <v>13073871</v>
      </c>
      <c r="P135" s="10">
        <v>11579595</v>
      </c>
      <c r="Q135" s="10">
        <v>18096456</v>
      </c>
      <c r="R135" s="10">
        <v>192000</v>
      </c>
      <c r="S135" s="10">
        <v>0</v>
      </c>
      <c r="T135" s="10">
        <v>21763600</v>
      </c>
      <c r="U135" s="10">
        <v>13436200</v>
      </c>
      <c r="V135" s="10">
        <v>10576000</v>
      </c>
      <c r="W135" s="10">
        <v>10981600</v>
      </c>
      <c r="X135" s="10">
        <v>13740400</v>
      </c>
      <c r="Y135" s="12">
        <v>-1090829</v>
      </c>
      <c r="Z135" s="13">
        <v>1494276</v>
      </c>
      <c r="AA135" s="12">
        <v>-6516861</v>
      </c>
      <c r="AB135" s="13">
        <v>17904456</v>
      </c>
      <c r="AC135" s="13">
        <v>192000</v>
      </c>
      <c r="AD135" s="12">
        <v>-21763600</v>
      </c>
      <c r="AE135" s="13">
        <v>8327400</v>
      </c>
      <c r="AF135" s="13">
        <v>2860200</v>
      </c>
      <c r="AG135" s="12">
        <v>-405600</v>
      </c>
      <c r="AH135" s="12">
        <v>-2758800</v>
      </c>
      <c r="AI135" s="13">
        <v>302400</v>
      </c>
      <c r="AJ135" s="10">
        <v>52709565736.800003</v>
      </c>
      <c r="AK135" s="10">
        <v>74336263552.899994</v>
      </c>
      <c r="AL135" s="10">
        <v>70056549657.649994</v>
      </c>
      <c r="AM135" s="10">
        <v>89803662902.25</v>
      </c>
      <c r="AN135" s="10">
        <v>673690837.5</v>
      </c>
      <c r="AO135" s="10">
        <v>0</v>
      </c>
      <c r="AP135" s="10">
        <v>83277821395.199997</v>
      </c>
      <c r="AQ135" s="10">
        <v>48933257993.75</v>
      </c>
      <c r="AR135" s="10">
        <v>42303999995.199997</v>
      </c>
      <c r="AS135" s="10">
        <v>31778005083</v>
      </c>
      <c r="AT135" s="10">
        <v>31786204282.5</v>
      </c>
      <c r="AU135" s="14">
        <v>45930</v>
      </c>
      <c r="AV135" s="14">
        <v>45657</v>
      </c>
      <c r="AW135" s="14">
        <v>45291</v>
      </c>
      <c r="AX135" s="14">
        <v>44926</v>
      </c>
      <c r="AY135" s="14">
        <v>44561</v>
      </c>
      <c r="AZ135" s="14">
        <v>44074</v>
      </c>
      <c r="BA135" s="14">
        <v>43830</v>
      </c>
      <c r="BB135" s="14">
        <v>43465</v>
      </c>
      <c r="BC135" s="14">
        <v>43100</v>
      </c>
      <c r="BD135" s="14">
        <v>42735</v>
      </c>
      <c r="BE135" s="14">
        <v>42369</v>
      </c>
      <c r="BF135" s="8" t="s">
        <v>35</v>
      </c>
      <c r="BG135" s="8" t="s">
        <v>35</v>
      </c>
      <c r="BH135" s="8" t="s">
        <v>35</v>
      </c>
      <c r="BI135" s="8" t="s">
        <v>35</v>
      </c>
      <c r="BJ135" s="8" t="s">
        <v>35</v>
      </c>
      <c r="BK135" s="8" t="s">
        <v>35</v>
      </c>
      <c r="BL135" s="8" t="s">
        <v>35</v>
      </c>
      <c r="BM135" s="8" t="s">
        <v>35</v>
      </c>
      <c r="BN135" s="8" t="s">
        <v>35</v>
      </c>
      <c r="BO135" s="8" t="s">
        <v>35</v>
      </c>
      <c r="BP135" s="8" t="s">
        <v>35</v>
      </c>
      <c r="BQ135" s="8" t="s">
        <v>31</v>
      </c>
      <c r="BR135" s="8" t="s">
        <v>36</v>
      </c>
      <c r="BS135" s="10">
        <v>391335089222958</v>
      </c>
      <c r="BT135" s="8" t="s">
        <v>41</v>
      </c>
      <c r="BU135" s="8" t="s">
        <v>42</v>
      </c>
      <c r="BV135" s="8" t="s">
        <v>42</v>
      </c>
      <c r="BW135" s="8" t="s">
        <v>42</v>
      </c>
      <c r="BX135" s="8" t="s">
        <v>27</v>
      </c>
      <c r="BY135" s="8" t="s">
        <v>43</v>
      </c>
      <c r="BZ135" s="8" t="s">
        <v>42</v>
      </c>
      <c r="CA135" s="8" t="s">
        <v>27</v>
      </c>
      <c r="CB135" s="8" t="s">
        <v>27</v>
      </c>
      <c r="CC135" s="8" t="s">
        <v>42</v>
      </c>
      <c r="CD135" s="8" t="s">
        <v>43</v>
      </c>
      <c r="CE135" s="8" t="s">
        <v>27</v>
      </c>
      <c r="CF135" s="8" t="s">
        <v>50</v>
      </c>
      <c r="CG135" s="8" t="s">
        <v>51</v>
      </c>
    </row>
    <row r="136" spans="1:85" ht="15.75" customHeight="1" x14ac:dyDescent="0.35">
      <c r="A136" s="8">
        <v>129</v>
      </c>
      <c r="B136" s="8" t="s">
        <v>244</v>
      </c>
      <c r="C136" s="9">
        <v>1.2E-4</v>
      </c>
      <c r="D136" s="9">
        <v>1.22E-4</v>
      </c>
      <c r="E136" s="9">
        <v>6.0999999999999999E-5</v>
      </c>
      <c r="F136" s="8"/>
      <c r="G136" s="8"/>
      <c r="H136" s="8"/>
      <c r="I136" s="8"/>
      <c r="J136" s="8"/>
      <c r="K136" s="8"/>
      <c r="L136" s="9">
        <v>1.9000000000000001E-5</v>
      </c>
      <c r="M136" s="9">
        <v>3.4999999999999997E-5</v>
      </c>
      <c r="N136" s="10">
        <v>11075968</v>
      </c>
      <c r="O136" s="10">
        <v>11313665</v>
      </c>
      <c r="P136" s="10">
        <v>5667333</v>
      </c>
      <c r="Q136" s="8"/>
      <c r="R136" s="8"/>
      <c r="S136" s="8"/>
      <c r="T136" s="8"/>
      <c r="U136" s="8"/>
      <c r="V136" s="8"/>
      <c r="W136" s="10">
        <v>1795200</v>
      </c>
      <c r="X136" s="10">
        <v>3195188</v>
      </c>
      <c r="Y136" s="12">
        <v>-237697</v>
      </c>
      <c r="Z136" s="13">
        <v>5646332</v>
      </c>
      <c r="AA136" s="13">
        <v>5667333</v>
      </c>
      <c r="AB136" s="8"/>
      <c r="AC136" s="8"/>
      <c r="AD136" s="8"/>
      <c r="AE136" s="8"/>
      <c r="AF136" s="8"/>
      <c r="AG136" s="8"/>
      <c r="AH136" s="12">
        <v>-1399988</v>
      </c>
      <c r="AI136" s="11">
        <v>0</v>
      </c>
      <c r="AJ136" s="10">
        <v>66896921860.25</v>
      </c>
      <c r="AK136" s="10">
        <v>69469397395.199997</v>
      </c>
      <c r="AL136" s="10">
        <v>33153898057</v>
      </c>
      <c r="AM136" s="8"/>
      <c r="AN136" s="8"/>
      <c r="AO136" s="8"/>
      <c r="AP136" s="8"/>
      <c r="AQ136" s="8"/>
      <c r="AR136" s="8"/>
      <c r="AS136" s="10">
        <v>4308480015.3000002</v>
      </c>
      <c r="AT136" s="10">
        <v>6949533941.75</v>
      </c>
      <c r="AU136" s="14">
        <v>45688</v>
      </c>
      <c r="AV136" s="14">
        <v>45626</v>
      </c>
      <c r="AW136" s="14">
        <v>45260</v>
      </c>
      <c r="AX136" s="8"/>
      <c r="AY136" s="8"/>
      <c r="AZ136" s="8"/>
      <c r="BA136" s="8"/>
      <c r="BB136" s="8"/>
      <c r="BC136" s="8"/>
      <c r="BD136" s="14">
        <v>42400</v>
      </c>
      <c r="BE136" s="14">
        <v>42308</v>
      </c>
      <c r="BF136" s="8" t="s">
        <v>35</v>
      </c>
      <c r="BG136" s="8" t="s">
        <v>35</v>
      </c>
      <c r="BH136" s="8" t="s">
        <v>35</v>
      </c>
      <c r="BI136" s="8"/>
      <c r="BJ136" s="8"/>
      <c r="BK136" s="8"/>
      <c r="BL136" s="8"/>
      <c r="BM136" s="8"/>
      <c r="BN136" s="8"/>
      <c r="BO136" s="8" t="s">
        <v>35</v>
      </c>
      <c r="BP136" s="8" t="s">
        <v>35</v>
      </c>
      <c r="BQ136" s="8" t="s">
        <v>31</v>
      </c>
      <c r="BR136" s="8" t="s">
        <v>49</v>
      </c>
      <c r="BS136" s="10">
        <v>277232489791703</v>
      </c>
      <c r="BT136" s="8" t="s">
        <v>57</v>
      </c>
      <c r="BU136" s="8" t="s">
        <v>27</v>
      </c>
      <c r="BV136" s="8" t="s">
        <v>42</v>
      </c>
      <c r="BW136" s="8" t="s">
        <v>42</v>
      </c>
      <c r="BX136" s="8"/>
      <c r="BY136" s="8"/>
      <c r="BZ136" s="8"/>
      <c r="CA136" s="8"/>
      <c r="CB136" s="8"/>
      <c r="CC136" s="8"/>
      <c r="CD136" s="8" t="s">
        <v>42</v>
      </c>
      <c r="CE136" s="8" t="s">
        <v>42</v>
      </c>
      <c r="CF136" s="8" t="s">
        <v>180</v>
      </c>
      <c r="CG136" s="8" t="s">
        <v>181</v>
      </c>
    </row>
    <row r="137" spans="1:85" ht="15.75" customHeight="1" x14ac:dyDescent="0.35">
      <c r="A137" s="8">
        <v>130</v>
      </c>
      <c r="B137" s="8" t="s">
        <v>245</v>
      </c>
      <c r="C137" s="9">
        <v>1.2E-4</v>
      </c>
      <c r="D137" s="9">
        <v>1.02E-4</v>
      </c>
      <c r="E137" s="9">
        <v>1.54E-4</v>
      </c>
      <c r="F137" s="9">
        <v>2.33E-4</v>
      </c>
      <c r="G137" s="9">
        <v>2.6400000000000002E-4</v>
      </c>
      <c r="H137" s="9">
        <v>1.6100000000000001E-4</v>
      </c>
      <c r="I137" s="9">
        <v>1.55E-4</v>
      </c>
      <c r="J137" s="9">
        <v>3.0000000000000001E-5</v>
      </c>
      <c r="K137" s="8"/>
      <c r="L137" s="9">
        <v>0</v>
      </c>
      <c r="M137" s="9">
        <v>0</v>
      </c>
      <c r="N137" s="10">
        <v>11070200</v>
      </c>
      <c r="O137" s="10">
        <v>9384000</v>
      </c>
      <c r="P137" s="10">
        <v>14241700</v>
      </c>
      <c r="Q137" s="10">
        <v>21528400</v>
      </c>
      <c r="R137" s="10">
        <v>24369600</v>
      </c>
      <c r="S137" s="10">
        <v>14836800</v>
      </c>
      <c r="T137" s="10">
        <v>14358600</v>
      </c>
      <c r="U137" s="10">
        <v>2800000</v>
      </c>
      <c r="V137" s="8"/>
      <c r="W137" s="10">
        <v>0</v>
      </c>
      <c r="X137" s="10">
        <v>0</v>
      </c>
      <c r="Y137" s="13">
        <v>1686200</v>
      </c>
      <c r="Z137" s="12">
        <v>-4857700</v>
      </c>
      <c r="AA137" s="12">
        <v>-7286700</v>
      </c>
      <c r="AB137" s="12">
        <v>-2841200</v>
      </c>
      <c r="AC137" s="13">
        <v>9532800</v>
      </c>
      <c r="AD137" s="13">
        <v>478200</v>
      </c>
      <c r="AE137" s="13">
        <v>11558600</v>
      </c>
      <c r="AF137" s="13">
        <v>2800000</v>
      </c>
      <c r="AG137" s="8"/>
      <c r="AH137" s="11">
        <v>0</v>
      </c>
      <c r="AI137" s="11">
        <v>0</v>
      </c>
      <c r="AJ137" s="10">
        <v>48694265999.400002</v>
      </c>
      <c r="AK137" s="10">
        <v>53356155676.699997</v>
      </c>
      <c r="AL137" s="10">
        <v>80821647472</v>
      </c>
      <c r="AM137" s="10">
        <v>106834685113.75</v>
      </c>
      <c r="AN137" s="10">
        <v>85508211420</v>
      </c>
      <c r="AO137" s="10">
        <v>46921379965.199997</v>
      </c>
      <c r="AP137" s="10">
        <v>50075617449</v>
      </c>
      <c r="AQ137" s="10">
        <v>9414999931</v>
      </c>
      <c r="AR137" s="8"/>
      <c r="AS137" s="10">
        <v>0</v>
      </c>
      <c r="AT137" s="10">
        <v>0</v>
      </c>
      <c r="AU137" s="14">
        <v>45930</v>
      </c>
      <c r="AV137" s="14">
        <v>45657</v>
      </c>
      <c r="AW137" s="14">
        <v>45230</v>
      </c>
      <c r="AX137" s="14">
        <v>44926</v>
      </c>
      <c r="AY137" s="14">
        <v>44561</v>
      </c>
      <c r="AZ137" s="14">
        <v>44196</v>
      </c>
      <c r="BA137" s="14">
        <v>43738</v>
      </c>
      <c r="BB137" s="14">
        <v>43373</v>
      </c>
      <c r="BC137" s="8"/>
      <c r="BD137" s="14">
        <v>42338</v>
      </c>
      <c r="BE137" s="14">
        <v>42338</v>
      </c>
      <c r="BF137" s="8" t="s">
        <v>35</v>
      </c>
      <c r="BG137" s="8" t="s">
        <v>35</v>
      </c>
      <c r="BH137" s="8" t="s">
        <v>35</v>
      </c>
      <c r="BI137" s="8" t="s">
        <v>35</v>
      </c>
      <c r="BJ137" s="8" t="s">
        <v>35</v>
      </c>
      <c r="BK137" s="8" t="s">
        <v>35</v>
      </c>
      <c r="BL137" s="8" t="s">
        <v>35</v>
      </c>
      <c r="BM137" s="8" t="s">
        <v>35</v>
      </c>
      <c r="BN137" s="8"/>
      <c r="BO137" s="8" t="s">
        <v>35</v>
      </c>
      <c r="BP137" s="8" t="s">
        <v>35</v>
      </c>
      <c r="BQ137" s="8" t="s">
        <v>31</v>
      </c>
      <c r="BR137" s="8" t="s">
        <v>36</v>
      </c>
      <c r="BS137" s="10">
        <v>222040338455708</v>
      </c>
      <c r="BT137" s="8" t="s">
        <v>57</v>
      </c>
      <c r="BU137" s="8" t="s">
        <v>27</v>
      </c>
      <c r="BV137" s="8" t="s">
        <v>27</v>
      </c>
      <c r="BW137" s="8" t="s">
        <v>42</v>
      </c>
      <c r="BX137" s="8" t="s">
        <v>27</v>
      </c>
      <c r="BY137" s="8" t="s">
        <v>27</v>
      </c>
      <c r="BZ137" s="8" t="s">
        <v>27</v>
      </c>
      <c r="CA137" s="8" t="s">
        <v>27</v>
      </c>
      <c r="CB137" s="8" t="s">
        <v>27</v>
      </c>
      <c r="CC137" s="8"/>
      <c r="CD137" s="8" t="s">
        <v>27</v>
      </c>
      <c r="CE137" s="8" t="s">
        <v>27</v>
      </c>
      <c r="CF137" s="8" t="s">
        <v>65</v>
      </c>
      <c r="CG137" s="8" t="s">
        <v>65</v>
      </c>
    </row>
    <row r="138" spans="1:85" ht="15.75" customHeight="1" x14ac:dyDescent="0.35">
      <c r="A138" s="8">
        <v>131</v>
      </c>
      <c r="B138" s="8" t="s">
        <v>246</v>
      </c>
      <c r="C138" s="9">
        <v>1.18E-4</v>
      </c>
      <c r="D138" s="9">
        <v>1.08E-4</v>
      </c>
      <c r="E138" s="9">
        <v>7.8999999999999996E-5</v>
      </c>
      <c r="F138" s="9">
        <v>1.0900000000000001E-4</v>
      </c>
      <c r="G138" s="8"/>
      <c r="H138" s="8"/>
      <c r="I138" s="8"/>
      <c r="J138" s="8"/>
      <c r="K138" s="8"/>
      <c r="L138" s="8"/>
      <c r="M138" s="8"/>
      <c r="N138" s="10">
        <v>10934200</v>
      </c>
      <c r="O138" s="10">
        <v>9965100</v>
      </c>
      <c r="P138" s="10">
        <v>7301722</v>
      </c>
      <c r="Q138" s="10">
        <v>10084400</v>
      </c>
      <c r="R138" s="8"/>
      <c r="S138" s="8"/>
      <c r="T138" s="8"/>
      <c r="U138" s="8"/>
      <c r="V138" s="8"/>
      <c r="W138" s="8"/>
      <c r="X138" s="8"/>
      <c r="Y138" s="13">
        <v>969100</v>
      </c>
      <c r="Z138" s="13">
        <v>2663378</v>
      </c>
      <c r="AA138" s="12">
        <v>-2782678</v>
      </c>
      <c r="AB138" s="13">
        <v>10084400</v>
      </c>
      <c r="AC138" s="8"/>
      <c r="AD138" s="8"/>
      <c r="AE138" s="8"/>
      <c r="AF138" s="8"/>
      <c r="AG138" s="8"/>
      <c r="AH138" s="8"/>
      <c r="AI138" s="8"/>
      <c r="AJ138" s="10">
        <v>53461008940.5</v>
      </c>
      <c r="AK138" s="10">
        <v>56660211754.5</v>
      </c>
      <c r="AL138" s="10">
        <v>44175418139.550003</v>
      </c>
      <c r="AM138" s="10">
        <v>50043834965.300003</v>
      </c>
      <c r="AN138" s="8"/>
      <c r="AO138" s="8"/>
      <c r="AP138" s="8"/>
      <c r="AQ138" s="8"/>
      <c r="AR138" s="8"/>
      <c r="AS138" s="8"/>
      <c r="AT138" s="8"/>
      <c r="AU138" s="14">
        <v>45838</v>
      </c>
      <c r="AV138" s="14">
        <v>45657</v>
      </c>
      <c r="AW138" s="14">
        <v>45291</v>
      </c>
      <c r="AX138" s="14">
        <v>44926</v>
      </c>
      <c r="AY138" s="8"/>
      <c r="AZ138" s="8"/>
      <c r="BA138" s="8"/>
      <c r="BB138" s="8"/>
      <c r="BC138" s="8"/>
      <c r="BD138" s="8"/>
      <c r="BE138" s="8"/>
      <c r="BF138" s="8" t="s">
        <v>35</v>
      </c>
      <c r="BG138" s="8" t="s">
        <v>35</v>
      </c>
      <c r="BH138" s="8" t="s">
        <v>35</v>
      </c>
      <c r="BI138" s="8" t="s">
        <v>35</v>
      </c>
      <c r="BJ138" s="8"/>
      <c r="BK138" s="8"/>
      <c r="BL138" s="8"/>
      <c r="BM138" s="8"/>
      <c r="BN138" s="8"/>
      <c r="BO138" s="8"/>
      <c r="BP138" s="8"/>
      <c r="BQ138" s="8" t="s">
        <v>31</v>
      </c>
      <c r="BR138" s="8" t="s">
        <v>160</v>
      </c>
      <c r="BS138" s="10">
        <v>81202838750226</v>
      </c>
      <c r="BT138" s="8"/>
      <c r="BU138" s="8" t="s">
        <v>27</v>
      </c>
      <c r="BV138" s="8" t="s">
        <v>27</v>
      </c>
      <c r="BW138" s="8" t="s">
        <v>27</v>
      </c>
      <c r="BX138" s="8" t="s">
        <v>27</v>
      </c>
      <c r="BY138" s="8"/>
      <c r="BZ138" s="8"/>
      <c r="CA138" s="8"/>
      <c r="CB138" s="8"/>
      <c r="CC138" s="8"/>
      <c r="CD138" s="8"/>
      <c r="CE138" s="8"/>
      <c r="CF138" s="8" t="s">
        <v>232</v>
      </c>
      <c r="CG138" s="8" t="s">
        <v>232</v>
      </c>
    </row>
    <row r="139" spans="1:85" ht="15.75" hidden="1" customHeight="1" x14ac:dyDescent="0.35">
      <c r="A139" s="8">
        <v>132</v>
      </c>
      <c r="B139" s="8" t="s">
        <v>247</v>
      </c>
      <c r="C139" s="9">
        <v>1.18E-4</v>
      </c>
      <c r="D139" s="9">
        <v>1.18E-4</v>
      </c>
      <c r="E139" s="9">
        <v>6.7999999999999999E-5</v>
      </c>
      <c r="F139" s="9">
        <v>3.0000000000000001E-5</v>
      </c>
      <c r="G139" s="9">
        <v>1.9999999999999999E-6</v>
      </c>
      <c r="H139" s="8"/>
      <c r="I139" s="8"/>
      <c r="J139" s="8"/>
      <c r="K139" s="8"/>
      <c r="L139" s="8"/>
      <c r="M139" s="8"/>
      <c r="N139" s="10">
        <v>10869800</v>
      </c>
      <c r="O139" s="10">
        <v>10869800</v>
      </c>
      <c r="P139" s="10">
        <v>6305100</v>
      </c>
      <c r="Q139" s="10">
        <v>2786800</v>
      </c>
      <c r="R139" s="10">
        <v>166800</v>
      </c>
      <c r="S139" s="8"/>
      <c r="T139" s="8"/>
      <c r="U139" s="8"/>
      <c r="V139" s="8"/>
      <c r="W139" s="8"/>
      <c r="X139" s="8"/>
      <c r="Y139" s="11">
        <v>0</v>
      </c>
      <c r="Z139" s="13">
        <v>4564700</v>
      </c>
      <c r="AA139" s="13">
        <v>3518300</v>
      </c>
      <c r="AB139" s="13">
        <v>2620000</v>
      </c>
      <c r="AC139" s="13">
        <v>166800</v>
      </c>
      <c r="AD139" s="8"/>
      <c r="AE139" s="8"/>
      <c r="AF139" s="8"/>
      <c r="AG139" s="8"/>
      <c r="AH139" s="8"/>
      <c r="AI139" s="8"/>
      <c r="AJ139" s="10">
        <v>61804213716.5</v>
      </c>
      <c r="AK139" s="10">
        <v>61804213716.5</v>
      </c>
      <c r="AL139" s="10">
        <v>38145854929.75</v>
      </c>
      <c r="AM139" s="10">
        <v>13829495028.799999</v>
      </c>
      <c r="AN139" s="10">
        <v>585268875</v>
      </c>
      <c r="AO139" s="8"/>
      <c r="AP139" s="8"/>
      <c r="AQ139" s="8"/>
      <c r="AR139" s="8"/>
      <c r="AS139" s="8"/>
      <c r="AT139" s="8"/>
      <c r="AU139" s="14">
        <v>45657</v>
      </c>
      <c r="AV139" s="14">
        <v>45657</v>
      </c>
      <c r="AW139" s="14">
        <v>45291</v>
      </c>
      <c r="AX139" s="14">
        <v>44926</v>
      </c>
      <c r="AY139" s="14">
        <v>44561</v>
      </c>
      <c r="AZ139" s="8"/>
      <c r="BA139" s="8"/>
      <c r="BB139" s="8"/>
      <c r="BC139" s="8"/>
      <c r="BD139" s="8"/>
      <c r="BE139" s="8"/>
      <c r="BF139" s="8" t="s">
        <v>201</v>
      </c>
      <c r="BG139" s="8" t="s">
        <v>201</v>
      </c>
      <c r="BH139" s="8" t="s">
        <v>201</v>
      </c>
      <c r="BI139" s="8" t="s">
        <v>201</v>
      </c>
      <c r="BJ139" s="8" t="s">
        <v>201</v>
      </c>
      <c r="BK139" s="8"/>
      <c r="BL139" s="8"/>
      <c r="BM139" s="8"/>
      <c r="BN139" s="8"/>
      <c r="BO139" s="8"/>
      <c r="BP139" s="8"/>
      <c r="BQ139" s="8" t="s">
        <v>25</v>
      </c>
      <c r="BR139" s="8" t="s">
        <v>202</v>
      </c>
      <c r="BS139" s="10">
        <v>64070496258</v>
      </c>
      <c r="BT139" s="8"/>
      <c r="BU139" s="8" t="s">
        <v>27</v>
      </c>
      <c r="BV139" s="8" t="s">
        <v>27</v>
      </c>
      <c r="BW139" s="8" t="s">
        <v>27</v>
      </c>
      <c r="BX139" s="8" t="s">
        <v>43</v>
      </c>
      <c r="BY139" s="8" t="s">
        <v>27</v>
      </c>
      <c r="BZ139" s="8"/>
      <c r="CA139" s="8"/>
      <c r="CB139" s="8"/>
      <c r="CC139" s="8"/>
      <c r="CD139" s="8"/>
      <c r="CE139" s="8"/>
      <c r="CF139" s="8"/>
      <c r="CG139" s="8" t="s">
        <v>29</v>
      </c>
    </row>
    <row r="140" spans="1:85" ht="15.75" customHeight="1" x14ac:dyDescent="0.35">
      <c r="A140" s="8">
        <v>133</v>
      </c>
      <c r="B140" s="8" t="s">
        <v>248</v>
      </c>
      <c r="C140" s="9">
        <v>1.16E-4</v>
      </c>
      <c r="D140" s="9">
        <v>6.0000000000000002E-5</v>
      </c>
      <c r="E140" s="9">
        <v>1.07E-4</v>
      </c>
      <c r="F140" s="9">
        <v>1.7E-5</v>
      </c>
      <c r="G140" s="9">
        <v>1.7E-5</v>
      </c>
      <c r="H140" s="8"/>
      <c r="I140" s="8"/>
      <c r="J140" s="8"/>
      <c r="K140" s="8"/>
      <c r="L140" s="8"/>
      <c r="M140" s="8"/>
      <c r="N140" s="10">
        <v>10750000</v>
      </c>
      <c r="O140" s="10">
        <v>5500000</v>
      </c>
      <c r="P140" s="10">
        <v>9850000</v>
      </c>
      <c r="Q140" s="10">
        <v>1600000</v>
      </c>
      <c r="R140" s="10">
        <v>1600000</v>
      </c>
      <c r="S140" s="8"/>
      <c r="T140" s="8"/>
      <c r="U140" s="8"/>
      <c r="V140" s="8"/>
      <c r="W140" s="8"/>
      <c r="X140" s="8"/>
      <c r="Y140" s="13">
        <v>5250000</v>
      </c>
      <c r="Z140" s="12">
        <v>-4350000</v>
      </c>
      <c r="AA140" s="13">
        <v>8250000</v>
      </c>
      <c r="AB140" s="11">
        <v>0</v>
      </c>
      <c r="AC140" s="13">
        <v>1600000</v>
      </c>
      <c r="AD140" s="8"/>
      <c r="AE140" s="8"/>
      <c r="AF140" s="8"/>
      <c r="AG140" s="8"/>
      <c r="AH140" s="8"/>
      <c r="AI140" s="8"/>
      <c r="AJ140" s="10">
        <v>47285808607.800003</v>
      </c>
      <c r="AK140" s="10">
        <v>31272256584.200001</v>
      </c>
      <c r="AL140" s="10">
        <v>59592499957.800003</v>
      </c>
      <c r="AM140" s="10">
        <v>7940000055.8999996</v>
      </c>
      <c r="AN140" s="10">
        <v>5614090455</v>
      </c>
      <c r="AO140" s="8"/>
      <c r="AP140" s="8"/>
      <c r="AQ140" s="8"/>
      <c r="AR140" s="8"/>
      <c r="AS140" s="8"/>
      <c r="AT140" s="8"/>
      <c r="AU140" s="14">
        <v>45930</v>
      </c>
      <c r="AV140" s="14">
        <v>45657</v>
      </c>
      <c r="AW140" s="14">
        <v>45291</v>
      </c>
      <c r="AX140" s="14">
        <v>44926</v>
      </c>
      <c r="AY140" s="14">
        <v>44561</v>
      </c>
      <c r="AZ140" s="8"/>
      <c r="BA140" s="8"/>
      <c r="BB140" s="8"/>
      <c r="BC140" s="8"/>
      <c r="BD140" s="8"/>
      <c r="BE140" s="8"/>
      <c r="BF140" s="8" t="s">
        <v>35</v>
      </c>
      <c r="BG140" s="8" t="s">
        <v>35</v>
      </c>
      <c r="BH140" s="8" t="s">
        <v>35</v>
      </c>
      <c r="BI140" s="8" t="s">
        <v>35</v>
      </c>
      <c r="BJ140" s="8" t="s">
        <v>35</v>
      </c>
      <c r="BK140" s="8"/>
      <c r="BL140" s="8"/>
      <c r="BM140" s="8"/>
      <c r="BN140" s="8"/>
      <c r="BO140" s="8"/>
      <c r="BP140" s="8"/>
      <c r="BQ140" s="8" t="s">
        <v>31</v>
      </c>
      <c r="BR140" s="8" t="s">
        <v>36</v>
      </c>
      <c r="BS140" s="10">
        <v>7634537343510</v>
      </c>
      <c r="BT140" s="8" t="s">
        <v>61</v>
      </c>
      <c r="BU140" s="8" t="s">
        <v>27</v>
      </c>
      <c r="BV140" s="8" t="s">
        <v>27</v>
      </c>
      <c r="BW140" s="8" t="s">
        <v>27</v>
      </c>
      <c r="BX140" s="8" t="s">
        <v>27</v>
      </c>
      <c r="BY140" s="8" t="s">
        <v>27</v>
      </c>
      <c r="BZ140" s="8"/>
      <c r="CA140" s="8"/>
      <c r="CB140" s="8"/>
      <c r="CC140" s="8"/>
      <c r="CD140" s="8"/>
      <c r="CE140" s="8"/>
      <c r="CF140" s="8" t="s">
        <v>249</v>
      </c>
      <c r="CG140" s="8" t="s">
        <v>174</v>
      </c>
    </row>
    <row r="141" spans="1:85" ht="15.75" customHeight="1" x14ac:dyDescent="0.35">
      <c r="A141" s="8">
        <v>134</v>
      </c>
      <c r="B141" s="8" t="s">
        <v>250</v>
      </c>
      <c r="C141" s="9">
        <v>1.13E-4</v>
      </c>
      <c r="D141" s="9">
        <v>5.3000000000000001E-5</v>
      </c>
      <c r="E141" s="8"/>
      <c r="F141" s="8"/>
      <c r="G141" s="8"/>
      <c r="H141" s="8"/>
      <c r="I141" s="8"/>
      <c r="J141" s="8"/>
      <c r="K141" s="8"/>
      <c r="L141" s="8"/>
      <c r="M141" s="8"/>
      <c r="N141" s="10">
        <v>10460700</v>
      </c>
      <c r="O141" s="10">
        <v>4858300</v>
      </c>
      <c r="P141" s="8"/>
      <c r="Q141" s="8"/>
      <c r="R141" s="8"/>
      <c r="S141" s="8"/>
      <c r="T141" s="8"/>
      <c r="U141" s="8"/>
      <c r="V141" s="8"/>
      <c r="W141" s="8"/>
      <c r="X141" s="8"/>
      <c r="Y141" s="13">
        <v>5602400</v>
      </c>
      <c r="Z141" s="13">
        <v>4858300</v>
      </c>
      <c r="AA141" s="8"/>
      <c r="AB141" s="8"/>
      <c r="AC141" s="8"/>
      <c r="AD141" s="8"/>
      <c r="AE141" s="8"/>
      <c r="AF141" s="8"/>
      <c r="AG141" s="8"/>
      <c r="AH141" s="8"/>
      <c r="AI141" s="8"/>
      <c r="AJ141" s="10">
        <v>46013270493.400002</v>
      </c>
      <c r="AK141" s="10">
        <v>27623637178.900002</v>
      </c>
      <c r="AL141" s="8"/>
      <c r="AM141" s="8"/>
      <c r="AN141" s="8"/>
      <c r="AO141" s="8"/>
      <c r="AP141" s="8"/>
      <c r="AQ141" s="8"/>
      <c r="AR141" s="8"/>
      <c r="AS141" s="8"/>
      <c r="AT141" s="8"/>
      <c r="AU141" s="14">
        <v>45930</v>
      </c>
      <c r="AV141" s="14">
        <v>45657</v>
      </c>
      <c r="AW141" s="8"/>
      <c r="AX141" s="8"/>
      <c r="AY141" s="8"/>
      <c r="AZ141" s="8"/>
      <c r="BA141" s="8"/>
      <c r="BB141" s="8"/>
      <c r="BC141" s="8"/>
      <c r="BD141" s="8"/>
      <c r="BE141" s="8"/>
      <c r="BF141" s="8" t="s">
        <v>35</v>
      </c>
      <c r="BG141" s="8" t="s">
        <v>35</v>
      </c>
      <c r="BH141" s="8"/>
      <c r="BI141" s="8"/>
      <c r="BJ141" s="8"/>
      <c r="BK141" s="8"/>
      <c r="BL141" s="8"/>
      <c r="BM141" s="8"/>
      <c r="BN141" s="8"/>
      <c r="BO141" s="8"/>
      <c r="BP141" s="8"/>
      <c r="BQ141" s="8" t="s">
        <v>31</v>
      </c>
      <c r="BR141" s="8" t="s">
        <v>36</v>
      </c>
      <c r="BS141" s="10">
        <v>999132166217868</v>
      </c>
      <c r="BT141" s="8" t="s">
        <v>57</v>
      </c>
      <c r="BU141" s="8" t="s">
        <v>42</v>
      </c>
      <c r="BV141" s="8" t="s">
        <v>42</v>
      </c>
      <c r="BW141" s="8"/>
      <c r="BX141" s="8"/>
      <c r="BY141" s="8"/>
      <c r="BZ141" s="8"/>
      <c r="CA141" s="8"/>
      <c r="CB141" s="8"/>
      <c r="CC141" s="8"/>
      <c r="CD141" s="8"/>
      <c r="CE141" s="8"/>
      <c r="CF141" s="8" t="s">
        <v>50</v>
      </c>
      <c r="CG141" s="8" t="s">
        <v>51</v>
      </c>
    </row>
    <row r="142" spans="1:85" ht="15.75" customHeight="1" x14ac:dyDescent="0.35">
      <c r="A142" s="8">
        <v>135</v>
      </c>
      <c r="B142" s="8" t="s">
        <v>251</v>
      </c>
      <c r="C142" s="9">
        <v>1.13E-4</v>
      </c>
      <c r="D142" s="9">
        <v>6.7000000000000002E-5</v>
      </c>
      <c r="E142" s="9">
        <v>6.2000000000000003E-5</v>
      </c>
      <c r="F142" s="9">
        <v>0</v>
      </c>
      <c r="G142" s="9">
        <v>0</v>
      </c>
      <c r="H142" s="9">
        <v>0</v>
      </c>
      <c r="I142" s="9">
        <v>3.9999999999999998E-6</v>
      </c>
      <c r="J142" s="8"/>
      <c r="K142" s="8"/>
      <c r="L142" s="8"/>
      <c r="M142" s="8"/>
      <c r="N142" s="10">
        <v>10430539</v>
      </c>
      <c r="O142" s="10">
        <v>6231943</v>
      </c>
      <c r="P142" s="10">
        <v>5732258</v>
      </c>
      <c r="Q142" s="10">
        <v>0</v>
      </c>
      <c r="R142" s="10">
        <v>4506</v>
      </c>
      <c r="S142" s="10">
        <v>0</v>
      </c>
      <c r="T142" s="10">
        <v>329044</v>
      </c>
      <c r="U142" s="8"/>
      <c r="V142" s="8"/>
      <c r="W142" s="8"/>
      <c r="X142" s="8"/>
      <c r="Y142" s="13">
        <v>4198596</v>
      </c>
      <c r="Z142" s="13">
        <v>499685</v>
      </c>
      <c r="AA142" s="13">
        <v>5732258</v>
      </c>
      <c r="AB142" s="12">
        <v>-4506</v>
      </c>
      <c r="AC142" s="13">
        <v>4506</v>
      </c>
      <c r="AD142" s="12">
        <v>-329044</v>
      </c>
      <c r="AE142" s="13">
        <v>329044</v>
      </c>
      <c r="AF142" s="8"/>
      <c r="AG142" s="8"/>
      <c r="AH142" s="8"/>
      <c r="AI142" s="8"/>
      <c r="AJ142" s="10">
        <v>45880601915.400002</v>
      </c>
      <c r="AK142" s="10">
        <v>35433985606.800003</v>
      </c>
      <c r="AL142" s="10">
        <v>34680160856.550003</v>
      </c>
      <c r="AM142" s="10">
        <v>0</v>
      </c>
      <c r="AN142" s="10">
        <v>15810660</v>
      </c>
      <c r="AO142" s="10">
        <v>0</v>
      </c>
      <c r="AP142" s="10">
        <v>1259077840.8</v>
      </c>
      <c r="AQ142" s="8"/>
      <c r="AR142" s="8"/>
      <c r="AS142" s="8"/>
      <c r="AT142" s="8"/>
      <c r="AU142" s="14">
        <v>45930</v>
      </c>
      <c r="AV142" s="14">
        <v>45657</v>
      </c>
      <c r="AW142" s="14">
        <v>45291</v>
      </c>
      <c r="AX142" s="14">
        <v>44834</v>
      </c>
      <c r="AY142" s="14">
        <v>44561</v>
      </c>
      <c r="AZ142" s="14">
        <v>44012</v>
      </c>
      <c r="BA142" s="14">
        <v>43830</v>
      </c>
      <c r="BB142" s="8"/>
      <c r="BC142" s="8"/>
      <c r="BD142" s="8"/>
      <c r="BE142" s="8"/>
      <c r="BF142" s="8" t="s">
        <v>35</v>
      </c>
      <c r="BG142" s="8" t="s">
        <v>35</v>
      </c>
      <c r="BH142" s="8" t="s">
        <v>35</v>
      </c>
      <c r="BI142" s="8" t="s">
        <v>35</v>
      </c>
      <c r="BJ142" s="8" t="s">
        <v>35</v>
      </c>
      <c r="BK142" s="8" t="s">
        <v>35</v>
      </c>
      <c r="BL142" s="8" t="s">
        <v>35</v>
      </c>
      <c r="BM142" s="8"/>
      <c r="BN142" s="8"/>
      <c r="BO142" s="8"/>
      <c r="BP142" s="8"/>
      <c r="BQ142" s="8" t="s">
        <v>31</v>
      </c>
      <c r="BR142" s="8" t="s">
        <v>36</v>
      </c>
      <c r="BS142" s="10">
        <v>216292583945056</v>
      </c>
      <c r="BT142" s="8" t="s">
        <v>61</v>
      </c>
      <c r="BU142" s="8" t="s">
        <v>27</v>
      </c>
      <c r="BV142" s="8" t="s">
        <v>27</v>
      </c>
      <c r="BW142" s="8" t="s">
        <v>27</v>
      </c>
      <c r="BX142" s="8" t="s">
        <v>27</v>
      </c>
      <c r="BY142" s="8" t="s">
        <v>27</v>
      </c>
      <c r="BZ142" s="8" t="s">
        <v>42</v>
      </c>
      <c r="CA142" s="8" t="s">
        <v>42</v>
      </c>
      <c r="CB142" s="8"/>
      <c r="CC142" s="8"/>
      <c r="CD142" s="8"/>
      <c r="CE142" s="8"/>
      <c r="CF142" s="8" t="s">
        <v>145</v>
      </c>
      <c r="CG142" s="8" t="s">
        <v>146</v>
      </c>
    </row>
    <row r="143" spans="1:85" ht="15.75" hidden="1" customHeight="1" x14ac:dyDescent="0.35">
      <c r="A143" s="8">
        <v>136</v>
      </c>
      <c r="B143" s="8" t="s">
        <v>252</v>
      </c>
      <c r="C143" s="9">
        <v>1.12E-4</v>
      </c>
      <c r="D143" s="9">
        <v>7.6000000000000004E-5</v>
      </c>
      <c r="E143" s="9">
        <v>3.8999999999999999E-5</v>
      </c>
      <c r="F143" s="9">
        <v>1.2999999999999999E-5</v>
      </c>
      <c r="G143" s="8"/>
      <c r="H143" s="8"/>
      <c r="I143" s="8"/>
      <c r="J143" s="8"/>
      <c r="K143" s="8"/>
      <c r="L143" s="8"/>
      <c r="M143" s="8"/>
      <c r="N143" s="10">
        <v>10334300</v>
      </c>
      <c r="O143" s="10">
        <v>7036600</v>
      </c>
      <c r="P143" s="10">
        <v>3621900</v>
      </c>
      <c r="Q143" s="10">
        <v>1244200</v>
      </c>
      <c r="R143" s="8"/>
      <c r="S143" s="8"/>
      <c r="T143" s="8"/>
      <c r="U143" s="8"/>
      <c r="V143" s="8"/>
      <c r="W143" s="8"/>
      <c r="X143" s="8"/>
      <c r="Y143" s="13">
        <v>3297700</v>
      </c>
      <c r="Z143" s="13">
        <v>3414700</v>
      </c>
      <c r="AA143" s="13">
        <v>2377700</v>
      </c>
      <c r="AB143" s="13">
        <v>1244200</v>
      </c>
      <c r="AC143" s="8"/>
      <c r="AD143" s="8"/>
      <c r="AE143" s="8"/>
      <c r="AF143" s="8"/>
      <c r="AG143" s="8"/>
      <c r="AH143" s="8"/>
      <c r="AI143" s="8"/>
      <c r="AJ143" s="10">
        <v>45457277479.599998</v>
      </c>
      <c r="AK143" s="10">
        <v>40009156511.599998</v>
      </c>
      <c r="AL143" s="10">
        <v>21912494956.950001</v>
      </c>
      <c r="AM143" s="10">
        <v>6174342566.6999998</v>
      </c>
      <c r="AN143" s="8"/>
      <c r="AO143" s="8"/>
      <c r="AP143" s="8"/>
      <c r="AQ143" s="8"/>
      <c r="AR143" s="8"/>
      <c r="AS143" s="8"/>
      <c r="AT143" s="8"/>
      <c r="AU143" s="14">
        <v>45930</v>
      </c>
      <c r="AV143" s="14">
        <v>45657</v>
      </c>
      <c r="AW143" s="14">
        <v>45291</v>
      </c>
      <c r="AX143" s="14">
        <v>44926</v>
      </c>
      <c r="AY143" s="8"/>
      <c r="AZ143" s="8"/>
      <c r="BA143" s="8"/>
      <c r="BB143" s="8"/>
      <c r="BC143" s="8"/>
      <c r="BD143" s="8"/>
      <c r="BE143" s="8"/>
      <c r="BF143" s="8" t="s">
        <v>201</v>
      </c>
      <c r="BG143" s="8" t="s">
        <v>201</v>
      </c>
      <c r="BH143" s="8" t="s">
        <v>201</v>
      </c>
      <c r="BI143" s="8" t="s">
        <v>201</v>
      </c>
      <c r="BJ143" s="8"/>
      <c r="BK143" s="8"/>
      <c r="BL143" s="8"/>
      <c r="BM143" s="8"/>
      <c r="BN143" s="8"/>
      <c r="BO143" s="8"/>
      <c r="BP143" s="8"/>
      <c r="BQ143" s="8" t="s">
        <v>25</v>
      </c>
      <c r="BR143" s="8" t="s">
        <v>202</v>
      </c>
      <c r="BS143" s="10">
        <v>51928852707.599998</v>
      </c>
      <c r="BT143" s="8"/>
      <c r="BU143" s="8" t="s">
        <v>27</v>
      </c>
      <c r="BV143" s="8" t="s">
        <v>27</v>
      </c>
      <c r="BW143" s="8" t="s">
        <v>42</v>
      </c>
      <c r="BX143" s="8" t="s">
        <v>42</v>
      </c>
      <c r="BY143" s="8"/>
      <c r="BZ143" s="8"/>
      <c r="CA143" s="8"/>
      <c r="CB143" s="8"/>
      <c r="CC143" s="8"/>
      <c r="CD143" s="8"/>
      <c r="CE143" s="8"/>
      <c r="CF143" s="8"/>
      <c r="CG143" s="8" t="s">
        <v>29</v>
      </c>
    </row>
    <row r="144" spans="1:85" ht="15.75" customHeight="1" x14ac:dyDescent="0.35">
      <c r="A144" s="8">
        <v>137</v>
      </c>
      <c r="B144" s="8" t="s">
        <v>253</v>
      </c>
      <c r="C144" s="9">
        <v>1.08E-4</v>
      </c>
      <c r="D144" s="9">
        <v>7.6000000000000004E-5</v>
      </c>
      <c r="E144" s="8"/>
      <c r="F144" s="8"/>
      <c r="G144" s="8"/>
      <c r="H144" s="8"/>
      <c r="I144" s="8"/>
      <c r="J144" s="8"/>
      <c r="K144" s="8"/>
      <c r="L144" s="8"/>
      <c r="M144" s="8"/>
      <c r="N144" s="10">
        <v>9986726</v>
      </c>
      <c r="O144" s="10">
        <v>7002128</v>
      </c>
      <c r="P144" s="8"/>
      <c r="Q144" s="8"/>
      <c r="R144" s="8"/>
      <c r="S144" s="8"/>
      <c r="T144" s="8"/>
      <c r="U144" s="8"/>
      <c r="V144" s="8"/>
      <c r="W144" s="8"/>
      <c r="X144" s="8"/>
      <c r="Y144" s="13">
        <v>2984598</v>
      </c>
      <c r="Z144" s="13">
        <v>7002128</v>
      </c>
      <c r="AA144" s="8"/>
      <c r="AB144" s="8"/>
      <c r="AC144" s="8"/>
      <c r="AD144" s="8"/>
      <c r="AE144" s="8"/>
      <c r="AF144" s="8"/>
      <c r="AG144" s="8"/>
      <c r="AH144" s="8"/>
      <c r="AI144" s="8"/>
      <c r="AJ144" s="10">
        <v>47656393689.449997</v>
      </c>
      <c r="AK144" s="10">
        <v>39813153441.300003</v>
      </c>
      <c r="AL144" s="8"/>
      <c r="AM144" s="8"/>
      <c r="AN144" s="8"/>
      <c r="AO144" s="8"/>
      <c r="AP144" s="8"/>
      <c r="AQ144" s="8"/>
      <c r="AR144" s="8"/>
      <c r="AS144" s="8"/>
      <c r="AT144" s="8"/>
      <c r="AU144" s="14">
        <v>45900</v>
      </c>
      <c r="AV144" s="14">
        <v>45657</v>
      </c>
      <c r="AW144" s="8"/>
      <c r="AX144" s="8"/>
      <c r="AY144" s="8"/>
      <c r="AZ144" s="8"/>
      <c r="BA144" s="8"/>
      <c r="BB144" s="8"/>
      <c r="BC144" s="8"/>
      <c r="BD144" s="8"/>
      <c r="BE144" s="8"/>
      <c r="BF144" s="8" t="s">
        <v>35</v>
      </c>
      <c r="BG144" s="8" t="s">
        <v>35</v>
      </c>
      <c r="BH144" s="8"/>
      <c r="BI144" s="8"/>
      <c r="BJ144" s="8"/>
      <c r="BK144" s="8"/>
      <c r="BL144" s="8"/>
      <c r="BM144" s="8"/>
      <c r="BN144" s="8"/>
      <c r="BO144" s="8"/>
      <c r="BP144" s="8"/>
      <c r="BQ144" s="8" t="s">
        <v>31</v>
      </c>
      <c r="BR144" s="8" t="s">
        <v>36</v>
      </c>
      <c r="BS144" s="8"/>
      <c r="BT144" s="8"/>
      <c r="BU144" s="8" t="s">
        <v>43</v>
      </c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 t="s">
        <v>50</v>
      </c>
      <c r="CG144" s="8" t="s">
        <v>51</v>
      </c>
    </row>
    <row r="145" spans="1:85" ht="15.75" customHeight="1" x14ac:dyDescent="0.35">
      <c r="A145" s="8">
        <v>138</v>
      </c>
      <c r="B145" s="8" t="s">
        <v>254</v>
      </c>
      <c r="C145" s="9">
        <v>1.0399999999999999E-4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10">
        <v>9600000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13">
        <v>9600000</v>
      </c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0">
        <v>49859764608.5</v>
      </c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14">
        <v>45747</v>
      </c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 t="s">
        <v>35</v>
      </c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 t="s">
        <v>31</v>
      </c>
      <c r="BR145" s="8" t="s">
        <v>49</v>
      </c>
      <c r="BS145" s="10">
        <v>50178729947575.203</v>
      </c>
      <c r="BT145" s="8" t="s">
        <v>57</v>
      </c>
      <c r="BU145" s="8" t="s">
        <v>27</v>
      </c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 t="s">
        <v>173</v>
      </c>
      <c r="CG145" s="8" t="s">
        <v>174</v>
      </c>
    </row>
    <row r="146" spans="1:85" ht="15.75" customHeight="1" x14ac:dyDescent="0.35">
      <c r="A146" s="8">
        <v>139</v>
      </c>
      <c r="B146" s="8" t="s">
        <v>255</v>
      </c>
      <c r="C146" s="9">
        <v>1.02E-4</v>
      </c>
      <c r="D146" s="9">
        <v>6.2000000000000003E-5</v>
      </c>
      <c r="E146" s="9">
        <v>5.7000000000000003E-5</v>
      </c>
      <c r="F146" s="9">
        <v>7.6000000000000004E-5</v>
      </c>
      <c r="G146" s="9">
        <v>1.5200000000000001E-4</v>
      </c>
      <c r="H146" s="9">
        <v>1.06E-4</v>
      </c>
      <c r="I146" s="9">
        <v>1.07E-4</v>
      </c>
      <c r="J146" s="9">
        <v>1.11E-4</v>
      </c>
      <c r="K146" s="9">
        <v>1.37E-4</v>
      </c>
      <c r="L146" s="9">
        <v>2.7799999999999998E-4</v>
      </c>
      <c r="M146" s="9">
        <v>3.3700000000000001E-4</v>
      </c>
      <c r="N146" s="10">
        <v>9409504</v>
      </c>
      <c r="O146" s="10">
        <v>5725804</v>
      </c>
      <c r="P146" s="10">
        <v>5246004</v>
      </c>
      <c r="Q146" s="10">
        <v>7028204</v>
      </c>
      <c r="R146" s="10">
        <v>14024404</v>
      </c>
      <c r="S146" s="10">
        <v>9815804</v>
      </c>
      <c r="T146" s="10">
        <v>9850604</v>
      </c>
      <c r="U146" s="10">
        <v>10288004</v>
      </c>
      <c r="V146" s="10">
        <v>12682604</v>
      </c>
      <c r="W146" s="10">
        <v>25704604</v>
      </c>
      <c r="X146" s="10">
        <v>31145404</v>
      </c>
      <c r="Y146" s="13">
        <v>3683700</v>
      </c>
      <c r="Z146" s="13">
        <v>479800</v>
      </c>
      <c r="AA146" s="12">
        <v>-1782200</v>
      </c>
      <c r="AB146" s="12">
        <v>-6996200</v>
      </c>
      <c r="AC146" s="13">
        <v>4208600</v>
      </c>
      <c r="AD146" s="12">
        <v>-34800</v>
      </c>
      <c r="AE146" s="12">
        <v>-437400</v>
      </c>
      <c r="AF146" s="12">
        <v>-2394600</v>
      </c>
      <c r="AG146" s="12">
        <v>-13022000</v>
      </c>
      <c r="AH146" s="12">
        <v>-5440800</v>
      </c>
      <c r="AI146" s="12">
        <v>-440400</v>
      </c>
      <c r="AJ146" s="10">
        <v>41389395950</v>
      </c>
      <c r="AK146" s="10">
        <v>32556147675.700001</v>
      </c>
      <c r="AL146" s="10">
        <v>31738324148.549999</v>
      </c>
      <c r="AM146" s="10">
        <v>34877462397.800003</v>
      </c>
      <c r="AN146" s="10">
        <v>49208920230</v>
      </c>
      <c r="AO146" s="10">
        <v>31042480154.400002</v>
      </c>
      <c r="AP146" s="10">
        <v>37693067376.800003</v>
      </c>
      <c r="AQ146" s="10">
        <v>37467852150</v>
      </c>
      <c r="AR146" s="10">
        <v>50730416029.099998</v>
      </c>
      <c r="AS146" s="10">
        <v>74382697910.699997</v>
      </c>
      <c r="AT146" s="10">
        <v>72049880295</v>
      </c>
      <c r="AU146" s="14">
        <v>45930</v>
      </c>
      <c r="AV146" s="14">
        <v>45657</v>
      </c>
      <c r="AW146" s="14">
        <v>45291</v>
      </c>
      <c r="AX146" s="14">
        <v>44926</v>
      </c>
      <c r="AY146" s="14">
        <v>44561</v>
      </c>
      <c r="AZ146" s="14">
        <v>44196</v>
      </c>
      <c r="BA146" s="14">
        <v>43830</v>
      </c>
      <c r="BB146" s="14">
        <v>43465</v>
      </c>
      <c r="BC146" s="14">
        <v>43100</v>
      </c>
      <c r="BD146" s="14">
        <v>42735</v>
      </c>
      <c r="BE146" s="14">
        <v>42369</v>
      </c>
      <c r="BF146" s="8" t="s">
        <v>35</v>
      </c>
      <c r="BG146" s="8" t="s">
        <v>35</v>
      </c>
      <c r="BH146" s="8" t="s">
        <v>35</v>
      </c>
      <c r="BI146" s="8" t="s">
        <v>35</v>
      </c>
      <c r="BJ146" s="8" t="s">
        <v>35</v>
      </c>
      <c r="BK146" s="8" t="s">
        <v>35</v>
      </c>
      <c r="BL146" s="8" t="s">
        <v>35</v>
      </c>
      <c r="BM146" s="8" t="s">
        <v>35</v>
      </c>
      <c r="BN146" s="8" t="s">
        <v>35</v>
      </c>
      <c r="BO146" s="8" t="s">
        <v>35</v>
      </c>
      <c r="BP146" s="8" t="s">
        <v>35</v>
      </c>
      <c r="BQ146" s="8" t="s">
        <v>31</v>
      </c>
      <c r="BR146" s="8" t="s">
        <v>49</v>
      </c>
      <c r="BS146" s="10">
        <v>1703153816073570</v>
      </c>
      <c r="BT146" s="8" t="s">
        <v>46</v>
      </c>
      <c r="BU146" s="8" t="s">
        <v>27</v>
      </c>
      <c r="BV146" s="8" t="s">
        <v>27</v>
      </c>
      <c r="BW146" s="8" t="s">
        <v>27</v>
      </c>
      <c r="BX146" s="8" t="s">
        <v>27</v>
      </c>
      <c r="BY146" s="8" t="s">
        <v>27</v>
      </c>
      <c r="BZ146" s="8" t="s">
        <v>27</v>
      </c>
      <c r="CA146" s="8" t="s">
        <v>27</v>
      </c>
      <c r="CB146" s="8" t="s">
        <v>27</v>
      </c>
      <c r="CC146" s="8" t="s">
        <v>27</v>
      </c>
      <c r="CD146" s="8" t="s">
        <v>27</v>
      </c>
      <c r="CE146" s="8" t="s">
        <v>27</v>
      </c>
      <c r="CF146" s="8" t="s">
        <v>82</v>
      </c>
      <c r="CG146" s="8" t="s">
        <v>39</v>
      </c>
    </row>
    <row r="147" spans="1:85" ht="15.75" hidden="1" customHeight="1" x14ac:dyDescent="0.35">
      <c r="A147" s="8">
        <v>140</v>
      </c>
      <c r="B147" s="8" t="s">
        <v>256</v>
      </c>
      <c r="C147" s="9">
        <v>1.02E-4</v>
      </c>
      <c r="D147" s="9">
        <v>6.6000000000000005E-5</v>
      </c>
      <c r="E147" s="9">
        <v>3.4E-5</v>
      </c>
      <c r="F147" s="9">
        <v>1.2999999999999999E-5</v>
      </c>
      <c r="G147" s="9">
        <v>3.0000000000000001E-6</v>
      </c>
      <c r="H147" s="9">
        <v>9.9999999999999995E-7</v>
      </c>
      <c r="I147" s="8"/>
      <c r="J147" s="8"/>
      <c r="K147" s="8"/>
      <c r="L147" s="8"/>
      <c r="M147" s="8"/>
      <c r="N147" s="10">
        <v>9379900</v>
      </c>
      <c r="O147" s="10">
        <v>6082200</v>
      </c>
      <c r="P147" s="10">
        <v>3117500</v>
      </c>
      <c r="Q147" s="10">
        <v>1204800</v>
      </c>
      <c r="R147" s="10">
        <v>283800</v>
      </c>
      <c r="S147" s="10">
        <v>117000</v>
      </c>
      <c r="T147" s="8"/>
      <c r="U147" s="8"/>
      <c r="V147" s="8"/>
      <c r="W147" s="8"/>
      <c r="X147" s="8"/>
      <c r="Y147" s="13">
        <v>3297700</v>
      </c>
      <c r="Z147" s="13">
        <v>2964700</v>
      </c>
      <c r="AA147" s="13">
        <v>1912700</v>
      </c>
      <c r="AB147" s="13">
        <v>921000</v>
      </c>
      <c r="AC147" s="13">
        <v>166800</v>
      </c>
      <c r="AD147" s="13">
        <v>117000</v>
      </c>
      <c r="AE147" s="8"/>
      <c r="AF147" s="8"/>
      <c r="AG147" s="8"/>
      <c r="AH147" s="8"/>
      <c r="AI147" s="8"/>
      <c r="AJ147" s="10">
        <v>45861509446.5</v>
      </c>
      <c r="AK147" s="10">
        <v>34582567166.800003</v>
      </c>
      <c r="AL147" s="10">
        <v>18860874964.450001</v>
      </c>
      <c r="AM147" s="10">
        <v>5978820017.5</v>
      </c>
      <c r="AN147" s="10">
        <v>995799262.5</v>
      </c>
      <c r="AO147" s="10">
        <v>370012546.80000001</v>
      </c>
      <c r="AP147" s="8"/>
      <c r="AQ147" s="8"/>
      <c r="AR147" s="8"/>
      <c r="AS147" s="8"/>
      <c r="AT147" s="8"/>
      <c r="AU147" s="14">
        <v>45838</v>
      </c>
      <c r="AV147" s="14">
        <v>45657</v>
      </c>
      <c r="AW147" s="14">
        <v>45291</v>
      </c>
      <c r="AX147" s="14">
        <v>44926</v>
      </c>
      <c r="AY147" s="14">
        <v>44561</v>
      </c>
      <c r="AZ147" s="14">
        <v>44196</v>
      </c>
      <c r="BA147" s="8"/>
      <c r="BB147" s="8"/>
      <c r="BC147" s="8"/>
      <c r="BD147" s="8"/>
      <c r="BE147" s="8"/>
      <c r="BF147" s="8" t="s">
        <v>201</v>
      </c>
      <c r="BG147" s="8" t="s">
        <v>201</v>
      </c>
      <c r="BH147" s="8" t="s">
        <v>201</v>
      </c>
      <c r="BI147" s="8" t="s">
        <v>201</v>
      </c>
      <c r="BJ147" s="8" t="s">
        <v>201</v>
      </c>
      <c r="BK147" s="8" t="s">
        <v>201</v>
      </c>
      <c r="BL147" s="8"/>
      <c r="BM147" s="8"/>
      <c r="BN147" s="8"/>
      <c r="BO147" s="8"/>
      <c r="BP147" s="8"/>
      <c r="BQ147" s="8" t="s">
        <v>25</v>
      </c>
      <c r="BR147" s="8" t="s">
        <v>202</v>
      </c>
      <c r="BS147" s="10">
        <v>47133085494</v>
      </c>
      <c r="BT147" s="8"/>
      <c r="BU147" s="8" t="s">
        <v>27</v>
      </c>
      <c r="BV147" s="8" t="s">
        <v>27</v>
      </c>
      <c r="BW147" s="8" t="s">
        <v>27</v>
      </c>
      <c r="BX147" s="8" t="s">
        <v>42</v>
      </c>
      <c r="BY147" s="8" t="s">
        <v>27</v>
      </c>
      <c r="BZ147" s="8"/>
      <c r="CA147" s="8"/>
      <c r="CB147" s="8"/>
      <c r="CC147" s="8"/>
      <c r="CD147" s="8"/>
      <c r="CE147" s="8"/>
      <c r="CF147" s="8"/>
      <c r="CG147" s="8" t="s">
        <v>29</v>
      </c>
    </row>
    <row r="148" spans="1:85" ht="15.75" customHeight="1" x14ac:dyDescent="0.35">
      <c r="A148" s="8">
        <v>141</v>
      </c>
      <c r="B148" s="8" t="s">
        <v>257</v>
      </c>
      <c r="C148" s="9">
        <v>9.8999999999999994E-5</v>
      </c>
      <c r="D148" s="9">
        <v>3.6900000000000002E-4</v>
      </c>
      <c r="E148" s="9">
        <v>3.3000000000000003E-5</v>
      </c>
      <c r="F148" s="8"/>
      <c r="G148" s="8"/>
      <c r="H148" s="8"/>
      <c r="I148" s="9">
        <v>5.0000000000000004E-6</v>
      </c>
      <c r="J148" s="9">
        <v>5.0000000000000004E-6</v>
      </c>
      <c r="K148" s="9">
        <v>0</v>
      </c>
      <c r="L148" s="9">
        <v>5.0000000000000004E-6</v>
      </c>
      <c r="M148" s="9">
        <v>2.8600000000000001E-4</v>
      </c>
      <c r="N148" s="10">
        <v>9149800</v>
      </c>
      <c r="O148" s="10">
        <v>34066100</v>
      </c>
      <c r="P148" s="10">
        <v>3087700</v>
      </c>
      <c r="Q148" s="8"/>
      <c r="R148" s="8"/>
      <c r="S148" s="8"/>
      <c r="T148" s="10">
        <v>423400</v>
      </c>
      <c r="U148" s="10">
        <v>423400</v>
      </c>
      <c r="V148" s="10">
        <v>35600</v>
      </c>
      <c r="W148" s="10">
        <v>507200</v>
      </c>
      <c r="X148" s="10">
        <v>26417596</v>
      </c>
      <c r="Y148" s="12">
        <v>-24916300</v>
      </c>
      <c r="Z148" s="13">
        <v>30978400</v>
      </c>
      <c r="AA148" s="13">
        <v>3087700</v>
      </c>
      <c r="AB148" s="8"/>
      <c r="AC148" s="8"/>
      <c r="AD148" s="8"/>
      <c r="AE148" s="11">
        <v>0</v>
      </c>
      <c r="AF148" s="13">
        <v>387800</v>
      </c>
      <c r="AG148" s="12">
        <v>-471600</v>
      </c>
      <c r="AH148" s="12">
        <v>-25910396</v>
      </c>
      <c r="AI148" s="12">
        <v>-16681516</v>
      </c>
      <c r="AJ148" s="10">
        <v>40247041074.800003</v>
      </c>
      <c r="AK148" s="10">
        <v>193695240409.60001</v>
      </c>
      <c r="AL148" s="10">
        <v>18680585043.150002</v>
      </c>
      <c r="AM148" s="8"/>
      <c r="AN148" s="8"/>
      <c r="AO148" s="8"/>
      <c r="AP148" s="10">
        <v>1407804937.5</v>
      </c>
      <c r="AQ148" s="10">
        <v>1407804937.5</v>
      </c>
      <c r="AR148" s="10">
        <v>100569997.17</v>
      </c>
      <c r="AS148" s="10">
        <v>1280680060.3099999</v>
      </c>
      <c r="AT148" s="10">
        <v>61112857159.5</v>
      </c>
      <c r="AU148" s="14">
        <v>45930</v>
      </c>
      <c r="AV148" s="14">
        <v>45657</v>
      </c>
      <c r="AW148" s="14">
        <v>45291</v>
      </c>
      <c r="AX148" s="8"/>
      <c r="AY148" s="8"/>
      <c r="AZ148" s="8"/>
      <c r="BA148" s="14">
        <v>43312</v>
      </c>
      <c r="BB148" s="14">
        <v>43312</v>
      </c>
      <c r="BC148" s="14">
        <v>42794</v>
      </c>
      <c r="BD148" s="14">
        <v>42582</v>
      </c>
      <c r="BE148" s="14">
        <v>42369</v>
      </c>
      <c r="BF148" s="8" t="s">
        <v>35</v>
      </c>
      <c r="BG148" s="8" t="s">
        <v>35</v>
      </c>
      <c r="BH148" s="8" t="s">
        <v>35</v>
      </c>
      <c r="BI148" s="8"/>
      <c r="BJ148" s="8"/>
      <c r="BK148" s="8"/>
      <c r="BL148" s="8" t="s">
        <v>35</v>
      </c>
      <c r="BM148" s="8" t="s">
        <v>35</v>
      </c>
      <c r="BN148" s="8" t="s">
        <v>35</v>
      </c>
      <c r="BO148" s="8" t="s">
        <v>35</v>
      </c>
      <c r="BP148" s="8" t="s">
        <v>35</v>
      </c>
      <c r="BQ148" s="8" t="s">
        <v>31</v>
      </c>
      <c r="BR148" s="8" t="s">
        <v>36</v>
      </c>
      <c r="BS148" s="10">
        <v>57217132475620.797</v>
      </c>
      <c r="BT148" s="8" t="s">
        <v>61</v>
      </c>
      <c r="BU148" s="8" t="s">
        <v>42</v>
      </c>
      <c r="BV148" s="8" t="s">
        <v>42</v>
      </c>
      <c r="BW148" s="8" t="s">
        <v>42</v>
      </c>
      <c r="BX148" s="8"/>
      <c r="BY148" s="8"/>
      <c r="BZ148" s="8"/>
      <c r="CA148" s="8" t="s">
        <v>42</v>
      </c>
      <c r="CB148" s="8" t="s">
        <v>43</v>
      </c>
      <c r="CC148" s="8" t="s">
        <v>43</v>
      </c>
      <c r="CD148" s="8" t="s">
        <v>42</v>
      </c>
      <c r="CE148" s="8" t="s">
        <v>43</v>
      </c>
      <c r="CF148" s="8" t="s">
        <v>258</v>
      </c>
      <c r="CG148" s="8" t="s">
        <v>71</v>
      </c>
    </row>
    <row r="149" spans="1:85" ht="15.75" customHeight="1" x14ac:dyDescent="0.35">
      <c r="A149" s="8">
        <v>142</v>
      </c>
      <c r="B149" s="8" t="s">
        <v>259</v>
      </c>
      <c r="C149" s="9">
        <v>9.2999999999999997E-5</v>
      </c>
      <c r="D149" s="9">
        <v>1.15E-4</v>
      </c>
      <c r="E149" s="9">
        <v>1.4300000000000001E-4</v>
      </c>
      <c r="F149" s="9">
        <v>1.2400000000000001E-4</v>
      </c>
      <c r="G149" s="9">
        <v>1.08E-4</v>
      </c>
      <c r="H149" s="9">
        <v>7.7999999999999999E-5</v>
      </c>
      <c r="I149" s="8"/>
      <c r="J149" s="8"/>
      <c r="K149" s="8"/>
      <c r="L149" s="8"/>
      <c r="M149" s="8"/>
      <c r="N149" s="10">
        <v>8572500</v>
      </c>
      <c r="O149" s="10">
        <v>10645600</v>
      </c>
      <c r="P149" s="10">
        <v>13254900</v>
      </c>
      <c r="Q149" s="10">
        <v>11484000</v>
      </c>
      <c r="R149" s="10">
        <v>10011800</v>
      </c>
      <c r="S149" s="10">
        <v>7230400</v>
      </c>
      <c r="T149" s="8"/>
      <c r="U149" s="8"/>
      <c r="V149" s="8"/>
      <c r="W149" s="8"/>
      <c r="X149" s="8"/>
      <c r="Y149" s="12">
        <v>-2073100</v>
      </c>
      <c r="Z149" s="12">
        <v>-2609300</v>
      </c>
      <c r="AA149" s="13">
        <v>1770900</v>
      </c>
      <c r="AB149" s="13">
        <v>1472200</v>
      </c>
      <c r="AC149" s="13">
        <v>2781400</v>
      </c>
      <c r="AD149" s="13">
        <v>7230400</v>
      </c>
      <c r="AE149" s="8"/>
      <c r="AF149" s="8"/>
      <c r="AG149" s="8"/>
      <c r="AH149" s="8"/>
      <c r="AI149" s="8"/>
      <c r="AJ149" s="10">
        <v>38815348771.5</v>
      </c>
      <c r="AK149" s="10">
        <v>60529442758.800003</v>
      </c>
      <c r="AL149" s="10">
        <v>80192144877.199997</v>
      </c>
      <c r="AM149" s="10">
        <v>56989349970.849998</v>
      </c>
      <c r="AN149" s="10">
        <v>35129469075</v>
      </c>
      <c r="AO149" s="10">
        <v>22866139998</v>
      </c>
      <c r="AP149" s="8"/>
      <c r="AQ149" s="8"/>
      <c r="AR149" s="8"/>
      <c r="AS149" s="8"/>
      <c r="AT149" s="8"/>
      <c r="AU149" s="14">
        <v>45869</v>
      </c>
      <c r="AV149" s="14">
        <v>45657</v>
      </c>
      <c r="AW149" s="14">
        <v>45291</v>
      </c>
      <c r="AX149" s="14">
        <v>44926</v>
      </c>
      <c r="AY149" s="14">
        <v>44561</v>
      </c>
      <c r="AZ149" s="14">
        <v>44196</v>
      </c>
      <c r="BA149" s="8"/>
      <c r="BB149" s="8"/>
      <c r="BC149" s="8"/>
      <c r="BD149" s="8"/>
      <c r="BE149" s="8"/>
      <c r="BF149" s="8" t="s">
        <v>35</v>
      </c>
      <c r="BG149" s="8" t="s">
        <v>35</v>
      </c>
      <c r="BH149" s="8" t="s">
        <v>35</v>
      </c>
      <c r="BI149" s="8" t="s">
        <v>35</v>
      </c>
      <c r="BJ149" s="8" t="s">
        <v>35</v>
      </c>
      <c r="BK149" s="8" t="s">
        <v>35</v>
      </c>
      <c r="BL149" s="8"/>
      <c r="BM149" s="8"/>
      <c r="BN149" s="8"/>
      <c r="BO149" s="8"/>
      <c r="BP149" s="8"/>
      <c r="BQ149" s="8" t="s">
        <v>31</v>
      </c>
      <c r="BR149" s="8" t="s">
        <v>36</v>
      </c>
      <c r="BS149" s="10">
        <v>665196237604467</v>
      </c>
      <c r="BT149" s="8"/>
      <c r="BU149" s="8" t="s">
        <v>27</v>
      </c>
      <c r="BV149" s="8" t="s">
        <v>27</v>
      </c>
      <c r="BW149" s="8" t="s">
        <v>27</v>
      </c>
      <c r="BX149" s="8" t="s">
        <v>27</v>
      </c>
      <c r="BY149" s="8" t="s">
        <v>27</v>
      </c>
      <c r="BZ149" s="8" t="s">
        <v>27</v>
      </c>
      <c r="CA149" s="8"/>
      <c r="CB149" s="8"/>
      <c r="CC149" s="8"/>
      <c r="CD149" s="8"/>
      <c r="CE149" s="8"/>
      <c r="CF149" s="8" t="s">
        <v>62</v>
      </c>
      <c r="CG149" s="8" t="s">
        <v>63</v>
      </c>
    </row>
    <row r="150" spans="1:85" ht="15.75" customHeight="1" x14ac:dyDescent="0.35">
      <c r="A150" s="8">
        <v>143</v>
      </c>
      <c r="B150" s="8" t="s">
        <v>260</v>
      </c>
      <c r="C150" s="9">
        <v>8.7000000000000001E-5</v>
      </c>
      <c r="D150" s="9">
        <v>5.7000000000000003E-5</v>
      </c>
      <c r="E150" s="9">
        <v>5.3000000000000001E-5</v>
      </c>
      <c r="F150" s="9">
        <v>6.0000000000000002E-5</v>
      </c>
      <c r="G150" s="9">
        <v>3.8999999999999999E-5</v>
      </c>
      <c r="H150" s="9">
        <v>4.6999999999999997E-5</v>
      </c>
      <c r="I150" s="9">
        <v>3.6000000000000001E-5</v>
      </c>
      <c r="J150" s="9">
        <v>3.8999999999999999E-5</v>
      </c>
      <c r="K150" s="9">
        <v>3.6999999999999998E-5</v>
      </c>
      <c r="L150" s="9">
        <v>2.3E-5</v>
      </c>
      <c r="M150" s="9">
        <v>9.6000000000000002E-5</v>
      </c>
      <c r="N150" s="10">
        <v>8057368</v>
      </c>
      <c r="O150" s="10">
        <v>5269068</v>
      </c>
      <c r="P150" s="10">
        <v>4868612</v>
      </c>
      <c r="Q150" s="10">
        <v>5516322</v>
      </c>
      <c r="R150" s="10">
        <v>3602892</v>
      </c>
      <c r="S150" s="10">
        <v>4373704</v>
      </c>
      <c r="T150" s="10">
        <v>3302704</v>
      </c>
      <c r="U150" s="10">
        <v>3567304</v>
      </c>
      <c r="V150" s="10">
        <v>3459884</v>
      </c>
      <c r="W150" s="10">
        <v>2160392</v>
      </c>
      <c r="X150" s="10">
        <v>8916312</v>
      </c>
      <c r="Y150" s="13">
        <v>2788300</v>
      </c>
      <c r="Z150" s="13">
        <v>400456</v>
      </c>
      <c r="AA150" s="12">
        <v>-647710</v>
      </c>
      <c r="AB150" s="13">
        <v>1913430</v>
      </c>
      <c r="AC150" s="12">
        <v>-770812</v>
      </c>
      <c r="AD150" s="13">
        <v>1071000</v>
      </c>
      <c r="AE150" s="12">
        <v>-264600</v>
      </c>
      <c r="AF150" s="13">
        <v>107420</v>
      </c>
      <c r="AG150" s="13">
        <v>1299492</v>
      </c>
      <c r="AH150" s="12">
        <v>-6755920</v>
      </c>
      <c r="AI150" s="12">
        <v>-468160</v>
      </c>
      <c r="AJ150" s="10">
        <v>35441782447.400002</v>
      </c>
      <c r="AK150" s="10">
        <v>29959208481.900002</v>
      </c>
      <c r="AL150" s="10">
        <v>29455102629</v>
      </c>
      <c r="AM150" s="10">
        <v>27374747942.299999</v>
      </c>
      <c r="AN150" s="10">
        <v>12641850877.5</v>
      </c>
      <c r="AO150" s="10">
        <v>13831838888.4</v>
      </c>
      <c r="AP150" s="10">
        <v>12637706688</v>
      </c>
      <c r="AQ150" s="10">
        <v>12991754125</v>
      </c>
      <c r="AR150" s="10">
        <v>13839536066.4</v>
      </c>
      <c r="AS150" s="10">
        <v>6251634303.3000002</v>
      </c>
      <c r="AT150" s="10">
        <v>20626453042.200001</v>
      </c>
      <c r="AU150" s="14">
        <v>45930</v>
      </c>
      <c r="AV150" s="14">
        <v>45657</v>
      </c>
      <c r="AW150" s="14">
        <v>45291</v>
      </c>
      <c r="AX150" s="14">
        <v>44926</v>
      </c>
      <c r="AY150" s="14">
        <v>44561</v>
      </c>
      <c r="AZ150" s="14">
        <v>44196</v>
      </c>
      <c r="BA150" s="14">
        <v>43830</v>
      </c>
      <c r="BB150" s="14">
        <v>43465</v>
      </c>
      <c r="BC150" s="14">
        <v>43100</v>
      </c>
      <c r="BD150" s="14">
        <v>42735</v>
      </c>
      <c r="BE150" s="14">
        <v>42369</v>
      </c>
      <c r="BF150" s="8" t="s">
        <v>35</v>
      </c>
      <c r="BG150" s="8" t="s">
        <v>35</v>
      </c>
      <c r="BH150" s="8" t="s">
        <v>35</v>
      </c>
      <c r="BI150" s="8" t="s">
        <v>35</v>
      </c>
      <c r="BJ150" s="8" t="s">
        <v>35</v>
      </c>
      <c r="BK150" s="8" t="s">
        <v>35</v>
      </c>
      <c r="BL150" s="8" t="s">
        <v>35</v>
      </c>
      <c r="BM150" s="8" t="s">
        <v>35</v>
      </c>
      <c r="BN150" s="8" t="s">
        <v>35</v>
      </c>
      <c r="BO150" s="8" t="s">
        <v>35</v>
      </c>
      <c r="BP150" s="8" t="s">
        <v>35</v>
      </c>
      <c r="BQ150" s="8" t="s">
        <v>31</v>
      </c>
      <c r="BR150" s="8" t="s">
        <v>36</v>
      </c>
      <c r="BS150" s="10">
        <v>1543443484884690</v>
      </c>
      <c r="BT150" s="8" t="s">
        <v>46</v>
      </c>
      <c r="BU150" s="8" t="s">
        <v>27</v>
      </c>
      <c r="BV150" s="8" t="s">
        <v>27</v>
      </c>
      <c r="BW150" s="8" t="s">
        <v>27</v>
      </c>
      <c r="BX150" s="8" t="s">
        <v>27</v>
      </c>
      <c r="BY150" s="8" t="s">
        <v>42</v>
      </c>
      <c r="BZ150" s="8" t="s">
        <v>42</v>
      </c>
      <c r="CA150" s="8" t="s">
        <v>42</v>
      </c>
      <c r="CB150" s="8" t="s">
        <v>42</v>
      </c>
      <c r="CC150" s="8" t="s">
        <v>42</v>
      </c>
      <c r="CD150" s="8" t="s">
        <v>42</v>
      </c>
      <c r="CE150" s="8" t="s">
        <v>27</v>
      </c>
      <c r="CF150" s="8" t="s">
        <v>82</v>
      </c>
      <c r="CG150" s="8" t="s">
        <v>39</v>
      </c>
    </row>
    <row r="151" spans="1:85" ht="15.75" customHeight="1" x14ac:dyDescent="0.35">
      <c r="A151" s="8">
        <v>144</v>
      </c>
      <c r="B151" s="8" t="s">
        <v>261</v>
      </c>
      <c r="C151" s="9">
        <v>8.7000000000000001E-5</v>
      </c>
      <c r="D151" s="9">
        <v>6.0000000000000002E-5</v>
      </c>
      <c r="E151" s="9">
        <v>4.3000000000000002E-5</v>
      </c>
      <c r="F151" s="8"/>
      <c r="G151" s="8"/>
      <c r="H151" s="8"/>
      <c r="I151" s="8"/>
      <c r="J151" s="8"/>
      <c r="K151" s="8"/>
      <c r="L151" s="8"/>
      <c r="M151" s="8"/>
      <c r="N151" s="10">
        <v>8000000</v>
      </c>
      <c r="O151" s="10">
        <v>5500000</v>
      </c>
      <c r="P151" s="10">
        <v>4000000</v>
      </c>
      <c r="Q151" s="8"/>
      <c r="R151" s="8"/>
      <c r="S151" s="8"/>
      <c r="T151" s="8"/>
      <c r="U151" s="8"/>
      <c r="V151" s="8"/>
      <c r="W151" s="8"/>
      <c r="X151" s="8"/>
      <c r="Y151" s="13">
        <v>2500000</v>
      </c>
      <c r="Z151" s="13">
        <v>1500000</v>
      </c>
      <c r="AA151" s="13">
        <v>4000000</v>
      </c>
      <c r="AB151" s="8"/>
      <c r="AC151" s="8"/>
      <c r="AD151" s="8"/>
      <c r="AE151" s="8"/>
      <c r="AF151" s="8"/>
      <c r="AG151" s="8"/>
      <c r="AH151" s="8"/>
      <c r="AI151" s="8"/>
      <c r="AJ151" s="10">
        <v>38175789412.949997</v>
      </c>
      <c r="AK151" s="10">
        <v>31272256584.200001</v>
      </c>
      <c r="AL151" s="10">
        <v>24199999981.299999</v>
      </c>
      <c r="AM151" s="8"/>
      <c r="AN151" s="8"/>
      <c r="AO151" s="8"/>
      <c r="AP151" s="8"/>
      <c r="AQ151" s="8"/>
      <c r="AR151" s="8"/>
      <c r="AS151" s="8"/>
      <c r="AT151" s="8"/>
      <c r="AU151" s="14">
        <v>45900</v>
      </c>
      <c r="AV151" s="14">
        <v>45657</v>
      </c>
      <c r="AW151" s="14">
        <v>45291</v>
      </c>
      <c r="AX151" s="8"/>
      <c r="AY151" s="8"/>
      <c r="AZ151" s="8"/>
      <c r="BA151" s="8"/>
      <c r="BB151" s="8"/>
      <c r="BC151" s="8"/>
      <c r="BD151" s="8"/>
      <c r="BE151" s="8"/>
      <c r="BF151" s="8" t="s">
        <v>35</v>
      </c>
      <c r="BG151" s="8" t="s">
        <v>35</v>
      </c>
      <c r="BH151" s="8" t="s">
        <v>35</v>
      </c>
      <c r="BI151" s="8"/>
      <c r="BJ151" s="8"/>
      <c r="BK151" s="8"/>
      <c r="BL151" s="8"/>
      <c r="BM151" s="8"/>
      <c r="BN151" s="8"/>
      <c r="BO151" s="8"/>
      <c r="BP151" s="8"/>
      <c r="BQ151" s="8" t="s">
        <v>31</v>
      </c>
      <c r="BR151" s="8" t="s">
        <v>36</v>
      </c>
      <c r="BS151" s="10">
        <v>86510307335696.406</v>
      </c>
      <c r="BT151" s="8"/>
      <c r="BU151" s="8" t="s">
        <v>27</v>
      </c>
      <c r="BV151" s="8" t="s">
        <v>27</v>
      </c>
      <c r="BW151" s="8" t="s">
        <v>42</v>
      </c>
      <c r="BX151" s="8"/>
      <c r="BY151" s="8"/>
      <c r="BZ151" s="8"/>
      <c r="CA151" s="8"/>
      <c r="CB151" s="8"/>
      <c r="CC151" s="8"/>
      <c r="CD151" s="8"/>
      <c r="CE151" s="8"/>
      <c r="CF151" s="8" t="s">
        <v>262</v>
      </c>
      <c r="CG151" s="8" t="s">
        <v>71</v>
      </c>
    </row>
    <row r="152" spans="1:85" ht="15.75" customHeight="1" x14ac:dyDescent="0.35">
      <c r="A152" s="8">
        <v>145</v>
      </c>
      <c r="B152" s="8" t="s">
        <v>263</v>
      </c>
      <c r="C152" s="9">
        <v>8.5000000000000006E-5</v>
      </c>
      <c r="D152" s="9">
        <v>7.6000000000000004E-5</v>
      </c>
      <c r="E152" s="9">
        <v>6.3999999999999997E-5</v>
      </c>
      <c r="F152" s="8"/>
      <c r="G152" s="9">
        <v>0</v>
      </c>
      <c r="H152" s="9">
        <v>0</v>
      </c>
      <c r="I152" s="9">
        <v>0</v>
      </c>
      <c r="J152" s="8"/>
      <c r="K152" s="8"/>
      <c r="L152" s="9">
        <v>0</v>
      </c>
      <c r="M152" s="9">
        <v>0</v>
      </c>
      <c r="N152" s="10">
        <v>7878300</v>
      </c>
      <c r="O152" s="10">
        <v>6982400</v>
      </c>
      <c r="P152" s="10">
        <v>5887300</v>
      </c>
      <c r="Q152" s="8"/>
      <c r="R152" s="10">
        <v>0</v>
      </c>
      <c r="S152" s="10">
        <v>0</v>
      </c>
      <c r="T152" s="10">
        <v>0</v>
      </c>
      <c r="U152" s="8"/>
      <c r="V152" s="8"/>
      <c r="W152" s="10">
        <v>0</v>
      </c>
      <c r="X152" s="10">
        <v>0</v>
      </c>
      <c r="Y152" s="13">
        <v>895900</v>
      </c>
      <c r="Z152" s="13">
        <v>1095100</v>
      </c>
      <c r="AA152" s="13">
        <v>5887300</v>
      </c>
      <c r="AB152" s="8"/>
      <c r="AC152" s="11">
        <v>0</v>
      </c>
      <c r="AD152" s="11">
        <v>0</v>
      </c>
      <c r="AE152" s="11">
        <v>0</v>
      </c>
      <c r="AF152" s="8"/>
      <c r="AG152" s="8"/>
      <c r="AH152" s="11">
        <v>0</v>
      </c>
      <c r="AI152" s="12">
        <v>-33982800</v>
      </c>
      <c r="AJ152" s="10">
        <v>38519678244</v>
      </c>
      <c r="AK152" s="10">
        <v>39700982649.900002</v>
      </c>
      <c r="AL152" s="10">
        <v>35618164966.849998</v>
      </c>
      <c r="AM152" s="8"/>
      <c r="AN152" s="10">
        <v>0</v>
      </c>
      <c r="AO152" s="10">
        <v>0</v>
      </c>
      <c r="AP152" s="10">
        <v>0</v>
      </c>
      <c r="AQ152" s="8"/>
      <c r="AR152" s="8"/>
      <c r="AS152" s="10">
        <v>0</v>
      </c>
      <c r="AT152" s="10">
        <v>0</v>
      </c>
      <c r="AU152" s="14">
        <v>45838</v>
      </c>
      <c r="AV152" s="14">
        <v>45657</v>
      </c>
      <c r="AW152" s="14">
        <v>45291</v>
      </c>
      <c r="AX152" s="8"/>
      <c r="AY152" s="14">
        <v>44196</v>
      </c>
      <c r="AZ152" s="14">
        <v>44196</v>
      </c>
      <c r="BA152" s="14">
        <v>43830</v>
      </c>
      <c r="BB152" s="8"/>
      <c r="BC152" s="8"/>
      <c r="BD152" s="14">
        <v>42369</v>
      </c>
      <c r="BE152" s="14">
        <v>42369</v>
      </c>
      <c r="BF152" s="8" t="s">
        <v>35</v>
      </c>
      <c r="BG152" s="8" t="s">
        <v>35</v>
      </c>
      <c r="BH152" s="8" t="s">
        <v>35</v>
      </c>
      <c r="BI152" s="8"/>
      <c r="BJ152" s="8" t="s">
        <v>35</v>
      </c>
      <c r="BK152" s="8" t="s">
        <v>35</v>
      </c>
      <c r="BL152" s="8" t="s">
        <v>35</v>
      </c>
      <c r="BM152" s="8"/>
      <c r="BN152" s="8"/>
      <c r="BO152" s="8" t="s">
        <v>35</v>
      </c>
      <c r="BP152" s="8" t="s">
        <v>35</v>
      </c>
      <c r="BQ152" s="8" t="s">
        <v>31</v>
      </c>
      <c r="BR152" s="8" t="s">
        <v>36</v>
      </c>
      <c r="BS152" s="10">
        <v>125011034549532</v>
      </c>
      <c r="BT152" s="8" t="s">
        <v>37</v>
      </c>
      <c r="BU152" s="8"/>
      <c r="BV152" s="8" t="s">
        <v>42</v>
      </c>
      <c r="BW152" s="8" t="s">
        <v>42</v>
      </c>
      <c r="BX152" s="8"/>
      <c r="BY152" s="8" t="s">
        <v>42</v>
      </c>
      <c r="BZ152" s="8" t="s">
        <v>43</v>
      </c>
      <c r="CA152" s="8" t="s">
        <v>43</v>
      </c>
      <c r="CB152" s="8"/>
      <c r="CC152" s="8"/>
      <c r="CD152" s="8" t="s">
        <v>43</v>
      </c>
      <c r="CE152" s="8" t="s">
        <v>43</v>
      </c>
      <c r="CF152" s="8" t="s">
        <v>264</v>
      </c>
      <c r="CG152" s="8" t="s">
        <v>76</v>
      </c>
    </row>
    <row r="153" spans="1:85" ht="15.75" customHeight="1" x14ac:dyDescent="0.35">
      <c r="A153" s="8">
        <v>146</v>
      </c>
      <c r="B153" s="8" t="s">
        <v>265</v>
      </c>
      <c r="C153" s="9">
        <v>8.2999999999999998E-5</v>
      </c>
      <c r="D153" s="9">
        <v>5.0000000000000002E-5</v>
      </c>
      <c r="E153" s="9">
        <v>1.03E-4</v>
      </c>
      <c r="F153" s="9">
        <v>8.7999999999999998E-5</v>
      </c>
      <c r="G153" s="9">
        <v>9.7999999999999997E-5</v>
      </c>
      <c r="H153" s="9">
        <v>1.0000000000000001E-5</v>
      </c>
      <c r="I153" s="9">
        <v>3.6540000000000001E-3</v>
      </c>
      <c r="J153" s="9">
        <v>3.6779999999999998E-3</v>
      </c>
      <c r="K153" s="9">
        <v>1.5855999999999999E-2</v>
      </c>
      <c r="L153" s="9">
        <v>1.3155E-2</v>
      </c>
      <c r="M153" s="9">
        <v>2.3089999999999999E-3</v>
      </c>
      <c r="N153" s="10">
        <v>7680800</v>
      </c>
      <c r="O153" s="10">
        <v>4655200</v>
      </c>
      <c r="P153" s="10">
        <v>9561400</v>
      </c>
      <c r="Q153" s="10">
        <v>8125600</v>
      </c>
      <c r="R153" s="10">
        <v>9075000</v>
      </c>
      <c r="S153" s="10">
        <v>935916</v>
      </c>
      <c r="T153" s="10">
        <v>337593916</v>
      </c>
      <c r="U153" s="10">
        <v>339812516</v>
      </c>
      <c r="V153" s="10">
        <v>1465098854</v>
      </c>
      <c r="W153" s="10">
        <v>1215530416</v>
      </c>
      <c r="X153" s="10">
        <v>213356516</v>
      </c>
      <c r="Y153" s="13">
        <v>3025600</v>
      </c>
      <c r="Z153" s="12">
        <v>-4906200</v>
      </c>
      <c r="AA153" s="13">
        <v>1435800</v>
      </c>
      <c r="AB153" s="12">
        <v>-949400</v>
      </c>
      <c r="AC153" s="13">
        <v>8139084</v>
      </c>
      <c r="AD153" s="12">
        <v>-336658000</v>
      </c>
      <c r="AE153" s="12">
        <v>-2218600</v>
      </c>
      <c r="AF153" s="12">
        <v>-1125286338</v>
      </c>
      <c r="AG153" s="13">
        <v>249568438</v>
      </c>
      <c r="AH153" s="13">
        <v>1002173900</v>
      </c>
      <c r="AI153" s="12">
        <v>-442269600</v>
      </c>
      <c r="AJ153" s="10">
        <v>33785380440</v>
      </c>
      <c r="AK153" s="10">
        <v>26468838088.200001</v>
      </c>
      <c r="AL153" s="10">
        <v>57846470028.75</v>
      </c>
      <c r="AM153" s="10">
        <v>40323289964.650002</v>
      </c>
      <c r="AN153" s="10">
        <v>31842419152.5</v>
      </c>
      <c r="AO153" s="10">
        <v>2959834316.4000001</v>
      </c>
      <c r="AP153" s="10">
        <v>1291793904804.3999</v>
      </c>
      <c r="AQ153" s="10">
        <v>1237562221587.5</v>
      </c>
      <c r="AR153" s="10">
        <v>5860395416906.9004</v>
      </c>
      <c r="AS153" s="10">
        <v>3517441143225.2998</v>
      </c>
      <c r="AT153" s="10">
        <v>493565966433.75</v>
      </c>
      <c r="AU153" s="14">
        <v>45930</v>
      </c>
      <c r="AV153" s="14">
        <v>45657</v>
      </c>
      <c r="AW153" s="14">
        <v>45291</v>
      </c>
      <c r="AX153" s="14">
        <v>44926</v>
      </c>
      <c r="AY153" s="14">
        <v>44561</v>
      </c>
      <c r="AZ153" s="14">
        <v>44196</v>
      </c>
      <c r="BA153" s="14">
        <v>43830</v>
      </c>
      <c r="BB153" s="14">
        <v>43465</v>
      </c>
      <c r="BC153" s="14">
        <v>43100</v>
      </c>
      <c r="BD153" s="14">
        <v>42735</v>
      </c>
      <c r="BE153" s="14">
        <v>42369</v>
      </c>
      <c r="BF153" s="8" t="s">
        <v>35</v>
      </c>
      <c r="BG153" s="8" t="s">
        <v>35</v>
      </c>
      <c r="BH153" s="8" t="s">
        <v>35</v>
      </c>
      <c r="BI153" s="8" t="s">
        <v>35</v>
      </c>
      <c r="BJ153" s="8" t="s">
        <v>35</v>
      </c>
      <c r="BK153" s="8" t="s">
        <v>35</v>
      </c>
      <c r="BL153" s="8" t="s">
        <v>35</v>
      </c>
      <c r="BM153" s="8" t="s">
        <v>35</v>
      </c>
      <c r="BN153" s="8" t="s">
        <v>35</v>
      </c>
      <c r="BO153" s="8" t="s">
        <v>35</v>
      </c>
      <c r="BP153" s="8" t="s">
        <v>35</v>
      </c>
      <c r="BQ153" s="8" t="s">
        <v>31</v>
      </c>
      <c r="BR153" s="8" t="s">
        <v>49</v>
      </c>
      <c r="BS153" s="10">
        <v>5073207641122910</v>
      </c>
      <c r="BT153" s="8" t="s">
        <v>57</v>
      </c>
      <c r="BU153" s="8" t="s">
        <v>27</v>
      </c>
      <c r="BV153" s="8" t="s">
        <v>27</v>
      </c>
      <c r="BW153" s="8" t="s">
        <v>27</v>
      </c>
      <c r="BX153" s="8" t="s">
        <v>27</v>
      </c>
      <c r="BY153" s="8" t="s">
        <v>27</v>
      </c>
      <c r="BZ153" s="8" t="s">
        <v>27</v>
      </c>
      <c r="CA153" s="8" t="s">
        <v>27</v>
      </c>
      <c r="CB153" s="8" t="s">
        <v>27</v>
      </c>
      <c r="CC153" s="8" t="s">
        <v>27</v>
      </c>
      <c r="CD153" s="8" t="s">
        <v>27</v>
      </c>
      <c r="CE153" s="8" t="s">
        <v>27</v>
      </c>
      <c r="CF153" s="8" t="s">
        <v>266</v>
      </c>
      <c r="CG153" s="8" t="s">
        <v>39</v>
      </c>
    </row>
    <row r="154" spans="1:85" ht="15.75" customHeight="1" x14ac:dyDescent="0.35">
      <c r="A154" s="8">
        <v>147</v>
      </c>
      <c r="B154" s="8" t="s">
        <v>267</v>
      </c>
      <c r="C154" s="9">
        <v>8.0000000000000007E-5</v>
      </c>
      <c r="D154" s="9">
        <v>1.2799999999999999E-4</v>
      </c>
      <c r="E154" s="9">
        <v>2.9599999999999998E-4</v>
      </c>
      <c r="F154" s="9">
        <v>6.3500000000000004E-4</v>
      </c>
      <c r="G154" s="9">
        <v>1.292E-3</v>
      </c>
      <c r="H154" s="9">
        <v>2.0669999999999998E-3</v>
      </c>
      <c r="I154" s="9">
        <v>8.2299999999999995E-4</v>
      </c>
      <c r="J154" s="9">
        <v>5.8E-4</v>
      </c>
      <c r="K154" s="9">
        <v>5.8E-4</v>
      </c>
      <c r="L154" s="9">
        <v>7.3399999999999995E-4</v>
      </c>
      <c r="M154" s="9">
        <v>6.9800000000000005E-4</v>
      </c>
      <c r="N154" s="10">
        <v>7431700</v>
      </c>
      <c r="O154" s="10">
        <v>11811600</v>
      </c>
      <c r="P154" s="10">
        <v>27315000</v>
      </c>
      <c r="Q154" s="10">
        <v>58698400</v>
      </c>
      <c r="R154" s="10">
        <v>119401600</v>
      </c>
      <c r="S154" s="10">
        <v>190949816</v>
      </c>
      <c r="T154" s="10">
        <v>76009976</v>
      </c>
      <c r="U154" s="10">
        <v>53580376</v>
      </c>
      <c r="V154" s="10">
        <v>53580376</v>
      </c>
      <c r="W154" s="10">
        <v>67847576</v>
      </c>
      <c r="X154" s="10">
        <v>64474240</v>
      </c>
      <c r="Y154" s="12">
        <v>-4379900</v>
      </c>
      <c r="Z154" s="12">
        <v>-15503400</v>
      </c>
      <c r="AA154" s="12">
        <v>-31383400</v>
      </c>
      <c r="AB154" s="12">
        <v>-60703200</v>
      </c>
      <c r="AC154" s="12">
        <v>-71548216</v>
      </c>
      <c r="AD154" s="13">
        <v>114939840</v>
      </c>
      <c r="AE154" s="13">
        <v>22429600</v>
      </c>
      <c r="AF154" s="11">
        <v>0</v>
      </c>
      <c r="AG154" s="12">
        <v>-14267200</v>
      </c>
      <c r="AH154" s="13">
        <v>3373336</v>
      </c>
      <c r="AI154" s="12">
        <v>-1017352</v>
      </c>
      <c r="AJ154" s="10">
        <v>36336099562.199997</v>
      </c>
      <c r="AK154" s="10">
        <v>67159161210</v>
      </c>
      <c r="AL154" s="10">
        <v>165255749925.79999</v>
      </c>
      <c r="AM154" s="10">
        <v>291290810223.59998</v>
      </c>
      <c r="AN154" s="10">
        <v>418957112602.5</v>
      </c>
      <c r="AO154" s="10">
        <v>603878792400</v>
      </c>
      <c r="AP154" s="10">
        <v>290850098395.20001</v>
      </c>
      <c r="AQ154" s="10">
        <v>195134216768.75</v>
      </c>
      <c r="AR154" s="10">
        <v>214321504004.60001</v>
      </c>
      <c r="AS154" s="10">
        <v>196333923198.29999</v>
      </c>
      <c r="AT154" s="10">
        <v>149150779096.35001</v>
      </c>
      <c r="AU154" s="14">
        <v>45838</v>
      </c>
      <c r="AV154" s="14">
        <v>45657</v>
      </c>
      <c r="AW154" s="14">
        <v>45291</v>
      </c>
      <c r="AX154" s="14">
        <v>44926</v>
      </c>
      <c r="AY154" s="14">
        <v>44561</v>
      </c>
      <c r="AZ154" s="14">
        <v>44196</v>
      </c>
      <c r="BA154" s="14">
        <v>43830</v>
      </c>
      <c r="BB154" s="14">
        <v>43465</v>
      </c>
      <c r="BC154" s="14">
        <v>43100</v>
      </c>
      <c r="BD154" s="14">
        <v>42735</v>
      </c>
      <c r="BE154" s="14">
        <v>42369</v>
      </c>
      <c r="BF154" s="8" t="s">
        <v>35</v>
      </c>
      <c r="BG154" s="8" t="s">
        <v>35</v>
      </c>
      <c r="BH154" s="8" t="s">
        <v>35</v>
      </c>
      <c r="BI154" s="8" t="s">
        <v>35</v>
      </c>
      <c r="BJ154" s="8" t="s">
        <v>35</v>
      </c>
      <c r="BK154" s="8" t="s">
        <v>35</v>
      </c>
      <c r="BL154" s="8" t="s">
        <v>35</v>
      </c>
      <c r="BM154" s="8" t="s">
        <v>35</v>
      </c>
      <c r="BN154" s="8" t="s">
        <v>35</v>
      </c>
      <c r="BO154" s="8" t="s">
        <v>35</v>
      </c>
      <c r="BP154" s="8" t="s">
        <v>35</v>
      </c>
      <c r="BQ154" s="8" t="s">
        <v>31</v>
      </c>
      <c r="BR154" s="8" t="s">
        <v>36</v>
      </c>
      <c r="BS154" s="10">
        <v>288646419670530</v>
      </c>
      <c r="BT154" s="8" t="s">
        <v>37</v>
      </c>
      <c r="BU154" s="8" t="s">
        <v>27</v>
      </c>
      <c r="BV154" s="8" t="s">
        <v>27</v>
      </c>
      <c r="BW154" s="8" t="s">
        <v>27</v>
      </c>
      <c r="BX154" s="8" t="s">
        <v>27</v>
      </c>
      <c r="BY154" s="8" t="s">
        <v>27</v>
      </c>
      <c r="BZ154" s="8" t="s">
        <v>27</v>
      </c>
      <c r="CA154" s="8" t="s">
        <v>42</v>
      </c>
      <c r="CB154" s="8" t="s">
        <v>27</v>
      </c>
      <c r="CC154" s="8" t="s">
        <v>42</v>
      </c>
      <c r="CD154" s="8" t="s">
        <v>42</v>
      </c>
      <c r="CE154" s="8" t="s">
        <v>27</v>
      </c>
      <c r="CF154" s="8" t="s">
        <v>38</v>
      </c>
      <c r="CG154" s="8" t="s">
        <v>39</v>
      </c>
    </row>
    <row r="155" spans="1:85" ht="15.75" customHeight="1" x14ac:dyDescent="0.35">
      <c r="A155" s="8">
        <v>148</v>
      </c>
      <c r="B155" s="8" t="s">
        <v>268</v>
      </c>
      <c r="C155" s="9">
        <v>7.8999999999999996E-5</v>
      </c>
      <c r="D155" s="9">
        <v>9.0000000000000006E-5</v>
      </c>
      <c r="E155" s="9">
        <v>1.5300000000000001E-4</v>
      </c>
      <c r="F155" s="9">
        <v>3.7599999999999998E-4</v>
      </c>
      <c r="G155" s="9">
        <v>4.0099999999999999E-4</v>
      </c>
      <c r="H155" s="9">
        <v>4.0200000000000001E-4</v>
      </c>
      <c r="I155" s="9">
        <v>3.1999999999999999E-5</v>
      </c>
      <c r="J155" s="9">
        <v>2.0599999999999999E-4</v>
      </c>
      <c r="K155" s="9">
        <v>7.4999999999999993E-5</v>
      </c>
      <c r="L155" s="9">
        <v>5.5999999999999999E-5</v>
      </c>
      <c r="M155" s="9">
        <v>4.6999999999999997E-5</v>
      </c>
      <c r="N155" s="10">
        <v>7328600</v>
      </c>
      <c r="O155" s="10">
        <v>8301888</v>
      </c>
      <c r="P155" s="10">
        <v>14131088</v>
      </c>
      <c r="Q155" s="10">
        <v>34781988</v>
      </c>
      <c r="R155" s="10">
        <v>37067700</v>
      </c>
      <c r="S155" s="10">
        <v>37132400</v>
      </c>
      <c r="T155" s="10">
        <v>2931600</v>
      </c>
      <c r="U155" s="10">
        <v>19053000</v>
      </c>
      <c r="V155" s="10">
        <v>6943600</v>
      </c>
      <c r="W155" s="10">
        <v>5156896</v>
      </c>
      <c r="X155" s="10">
        <v>4327164</v>
      </c>
      <c r="Y155" s="12">
        <v>-973288</v>
      </c>
      <c r="Z155" s="12">
        <v>-5829200</v>
      </c>
      <c r="AA155" s="12">
        <v>-20650900</v>
      </c>
      <c r="AB155" s="12">
        <v>-2285712</v>
      </c>
      <c r="AC155" s="12">
        <v>-64700</v>
      </c>
      <c r="AD155" s="13">
        <v>34200800</v>
      </c>
      <c r="AE155" s="12">
        <v>-16121400</v>
      </c>
      <c r="AF155" s="13">
        <v>12109400</v>
      </c>
      <c r="AG155" s="13">
        <v>1786704</v>
      </c>
      <c r="AH155" s="13">
        <v>829732</v>
      </c>
      <c r="AI155" s="11">
        <v>0</v>
      </c>
      <c r="AJ155" s="10">
        <v>32236165374</v>
      </c>
      <c r="AK155" s="10">
        <v>47203413047.099998</v>
      </c>
      <c r="AL155" s="10">
        <v>85493082288.649994</v>
      </c>
      <c r="AM155" s="10">
        <v>172605615545.54999</v>
      </c>
      <c r="AN155" s="10">
        <v>130063387455</v>
      </c>
      <c r="AO155" s="10">
        <v>117431214825.60001</v>
      </c>
      <c r="AP155" s="10">
        <v>11217687332.4</v>
      </c>
      <c r="AQ155" s="10">
        <v>69389065700</v>
      </c>
      <c r="AR155" s="10">
        <v>27774400034.650002</v>
      </c>
      <c r="AS155" s="10">
        <v>14922767787</v>
      </c>
      <c r="AT155" s="10">
        <v>10010197620.75</v>
      </c>
      <c r="AU155" s="14">
        <v>45930</v>
      </c>
      <c r="AV155" s="14">
        <v>45657</v>
      </c>
      <c r="AW155" s="14">
        <v>45291</v>
      </c>
      <c r="AX155" s="14">
        <v>44926</v>
      </c>
      <c r="AY155" s="14">
        <v>44561</v>
      </c>
      <c r="AZ155" s="14">
        <v>44196</v>
      </c>
      <c r="BA155" s="14">
        <v>43830</v>
      </c>
      <c r="BB155" s="14">
        <v>43465</v>
      </c>
      <c r="BC155" s="14">
        <v>43100</v>
      </c>
      <c r="BD155" s="14">
        <v>42735</v>
      </c>
      <c r="BE155" s="14">
        <v>42369</v>
      </c>
      <c r="BF155" s="8" t="s">
        <v>35</v>
      </c>
      <c r="BG155" s="8" t="s">
        <v>35</v>
      </c>
      <c r="BH155" s="8" t="s">
        <v>35</v>
      </c>
      <c r="BI155" s="8" t="s">
        <v>35</v>
      </c>
      <c r="BJ155" s="8" t="s">
        <v>35</v>
      </c>
      <c r="BK155" s="8" t="s">
        <v>35</v>
      </c>
      <c r="BL155" s="8" t="s">
        <v>35</v>
      </c>
      <c r="BM155" s="8" t="s">
        <v>35</v>
      </c>
      <c r="BN155" s="8" t="s">
        <v>35</v>
      </c>
      <c r="BO155" s="8" t="s">
        <v>35</v>
      </c>
      <c r="BP155" s="8" t="s">
        <v>35</v>
      </c>
      <c r="BQ155" s="8" t="s">
        <v>31</v>
      </c>
      <c r="BR155" s="8" t="s">
        <v>36</v>
      </c>
      <c r="BS155" s="10">
        <v>87944723531860.797</v>
      </c>
      <c r="BT155" s="8" t="s">
        <v>61</v>
      </c>
      <c r="BU155" s="8" t="s">
        <v>42</v>
      </c>
      <c r="BV155" s="8" t="s">
        <v>42</v>
      </c>
      <c r="BW155" s="8" t="s">
        <v>42</v>
      </c>
      <c r="BX155" s="8" t="s">
        <v>42</v>
      </c>
      <c r="BY155" s="8" t="s">
        <v>42</v>
      </c>
      <c r="BZ155" s="8" t="s">
        <v>42</v>
      </c>
      <c r="CA155" s="8" t="s">
        <v>42</v>
      </c>
      <c r="CB155" s="8" t="s">
        <v>42</v>
      </c>
      <c r="CC155" s="8" t="s">
        <v>42</v>
      </c>
      <c r="CD155" s="8" t="s">
        <v>42</v>
      </c>
      <c r="CE155" s="8" t="s">
        <v>42</v>
      </c>
      <c r="CF155" s="8" t="s">
        <v>50</v>
      </c>
      <c r="CG155" s="8" t="s">
        <v>51</v>
      </c>
    </row>
    <row r="156" spans="1:85" ht="15.75" customHeight="1" x14ac:dyDescent="0.35">
      <c r="A156" s="8">
        <v>149</v>
      </c>
      <c r="B156" s="8" t="s">
        <v>269</v>
      </c>
      <c r="C156" s="9">
        <v>7.8999999999999996E-5</v>
      </c>
      <c r="D156" s="9">
        <v>6.0000000000000002E-5</v>
      </c>
      <c r="E156" s="9">
        <v>5.5999999999999999E-5</v>
      </c>
      <c r="F156" s="9">
        <v>3.4E-5</v>
      </c>
      <c r="G156" s="9">
        <v>9.8999999999999994E-5</v>
      </c>
      <c r="H156" s="9">
        <v>2.0799999999999999E-4</v>
      </c>
      <c r="I156" s="9">
        <v>1.03E-4</v>
      </c>
      <c r="J156" s="9">
        <v>1.2400000000000001E-4</v>
      </c>
      <c r="K156" s="9">
        <v>1.22E-4</v>
      </c>
      <c r="L156" s="9">
        <v>1.2899999999999999E-4</v>
      </c>
      <c r="M156" s="9">
        <v>5.8999999999999998E-5</v>
      </c>
      <c r="N156" s="10">
        <v>7298000</v>
      </c>
      <c r="O156" s="10">
        <v>5563700</v>
      </c>
      <c r="P156" s="10">
        <v>5178900</v>
      </c>
      <c r="Q156" s="10">
        <v>3161000</v>
      </c>
      <c r="R156" s="10">
        <v>9173000</v>
      </c>
      <c r="S156" s="10">
        <v>19252000</v>
      </c>
      <c r="T156" s="10">
        <v>9531000</v>
      </c>
      <c r="U156" s="10">
        <v>11471632</v>
      </c>
      <c r="V156" s="10">
        <v>11313228</v>
      </c>
      <c r="W156" s="10">
        <v>11894400</v>
      </c>
      <c r="X156" s="10">
        <v>5427600</v>
      </c>
      <c r="Y156" s="13">
        <v>1734300</v>
      </c>
      <c r="Z156" s="13">
        <v>384800</v>
      </c>
      <c r="AA156" s="13">
        <v>2017900</v>
      </c>
      <c r="AB156" s="12">
        <v>-6012000</v>
      </c>
      <c r="AC156" s="12">
        <v>-10079000</v>
      </c>
      <c r="AD156" s="13">
        <v>9721000</v>
      </c>
      <c r="AE156" s="12">
        <v>-1940632</v>
      </c>
      <c r="AF156" s="13">
        <v>158404</v>
      </c>
      <c r="AG156" s="12">
        <v>-581172</v>
      </c>
      <c r="AH156" s="13">
        <v>6466800</v>
      </c>
      <c r="AI156" s="12">
        <v>-417892</v>
      </c>
      <c r="AJ156" s="10">
        <v>34825863990.75</v>
      </c>
      <c r="AK156" s="10">
        <v>31634446184.900002</v>
      </c>
      <c r="AL156" s="10">
        <v>31332344912.799999</v>
      </c>
      <c r="AM156" s="10">
        <v>15686462567.049999</v>
      </c>
      <c r="AN156" s="10">
        <v>32186282197.5</v>
      </c>
      <c r="AO156" s="10">
        <v>60884449891.199997</v>
      </c>
      <c r="AP156" s="10">
        <v>36470111403.199997</v>
      </c>
      <c r="AQ156" s="10">
        <v>41778503525</v>
      </c>
      <c r="AR156" s="10">
        <v>45252912030.150002</v>
      </c>
      <c r="AS156" s="10">
        <v>34419419954.099998</v>
      </c>
      <c r="AT156" s="10">
        <v>12555879222.6</v>
      </c>
      <c r="AU156" s="14">
        <v>45900</v>
      </c>
      <c r="AV156" s="14">
        <v>45657</v>
      </c>
      <c r="AW156" s="14">
        <v>45291</v>
      </c>
      <c r="AX156" s="14">
        <v>44926</v>
      </c>
      <c r="AY156" s="14">
        <v>44561</v>
      </c>
      <c r="AZ156" s="14">
        <v>44196</v>
      </c>
      <c r="BA156" s="14">
        <v>43830</v>
      </c>
      <c r="BB156" s="14">
        <v>43465</v>
      </c>
      <c r="BC156" s="14">
        <v>43100</v>
      </c>
      <c r="BD156" s="14">
        <v>42735</v>
      </c>
      <c r="BE156" s="14">
        <v>42369</v>
      </c>
      <c r="BF156" s="8" t="s">
        <v>35</v>
      </c>
      <c r="BG156" s="8" t="s">
        <v>35</v>
      </c>
      <c r="BH156" s="8" t="s">
        <v>35</v>
      </c>
      <c r="BI156" s="8" t="s">
        <v>35</v>
      </c>
      <c r="BJ156" s="8" t="s">
        <v>35</v>
      </c>
      <c r="BK156" s="8" t="s">
        <v>35</v>
      </c>
      <c r="BL156" s="8" t="s">
        <v>35</v>
      </c>
      <c r="BM156" s="8" t="s">
        <v>35</v>
      </c>
      <c r="BN156" s="8" t="s">
        <v>35</v>
      </c>
      <c r="BO156" s="8" t="s">
        <v>35</v>
      </c>
      <c r="BP156" s="8" t="s">
        <v>35</v>
      </c>
      <c r="BQ156" s="8" t="s">
        <v>31</v>
      </c>
      <c r="BR156" s="8" t="s">
        <v>49</v>
      </c>
      <c r="BS156" s="10">
        <v>3369705320951430</v>
      </c>
      <c r="BT156" s="8" t="s">
        <v>57</v>
      </c>
      <c r="BU156" s="8" t="s">
        <v>27</v>
      </c>
      <c r="BV156" s="8" t="s">
        <v>27</v>
      </c>
      <c r="BW156" s="8" t="s">
        <v>27</v>
      </c>
      <c r="BX156" s="8" t="s">
        <v>27</v>
      </c>
      <c r="BY156" s="8" t="s">
        <v>27</v>
      </c>
      <c r="BZ156" s="8" t="s">
        <v>27</v>
      </c>
      <c r="CA156" s="8" t="s">
        <v>27</v>
      </c>
      <c r="CB156" s="8" t="s">
        <v>27</v>
      </c>
      <c r="CC156" s="8" t="s">
        <v>27</v>
      </c>
      <c r="CD156" s="8" t="s">
        <v>27</v>
      </c>
      <c r="CE156" s="8" t="s">
        <v>42</v>
      </c>
      <c r="CF156" s="8" t="s">
        <v>95</v>
      </c>
      <c r="CG156" s="8" t="s">
        <v>96</v>
      </c>
    </row>
    <row r="157" spans="1:85" ht="15.75" customHeight="1" x14ac:dyDescent="0.35">
      <c r="A157" s="8">
        <v>150</v>
      </c>
      <c r="B157" s="8" t="s">
        <v>270</v>
      </c>
      <c r="C157" s="9">
        <v>7.8999999999999996E-5</v>
      </c>
      <c r="D157" s="9">
        <v>3.4999999999999997E-5</v>
      </c>
      <c r="E157" s="9">
        <v>3.9999999999999998E-6</v>
      </c>
      <c r="F157" s="8"/>
      <c r="G157" s="8"/>
      <c r="H157" s="8"/>
      <c r="I157" s="8"/>
      <c r="J157" s="8"/>
      <c r="K157" s="8"/>
      <c r="L157" s="8"/>
      <c r="M157" s="8"/>
      <c r="N157" s="10">
        <v>7288000</v>
      </c>
      <c r="O157" s="10">
        <v>3190400</v>
      </c>
      <c r="P157" s="10">
        <v>328200</v>
      </c>
      <c r="Q157" s="8"/>
      <c r="R157" s="8"/>
      <c r="S157" s="8"/>
      <c r="T157" s="8"/>
      <c r="U157" s="8"/>
      <c r="V157" s="8"/>
      <c r="W157" s="8"/>
      <c r="X157" s="8"/>
      <c r="Y157" s="13">
        <v>4097600</v>
      </c>
      <c r="Z157" s="13">
        <v>2862200</v>
      </c>
      <c r="AA157" s="13">
        <v>328200</v>
      </c>
      <c r="AB157" s="8"/>
      <c r="AC157" s="8"/>
      <c r="AD157" s="8"/>
      <c r="AE157" s="8"/>
      <c r="AF157" s="8"/>
      <c r="AG157" s="8"/>
      <c r="AH157" s="8"/>
      <c r="AI157" s="8"/>
      <c r="AJ157" s="10">
        <v>35633501563.800003</v>
      </c>
      <c r="AK157" s="10">
        <v>18140183133.900002</v>
      </c>
      <c r="AL157" s="10">
        <v>1862535028</v>
      </c>
      <c r="AM157" s="8"/>
      <c r="AN157" s="8"/>
      <c r="AO157" s="8"/>
      <c r="AP157" s="8"/>
      <c r="AQ157" s="8"/>
      <c r="AR157" s="8"/>
      <c r="AS157" s="8"/>
      <c r="AT157" s="8"/>
      <c r="AU157" s="14">
        <v>45838</v>
      </c>
      <c r="AV157" s="14">
        <v>45657</v>
      </c>
      <c r="AW157" s="14">
        <v>45230</v>
      </c>
      <c r="AX157" s="8"/>
      <c r="AY157" s="8"/>
      <c r="AZ157" s="8"/>
      <c r="BA157" s="8"/>
      <c r="BB157" s="8"/>
      <c r="BC157" s="8"/>
      <c r="BD157" s="8"/>
      <c r="BE157" s="8"/>
      <c r="BF157" s="8" t="s">
        <v>35</v>
      </c>
      <c r="BG157" s="8" t="s">
        <v>35</v>
      </c>
      <c r="BH157" s="8" t="s">
        <v>35</v>
      </c>
      <c r="BI157" s="8"/>
      <c r="BJ157" s="8"/>
      <c r="BK157" s="8"/>
      <c r="BL157" s="8"/>
      <c r="BM157" s="8"/>
      <c r="BN157" s="8"/>
      <c r="BO157" s="8"/>
      <c r="BP157" s="8"/>
      <c r="BQ157" s="8" t="s">
        <v>31</v>
      </c>
      <c r="BR157" s="8" t="s">
        <v>36</v>
      </c>
      <c r="BS157" s="10">
        <v>10423396591798.801</v>
      </c>
      <c r="BT157" s="8"/>
      <c r="BU157" s="8" t="s">
        <v>42</v>
      </c>
      <c r="BV157" s="8" t="s">
        <v>43</v>
      </c>
      <c r="BW157" s="8" t="s">
        <v>42</v>
      </c>
      <c r="BX157" s="8"/>
      <c r="BY157" s="8"/>
      <c r="BZ157" s="8"/>
      <c r="CA157" s="8"/>
      <c r="CB157" s="8"/>
      <c r="CC157" s="8"/>
      <c r="CD157" s="8"/>
      <c r="CE157" s="8"/>
      <c r="CF157" s="8" t="s">
        <v>232</v>
      </c>
      <c r="CG157" s="8" t="s">
        <v>232</v>
      </c>
    </row>
    <row r="158" spans="1:85" ht="15.75" customHeight="1" x14ac:dyDescent="0.35">
      <c r="A158" s="8">
        <v>151</v>
      </c>
      <c r="B158" s="8" t="s">
        <v>271</v>
      </c>
      <c r="C158" s="9">
        <v>7.8999999999999996E-5</v>
      </c>
      <c r="D158" s="9">
        <v>3.4999999999999997E-5</v>
      </c>
      <c r="E158" s="9">
        <v>3.6000000000000001E-5</v>
      </c>
      <c r="F158" s="9">
        <v>1.02E-4</v>
      </c>
      <c r="G158" s="9">
        <v>1.21E-4</v>
      </c>
      <c r="H158" s="9">
        <v>6.7999999999999999E-5</v>
      </c>
      <c r="I158" s="9">
        <v>1.4E-5</v>
      </c>
      <c r="J158" s="8"/>
      <c r="K158" s="8"/>
      <c r="L158" s="9">
        <v>1.7100000000000001E-4</v>
      </c>
      <c r="M158" s="9">
        <v>1.7100000000000001E-4</v>
      </c>
      <c r="N158" s="10">
        <v>7288000</v>
      </c>
      <c r="O158" s="10">
        <v>3190400</v>
      </c>
      <c r="P158" s="10">
        <v>3308300</v>
      </c>
      <c r="Q158" s="10">
        <v>9442900</v>
      </c>
      <c r="R158" s="10">
        <v>11165800</v>
      </c>
      <c r="S158" s="10">
        <v>6309400</v>
      </c>
      <c r="T158" s="10">
        <v>1310552</v>
      </c>
      <c r="U158" s="8"/>
      <c r="V158" s="8"/>
      <c r="W158" s="10">
        <v>15820524</v>
      </c>
      <c r="X158" s="10">
        <v>15820524</v>
      </c>
      <c r="Y158" s="13">
        <v>4097600</v>
      </c>
      <c r="Z158" s="12">
        <v>-117900</v>
      </c>
      <c r="AA158" s="12">
        <v>-6134600</v>
      </c>
      <c r="AB158" s="12">
        <v>-1722900</v>
      </c>
      <c r="AC158" s="13">
        <v>4856400</v>
      </c>
      <c r="AD158" s="13">
        <v>4998848</v>
      </c>
      <c r="AE158" s="13">
        <v>1310552</v>
      </c>
      <c r="AF158" s="8"/>
      <c r="AG158" s="8"/>
      <c r="AH158" s="11">
        <v>0</v>
      </c>
      <c r="AI158" s="11">
        <v>0</v>
      </c>
      <c r="AJ158" s="10">
        <v>32999272295.5</v>
      </c>
      <c r="AK158" s="10">
        <v>18140183133.900002</v>
      </c>
      <c r="AL158" s="10">
        <v>18774602430</v>
      </c>
      <c r="AM158" s="10">
        <v>46860391355.25</v>
      </c>
      <c r="AN158" s="10">
        <v>39178631797.5</v>
      </c>
      <c r="AO158" s="10">
        <v>19953477414</v>
      </c>
      <c r="AP158" s="10">
        <v>5014791394.8000002</v>
      </c>
      <c r="AQ158" s="8"/>
      <c r="AR158" s="8"/>
      <c r="AS158" s="10">
        <v>31344413194.700001</v>
      </c>
      <c r="AT158" s="10">
        <v>31344413194.700001</v>
      </c>
      <c r="AU158" s="14">
        <v>45869</v>
      </c>
      <c r="AV158" s="14">
        <v>45657</v>
      </c>
      <c r="AW158" s="14">
        <v>45230</v>
      </c>
      <c r="AX158" s="14">
        <v>44926</v>
      </c>
      <c r="AY158" s="14">
        <v>44561</v>
      </c>
      <c r="AZ158" s="14">
        <v>44196</v>
      </c>
      <c r="BA158" s="14">
        <v>43830</v>
      </c>
      <c r="BB158" s="8"/>
      <c r="BC158" s="8"/>
      <c r="BD158" s="14">
        <v>42277</v>
      </c>
      <c r="BE158" s="14">
        <v>42277</v>
      </c>
      <c r="BF158" s="8" t="s">
        <v>35</v>
      </c>
      <c r="BG158" s="8" t="s">
        <v>35</v>
      </c>
      <c r="BH158" s="8" t="s">
        <v>35</v>
      </c>
      <c r="BI158" s="8" t="s">
        <v>35</v>
      </c>
      <c r="BJ158" s="8" t="s">
        <v>35</v>
      </c>
      <c r="BK158" s="8" t="s">
        <v>35</v>
      </c>
      <c r="BL158" s="8" t="s">
        <v>35</v>
      </c>
      <c r="BM158" s="8"/>
      <c r="BN158" s="8"/>
      <c r="BO158" s="8" t="s">
        <v>35</v>
      </c>
      <c r="BP158" s="8" t="s">
        <v>35</v>
      </c>
      <c r="BQ158" s="8" t="s">
        <v>31</v>
      </c>
      <c r="BR158" s="8" t="s">
        <v>36</v>
      </c>
      <c r="BS158" s="10">
        <v>823806963140508</v>
      </c>
      <c r="BT158" s="8"/>
      <c r="BU158" s="8" t="s">
        <v>27</v>
      </c>
      <c r="BV158" s="8" t="s">
        <v>42</v>
      </c>
      <c r="BW158" s="8" t="s">
        <v>42</v>
      </c>
      <c r="BX158" s="8" t="s">
        <v>42</v>
      </c>
      <c r="BY158" s="8" t="s">
        <v>42</v>
      </c>
      <c r="BZ158" s="8" t="s">
        <v>42</v>
      </c>
      <c r="CA158" s="8" t="s">
        <v>42</v>
      </c>
      <c r="CB158" s="8"/>
      <c r="CC158" s="8"/>
      <c r="CD158" s="8" t="s">
        <v>27</v>
      </c>
      <c r="CE158" s="8" t="s">
        <v>27</v>
      </c>
      <c r="CF158" s="8" t="s">
        <v>168</v>
      </c>
      <c r="CG158" s="8" t="s">
        <v>55</v>
      </c>
    </row>
    <row r="159" spans="1:85" ht="15.75" customHeight="1" x14ac:dyDescent="0.35">
      <c r="A159" s="8">
        <v>152</v>
      </c>
      <c r="B159" s="8" t="s">
        <v>272</v>
      </c>
      <c r="C159" s="9">
        <v>7.7999999999999999E-5</v>
      </c>
      <c r="D159" s="9">
        <v>2.4499999999999999E-4</v>
      </c>
      <c r="E159" s="9">
        <v>4.73E-4</v>
      </c>
      <c r="F159" s="9">
        <v>2.12E-4</v>
      </c>
      <c r="G159" s="9">
        <v>3.8000000000000002E-5</v>
      </c>
      <c r="H159" s="9">
        <v>1.6699999999999999E-4</v>
      </c>
      <c r="I159" s="9">
        <v>5.1E-5</v>
      </c>
      <c r="J159" s="9">
        <v>4.3000000000000002E-5</v>
      </c>
      <c r="K159" s="9">
        <v>4.3999999999999999E-5</v>
      </c>
      <c r="L159" s="9">
        <v>4.1E-5</v>
      </c>
      <c r="M159" s="9">
        <v>5.0000000000000002E-5</v>
      </c>
      <c r="N159" s="10">
        <v>7239700</v>
      </c>
      <c r="O159" s="10">
        <v>22599106</v>
      </c>
      <c r="P159" s="10">
        <v>43664242</v>
      </c>
      <c r="Q159" s="10">
        <v>19617378</v>
      </c>
      <c r="R159" s="10">
        <v>3496014</v>
      </c>
      <c r="S159" s="10">
        <v>15475054</v>
      </c>
      <c r="T159" s="10">
        <v>4672314</v>
      </c>
      <c r="U159" s="10">
        <v>3930332</v>
      </c>
      <c r="V159" s="10">
        <v>4047142</v>
      </c>
      <c r="W159" s="10">
        <v>3750000</v>
      </c>
      <c r="X159" s="10">
        <v>4664000</v>
      </c>
      <c r="Y159" s="12">
        <v>-15359406</v>
      </c>
      <c r="Z159" s="12">
        <v>-21065136</v>
      </c>
      <c r="AA159" s="13">
        <v>24046864</v>
      </c>
      <c r="AB159" s="13">
        <v>16121364</v>
      </c>
      <c r="AC159" s="12">
        <v>-11979040</v>
      </c>
      <c r="AD159" s="13">
        <v>10802740</v>
      </c>
      <c r="AE159" s="13">
        <v>741982</v>
      </c>
      <c r="AF159" s="12">
        <v>-116810</v>
      </c>
      <c r="AG159" s="13">
        <v>297142</v>
      </c>
      <c r="AH159" s="12">
        <v>-914000</v>
      </c>
      <c r="AI159" s="11">
        <v>0</v>
      </c>
      <c r="AJ159" s="10">
        <v>31845122687</v>
      </c>
      <c r="AK159" s="10">
        <v>128495462280.10001</v>
      </c>
      <c r="AL159" s="10">
        <v>264168663875.14999</v>
      </c>
      <c r="AM159" s="10">
        <v>97351238333.800003</v>
      </c>
      <c r="AN159" s="10">
        <v>12266836762.5</v>
      </c>
      <c r="AO159" s="10">
        <v>48939858258.800003</v>
      </c>
      <c r="AP159" s="10">
        <v>17878481971.599998</v>
      </c>
      <c r="AQ159" s="10">
        <v>14313864706.25</v>
      </c>
      <c r="AR159" s="10">
        <v>16188567989.75</v>
      </c>
      <c r="AS159" s="10">
        <v>10851562524.299999</v>
      </c>
      <c r="AT159" s="10">
        <v>9240549938.4500008</v>
      </c>
      <c r="AU159" s="14">
        <v>45930</v>
      </c>
      <c r="AV159" s="14">
        <v>45657</v>
      </c>
      <c r="AW159" s="14">
        <v>45291</v>
      </c>
      <c r="AX159" s="14">
        <v>44926</v>
      </c>
      <c r="AY159" s="14">
        <v>44561</v>
      </c>
      <c r="AZ159" s="14">
        <v>44165</v>
      </c>
      <c r="BA159" s="14">
        <v>43830</v>
      </c>
      <c r="BB159" s="14">
        <v>43465</v>
      </c>
      <c r="BC159" s="14">
        <v>43100</v>
      </c>
      <c r="BD159" s="14">
        <v>42735</v>
      </c>
      <c r="BE159" s="14">
        <v>42277</v>
      </c>
      <c r="BF159" s="8" t="s">
        <v>35</v>
      </c>
      <c r="BG159" s="8" t="s">
        <v>35</v>
      </c>
      <c r="BH159" s="8" t="s">
        <v>35</v>
      </c>
      <c r="BI159" s="8" t="s">
        <v>35</v>
      </c>
      <c r="BJ159" s="8" t="s">
        <v>35</v>
      </c>
      <c r="BK159" s="8" t="s">
        <v>35</v>
      </c>
      <c r="BL159" s="8" t="s">
        <v>35</v>
      </c>
      <c r="BM159" s="8" t="s">
        <v>35</v>
      </c>
      <c r="BN159" s="8" t="s">
        <v>35</v>
      </c>
      <c r="BO159" s="8" t="s">
        <v>35</v>
      </c>
      <c r="BP159" s="8" t="s">
        <v>35</v>
      </c>
      <c r="BQ159" s="8" t="s">
        <v>31</v>
      </c>
      <c r="BR159" s="8" t="s">
        <v>36</v>
      </c>
      <c r="BS159" s="10">
        <v>1059858560523320</v>
      </c>
      <c r="BT159" s="8" t="s">
        <v>41</v>
      </c>
      <c r="BU159" s="8" t="s">
        <v>27</v>
      </c>
      <c r="BV159" s="8" t="s">
        <v>27</v>
      </c>
      <c r="BW159" s="8" t="s">
        <v>27</v>
      </c>
      <c r="BX159" s="8" t="s">
        <v>27</v>
      </c>
      <c r="BY159" s="8" t="s">
        <v>27</v>
      </c>
      <c r="BZ159" s="8" t="s">
        <v>27</v>
      </c>
      <c r="CA159" s="8" t="s">
        <v>42</v>
      </c>
      <c r="CB159" s="8" t="s">
        <v>42</v>
      </c>
      <c r="CC159" s="8" t="s">
        <v>42</v>
      </c>
      <c r="CD159" s="8" t="s">
        <v>27</v>
      </c>
      <c r="CE159" s="8" t="s">
        <v>42</v>
      </c>
      <c r="CF159" s="8" t="s">
        <v>212</v>
      </c>
      <c r="CG159" s="8" t="s">
        <v>213</v>
      </c>
    </row>
    <row r="160" spans="1:85" ht="15.75" customHeight="1" x14ac:dyDescent="0.35">
      <c r="A160" s="8">
        <v>153</v>
      </c>
      <c r="B160" s="8" t="s">
        <v>273</v>
      </c>
      <c r="C160" s="9">
        <v>7.7000000000000001E-5</v>
      </c>
      <c r="D160" s="9">
        <v>8.7000000000000001E-5</v>
      </c>
      <c r="E160" s="9">
        <v>1.15E-4</v>
      </c>
      <c r="F160" s="9">
        <v>1.16E-4</v>
      </c>
      <c r="G160" s="9">
        <v>2.0000000000000002E-5</v>
      </c>
      <c r="H160" s="9">
        <v>4.0000000000000003E-5</v>
      </c>
      <c r="I160" s="9">
        <v>5.7000000000000003E-5</v>
      </c>
      <c r="J160" s="9">
        <v>0</v>
      </c>
      <c r="K160" s="9">
        <v>3.77E-4</v>
      </c>
      <c r="L160" s="9">
        <v>3.9899999999999999E-4</v>
      </c>
      <c r="M160" s="9">
        <v>2.6200000000000003E-4</v>
      </c>
      <c r="N160" s="10">
        <v>7150600</v>
      </c>
      <c r="O160" s="10">
        <v>8032400</v>
      </c>
      <c r="P160" s="10">
        <v>10595200</v>
      </c>
      <c r="Q160" s="10">
        <v>10711200</v>
      </c>
      <c r="R160" s="10">
        <v>1829400</v>
      </c>
      <c r="S160" s="10">
        <v>3717400</v>
      </c>
      <c r="T160" s="10">
        <v>5307600</v>
      </c>
      <c r="U160" s="10">
        <v>0</v>
      </c>
      <c r="V160" s="10">
        <v>34827200</v>
      </c>
      <c r="W160" s="10">
        <v>36910000</v>
      </c>
      <c r="X160" s="10">
        <v>24216800</v>
      </c>
      <c r="Y160" s="12">
        <v>-881800</v>
      </c>
      <c r="Z160" s="12">
        <v>-2562800</v>
      </c>
      <c r="AA160" s="12">
        <v>-116000</v>
      </c>
      <c r="AB160" s="13">
        <v>8881800</v>
      </c>
      <c r="AC160" s="12">
        <v>-1888000</v>
      </c>
      <c r="AD160" s="12">
        <v>-1590200</v>
      </c>
      <c r="AE160" s="13">
        <v>5307600</v>
      </c>
      <c r="AF160" s="12">
        <v>-34827200</v>
      </c>
      <c r="AG160" s="12">
        <v>-2082800</v>
      </c>
      <c r="AH160" s="13">
        <v>12693200</v>
      </c>
      <c r="AI160" s="12">
        <v>-5856800</v>
      </c>
      <c r="AJ160" s="10">
        <v>31453200352</v>
      </c>
      <c r="AK160" s="10">
        <v>45671140786.5</v>
      </c>
      <c r="AL160" s="10">
        <v>64100959884.699997</v>
      </c>
      <c r="AM160" s="10">
        <v>53154330089.849998</v>
      </c>
      <c r="AN160" s="10">
        <v>6419010682.5</v>
      </c>
      <c r="AO160" s="10">
        <v>11756277468</v>
      </c>
      <c r="AP160" s="10">
        <v>20309386585.200001</v>
      </c>
      <c r="AQ160" s="10">
        <v>0</v>
      </c>
      <c r="AR160" s="10">
        <v>139308799955.75</v>
      </c>
      <c r="AS160" s="10">
        <v>103347999993.17999</v>
      </c>
      <c r="AT160" s="10">
        <v>56021669852.400002</v>
      </c>
      <c r="AU160" s="14">
        <v>45930</v>
      </c>
      <c r="AV160" s="14">
        <v>45657</v>
      </c>
      <c r="AW160" s="14">
        <v>45291</v>
      </c>
      <c r="AX160" s="14">
        <v>44926</v>
      </c>
      <c r="AY160" s="14">
        <v>44561</v>
      </c>
      <c r="AZ160" s="14">
        <v>44196</v>
      </c>
      <c r="BA160" s="14">
        <v>43830</v>
      </c>
      <c r="BB160" s="14">
        <v>43373</v>
      </c>
      <c r="BC160" s="14">
        <v>43100</v>
      </c>
      <c r="BD160" s="14">
        <v>42643</v>
      </c>
      <c r="BE160" s="14">
        <v>42369</v>
      </c>
      <c r="BF160" s="8" t="s">
        <v>35</v>
      </c>
      <c r="BG160" s="8" t="s">
        <v>35</v>
      </c>
      <c r="BH160" s="8" t="s">
        <v>35</v>
      </c>
      <c r="BI160" s="8" t="s">
        <v>35</v>
      </c>
      <c r="BJ160" s="8" t="s">
        <v>35</v>
      </c>
      <c r="BK160" s="8" t="s">
        <v>35</v>
      </c>
      <c r="BL160" s="8" t="s">
        <v>35</v>
      </c>
      <c r="BM160" s="8" t="s">
        <v>35</v>
      </c>
      <c r="BN160" s="8" t="s">
        <v>35</v>
      </c>
      <c r="BO160" s="8" t="s">
        <v>35</v>
      </c>
      <c r="BP160" s="8" t="s">
        <v>35</v>
      </c>
      <c r="BQ160" s="8" t="s">
        <v>31</v>
      </c>
      <c r="BR160" s="8" t="s">
        <v>49</v>
      </c>
      <c r="BS160" s="10">
        <v>8695271919306670</v>
      </c>
      <c r="BT160" s="8" t="s">
        <v>41</v>
      </c>
      <c r="BU160" s="8" t="s">
        <v>27</v>
      </c>
      <c r="BV160" s="8" t="s">
        <v>27</v>
      </c>
      <c r="BW160" s="8" t="s">
        <v>27</v>
      </c>
      <c r="BX160" s="8" t="s">
        <v>27</v>
      </c>
      <c r="BY160" s="8" t="s">
        <v>27</v>
      </c>
      <c r="BZ160" s="8" t="s">
        <v>27</v>
      </c>
      <c r="CA160" s="8" t="s">
        <v>27</v>
      </c>
      <c r="CB160" s="8" t="s">
        <v>27</v>
      </c>
      <c r="CC160" s="8" t="s">
        <v>27</v>
      </c>
      <c r="CD160" s="8" t="s">
        <v>27</v>
      </c>
      <c r="CE160" s="8" t="s">
        <v>27</v>
      </c>
      <c r="CF160" s="8" t="s">
        <v>85</v>
      </c>
      <c r="CG160" s="8" t="s">
        <v>39</v>
      </c>
    </row>
    <row r="161" spans="1:85" ht="15.75" hidden="1" customHeight="1" x14ac:dyDescent="0.35">
      <c r="A161" s="8">
        <v>154</v>
      </c>
      <c r="B161" s="8" t="s">
        <v>274</v>
      </c>
      <c r="C161" s="9">
        <v>7.7000000000000001E-5</v>
      </c>
      <c r="D161" s="9">
        <v>7.7000000000000001E-5</v>
      </c>
      <c r="E161" s="9">
        <v>4.5000000000000003E-5</v>
      </c>
      <c r="F161" s="9">
        <v>2.4000000000000001E-5</v>
      </c>
      <c r="G161" s="9">
        <v>1.4E-5</v>
      </c>
      <c r="H161" s="9">
        <v>6.0000000000000002E-6</v>
      </c>
      <c r="I161" s="8"/>
      <c r="J161" s="8"/>
      <c r="K161" s="8"/>
      <c r="L161" s="8"/>
      <c r="M161" s="8"/>
      <c r="N161" s="10">
        <v>7102000</v>
      </c>
      <c r="O161" s="10">
        <v>7102000</v>
      </c>
      <c r="P161" s="10">
        <v>4137300</v>
      </c>
      <c r="Q161" s="10">
        <v>2224600</v>
      </c>
      <c r="R161" s="10">
        <v>1303600</v>
      </c>
      <c r="S161" s="10">
        <v>561000</v>
      </c>
      <c r="T161" s="8"/>
      <c r="U161" s="8"/>
      <c r="V161" s="8"/>
      <c r="W161" s="8"/>
      <c r="X161" s="8"/>
      <c r="Y161" s="11">
        <v>0</v>
      </c>
      <c r="Z161" s="13">
        <v>2964700</v>
      </c>
      <c r="AA161" s="13">
        <v>1912700</v>
      </c>
      <c r="AB161" s="13">
        <v>921000</v>
      </c>
      <c r="AC161" s="13">
        <v>742600</v>
      </c>
      <c r="AD161" s="13">
        <v>561000</v>
      </c>
      <c r="AE161" s="8"/>
      <c r="AF161" s="8"/>
      <c r="AG161" s="8"/>
      <c r="AH161" s="8"/>
      <c r="AI161" s="8"/>
      <c r="AJ161" s="10">
        <v>40381012179.800003</v>
      </c>
      <c r="AK161" s="10">
        <v>40381012179.800003</v>
      </c>
      <c r="AL161" s="10">
        <v>25030664917.299999</v>
      </c>
      <c r="AM161" s="10">
        <v>11039577578.15</v>
      </c>
      <c r="AN161" s="10">
        <v>4574080140</v>
      </c>
      <c r="AO161" s="10">
        <v>1774162494</v>
      </c>
      <c r="AP161" s="8"/>
      <c r="AQ161" s="8"/>
      <c r="AR161" s="8"/>
      <c r="AS161" s="8"/>
      <c r="AT161" s="8"/>
      <c r="AU161" s="14">
        <v>45657</v>
      </c>
      <c r="AV161" s="14">
        <v>45657</v>
      </c>
      <c r="AW161" s="14">
        <v>45291</v>
      </c>
      <c r="AX161" s="14">
        <v>44926</v>
      </c>
      <c r="AY161" s="14">
        <v>44561</v>
      </c>
      <c r="AZ161" s="14">
        <v>44196</v>
      </c>
      <c r="BA161" s="8"/>
      <c r="BB161" s="8"/>
      <c r="BC161" s="8"/>
      <c r="BD161" s="8"/>
      <c r="BE161" s="8"/>
      <c r="BF161" s="8" t="s">
        <v>201</v>
      </c>
      <c r="BG161" s="8" t="s">
        <v>201</v>
      </c>
      <c r="BH161" s="8" t="s">
        <v>201</v>
      </c>
      <c r="BI161" s="8" t="s">
        <v>201</v>
      </c>
      <c r="BJ161" s="8" t="s">
        <v>201</v>
      </c>
      <c r="BK161" s="8" t="s">
        <v>201</v>
      </c>
      <c r="BL161" s="8"/>
      <c r="BM161" s="8"/>
      <c r="BN161" s="8"/>
      <c r="BO161" s="8"/>
      <c r="BP161" s="8"/>
      <c r="BQ161" s="8" t="s">
        <v>25</v>
      </c>
      <c r="BR161" s="8" t="s">
        <v>202</v>
      </c>
      <c r="BS161" s="10">
        <v>41861732949.599998</v>
      </c>
      <c r="BT161" s="8"/>
      <c r="BU161" s="8" t="s">
        <v>27</v>
      </c>
      <c r="BV161" s="8" t="s">
        <v>27</v>
      </c>
      <c r="BW161" s="8" t="s">
        <v>27</v>
      </c>
      <c r="BX161" s="8" t="s">
        <v>27</v>
      </c>
      <c r="BY161" s="8" t="s">
        <v>27</v>
      </c>
      <c r="BZ161" s="8" t="s">
        <v>27</v>
      </c>
      <c r="CA161" s="8"/>
      <c r="CB161" s="8"/>
      <c r="CC161" s="8"/>
      <c r="CD161" s="8"/>
      <c r="CE161" s="8"/>
      <c r="CF161" s="8"/>
      <c r="CG161" s="8" t="s">
        <v>29</v>
      </c>
    </row>
    <row r="162" spans="1:85" ht="15.75" customHeight="1" x14ac:dyDescent="0.35">
      <c r="A162" s="8">
        <v>155</v>
      </c>
      <c r="B162" s="8" t="s">
        <v>275</v>
      </c>
      <c r="C162" s="9">
        <v>7.4999999999999993E-5</v>
      </c>
      <c r="D162" s="9">
        <v>4.0000000000000003E-5</v>
      </c>
      <c r="E162" s="9">
        <v>4.0000000000000003E-5</v>
      </c>
      <c r="F162" s="9">
        <v>1.1E-4</v>
      </c>
      <c r="G162" s="8"/>
      <c r="H162" s="8"/>
      <c r="I162" s="8"/>
      <c r="J162" s="8"/>
      <c r="K162" s="8"/>
      <c r="L162" s="8"/>
      <c r="M162" s="8"/>
      <c r="N162" s="10">
        <v>6974799</v>
      </c>
      <c r="O162" s="10">
        <v>3726000</v>
      </c>
      <c r="P162" s="10">
        <v>3713600</v>
      </c>
      <c r="Q162" s="10">
        <v>10178402</v>
      </c>
      <c r="R162" s="8"/>
      <c r="S162" s="8"/>
      <c r="T162" s="8"/>
      <c r="U162" s="8"/>
      <c r="V162" s="8"/>
      <c r="W162" s="8"/>
      <c r="X162" s="8"/>
      <c r="Y162" s="13">
        <v>3248799</v>
      </c>
      <c r="Z162" s="13">
        <v>12400</v>
      </c>
      <c r="AA162" s="12">
        <v>-6464802</v>
      </c>
      <c r="AB162" s="13">
        <v>10178402</v>
      </c>
      <c r="AC162" s="8"/>
      <c r="AD162" s="8"/>
      <c r="AE162" s="8"/>
      <c r="AF162" s="8"/>
      <c r="AG162" s="8"/>
      <c r="AH162" s="8"/>
      <c r="AI162" s="8"/>
      <c r="AJ162" s="10">
        <v>31581132271.5</v>
      </c>
      <c r="AK162" s="10">
        <v>21185532446</v>
      </c>
      <c r="AL162" s="10">
        <v>22467279953.450001</v>
      </c>
      <c r="AM162" s="10">
        <v>50510320038.75</v>
      </c>
      <c r="AN162" s="8"/>
      <c r="AO162" s="8"/>
      <c r="AP162" s="8"/>
      <c r="AQ162" s="8"/>
      <c r="AR162" s="8"/>
      <c r="AS162" s="8"/>
      <c r="AT162" s="8"/>
      <c r="AU162" s="14">
        <v>45869</v>
      </c>
      <c r="AV162" s="14">
        <v>45657</v>
      </c>
      <c r="AW162" s="14">
        <v>45291</v>
      </c>
      <c r="AX162" s="14">
        <v>44926</v>
      </c>
      <c r="AY162" s="8"/>
      <c r="AZ162" s="8"/>
      <c r="BA162" s="8"/>
      <c r="BB162" s="8"/>
      <c r="BC162" s="8"/>
      <c r="BD162" s="8"/>
      <c r="BE162" s="8"/>
      <c r="BF162" s="8" t="s">
        <v>35</v>
      </c>
      <c r="BG162" s="8" t="s">
        <v>35</v>
      </c>
      <c r="BH162" s="8" t="s">
        <v>35</v>
      </c>
      <c r="BI162" s="8" t="s">
        <v>35</v>
      </c>
      <c r="BJ162" s="8"/>
      <c r="BK162" s="8"/>
      <c r="BL162" s="8"/>
      <c r="BM162" s="8"/>
      <c r="BN162" s="8"/>
      <c r="BO162" s="8"/>
      <c r="BP162" s="8"/>
      <c r="BQ162" s="8" t="s">
        <v>31</v>
      </c>
      <c r="BR162" s="8" t="s">
        <v>36</v>
      </c>
      <c r="BS162" s="10">
        <v>78200686614525.594</v>
      </c>
      <c r="BT162" s="8"/>
      <c r="BU162" s="8" t="s">
        <v>42</v>
      </c>
      <c r="BV162" s="8" t="s">
        <v>43</v>
      </c>
      <c r="BW162" s="8" t="s">
        <v>42</v>
      </c>
      <c r="BX162" s="8" t="s">
        <v>42</v>
      </c>
      <c r="BY162" s="8"/>
      <c r="BZ162" s="8"/>
      <c r="CA162" s="8"/>
      <c r="CB162" s="8"/>
      <c r="CC162" s="8"/>
      <c r="CD162" s="8"/>
      <c r="CE162" s="8"/>
      <c r="CF162" s="8" t="s">
        <v>50</v>
      </c>
      <c r="CG162" s="8" t="s">
        <v>51</v>
      </c>
    </row>
    <row r="163" spans="1:85" ht="15.75" customHeight="1" x14ac:dyDescent="0.35">
      <c r="A163" s="8">
        <v>156</v>
      </c>
      <c r="B163" s="8" t="s">
        <v>276</v>
      </c>
      <c r="C163" s="9">
        <v>7.4999999999999993E-5</v>
      </c>
      <c r="D163" s="9">
        <v>6.9999999999999994E-5</v>
      </c>
      <c r="E163" s="9">
        <v>6.8999999999999997E-5</v>
      </c>
      <c r="F163" s="9">
        <v>7.9999999999999996E-6</v>
      </c>
      <c r="G163" s="9">
        <v>1.06E-4</v>
      </c>
      <c r="H163" s="9">
        <v>3.0000000000000001E-6</v>
      </c>
      <c r="I163" s="9">
        <v>3.0000000000000001E-6</v>
      </c>
      <c r="J163" s="9">
        <v>2.1999999999999999E-5</v>
      </c>
      <c r="K163" s="9">
        <v>8.6000000000000003E-5</v>
      </c>
      <c r="L163" s="9">
        <v>9.9999999999999995E-7</v>
      </c>
      <c r="M163" s="9">
        <v>3.1000000000000001E-5</v>
      </c>
      <c r="N163" s="10">
        <v>6957322</v>
      </c>
      <c r="O163" s="10">
        <v>6474641</v>
      </c>
      <c r="P163" s="10">
        <v>6413081</v>
      </c>
      <c r="Q163" s="10">
        <v>710770</v>
      </c>
      <c r="R163" s="10">
        <v>9807796</v>
      </c>
      <c r="S163" s="10">
        <v>272446</v>
      </c>
      <c r="T163" s="10">
        <v>318786</v>
      </c>
      <c r="U163" s="10">
        <v>2068228</v>
      </c>
      <c r="V163" s="10">
        <v>7985200</v>
      </c>
      <c r="W163" s="10">
        <v>97728</v>
      </c>
      <c r="X163" s="10">
        <v>2892196</v>
      </c>
      <c r="Y163" s="13">
        <v>482681</v>
      </c>
      <c r="Z163" s="13">
        <v>61560</v>
      </c>
      <c r="AA163" s="13">
        <v>5702311</v>
      </c>
      <c r="AB163" s="12">
        <v>-9097026</v>
      </c>
      <c r="AC163" s="13">
        <v>9535350</v>
      </c>
      <c r="AD163" s="12">
        <v>-46340</v>
      </c>
      <c r="AE163" s="12">
        <v>-1749442</v>
      </c>
      <c r="AF163" s="12">
        <v>-5916972</v>
      </c>
      <c r="AG163" s="13">
        <v>7887472</v>
      </c>
      <c r="AH163" s="12">
        <v>-2794468</v>
      </c>
      <c r="AI163" s="11">
        <v>0</v>
      </c>
      <c r="AJ163" s="10">
        <v>36907802065.75</v>
      </c>
      <c r="AK163" s="10">
        <v>41437702440.400002</v>
      </c>
      <c r="AL163" s="10">
        <v>36714888738</v>
      </c>
      <c r="AM163" s="10">
        <v>2940810948.4000001</v>
      </c>
      <c r="AN163" s="10">
        <v>29423388038.75</v>
      </c>
      <c r="AO163" s="10">
        <v>607554592</v>
      </c>
      <c r="AP163" s="10">
        <v>1271159111.8399999</v>
      </c>
      <c r="AQ163" s="10">
        <v>6876858099.75</v>
      </c>
      <c r="AR163" s="10">
        <v>27249495058.52</v>
      </c>
      <c r="AS163" s="10">
        <v>220498755.19999999</v>
      </c>
      <c r="AT163" s="10">
        <v>7772776718.3999996</v>
      </c>
      <c r="AU163" s="14">
        <v>45808</v>
      </c>
      <c r="AV163" s="14">
        <v>45504</v>
      </c>
      <c r="AW163" s="14">
        <v>45138</v>
      </c>
      <c r="AX163" s="14">
        <v>44773</v>
      </c>
      <c r="AY163" s="14">
        <v>44347</v>
      </c>
      <c r="AZ163" s="14">
        <v>43951</v>
      </c>
      <c r="BA163" s="14">
        <v>43677</v>
      </c>
      <c r="BB163" s="14">
        <v>43312</v>
      </c>
      <c r="BC163" s="14">
        <v>42947</v>
      </c>
      <c r="BD163" s="14">
        <v>42521</v>
      </c>
      <c r="BE163" s="14">
        <v>42124</v>
      </c>
      <c r="BF163" s="8" t="s">
        <v>35</v>
      </c>
      <c r="BG163" s="8" t="s">
        <v>35</v>
      </c>
      <c r="BH163" s="8" t="s">
        <v>35</v>
      </c>
      <c r="BI163" s="8" t="s">
        <v>35</v>
      </c>
      <c r="BJ163" s="8" t="s">
        <v>35</v>
      </c>
      <c r="BK163" s="8" t="s">
        <v>35</v>
      </c>
      <c r="BL163" s="8" t="s">
        <v>35</v>
      </c>
      <c r="BM163" s="8" t="s">
        <v>35</v>
      </c>
      <c r="BN163" s="8" t="s">
        <v>35</v>
      </c>
      <c r="BO163" s="8" t="s">
        <v>35</v>
      </c>
      <c r="BP163" s="8" t="s">
        <v>35</v>
      </c>
      <c r="BQ163" s="8" t="s">
        <v>31</v>
      </c>
      <c r="BR163" s="8" t="s">
        <v>49</v>
      </c>
      <c r="BS163" s="10">
        <v>698921570231609</v>
      </c>
      <c r="BT163" s="8" t="s">
        <v>37</v>
      </c>
      <c r="BU163" s="8" t="s">
        <v>27</v>
      </c>
      <c r="BV163" s="8" t="s">
        <v>27</v>
      </c>
      <c r="BW163" s="8" t="s">
        <v>27</v>
      </c>
      <c r="BX163" s="8" t="s">
        <v>42</v>
      </c>
      <c r="BY163" s="8" t="s">
        <v>27</v>
      </c>
      <c r="BZ163" s="8" t="s">
        <v>27</v>
      </c>
      <c r="CA163" s="8" t="s">
        <v>42</v>
      </c>
      <c r="CB163" s="8" t="s">
        <v>42</v>
      </c>
      <c r="CC163" s="8" t="s">
        <v>27</v>
      </c>
      <c r="CD163" s="8" t="s">
        <v>43</v>
      </c>
      <c r="CE163" s="8" t="s">
        <v>27</v>
      </c>
      <c r="CF163" s="8" t="s">
        <v>180</v>
      </c>
      <c r="CG163" s="8" t="s">
        <v>181</v>
      </c>
    </row>
    <row r="164" spans="1:85" ht="15.75" customHeight="1" x14ac:dyDescent="0.35">
      <c r="A164" s="8">
        <v>157</v>
      </c>
      <c r="B164" s="8" t="s">
        <v>277</v>
      </c>
      <c r="C164" s="9">
        <v>7.4999999999999993E-5</v>
      </c>
      <c r="D164" s="9">
        <v>4.3999999999999999E-5</v>
      </c>
      <c r="E164" s="9">
        <v>4.1E-5</v>
      </c>
      <c r="F164" s="9">
        <v>3.1999999999999999E-5</v>
      </c>
      <c r="G164" s="8"/>
      <c r="H164" s="8"/>
      <c r="I164" s="8"/>
      <c r="J164" s="8"/>
      <c r="K164" s="8"/>
      <c r="L164" s="8"/>
      <c r="M164" s="8"/>
      <c r="N164" s="10">
        <v>6939761</v>
      </c>
      <c r="O164" s="10">
        <v>4085878</v>
      </c>
      <c r="P164" s="10">
        <v>3831382</v>
      </c>
      <c r="Q164" s="10">
        <v>2958358</v>
      </c>
      <c r="R164" s="8"/>
      <c r="S164" s="8"/>
      <c r="T164" s="8"/>
      <c r="U164" s="8"/>
      <c r="V164" s="8"/>
      <c r="W164" s="8"/>
      <c r="X164" s="8"/>
      <c r="Y164" s="13">
        <v>2853883</v>
      </c>
      <c r="Z164" s="13">
        <v>254496</v>
      </c>
      <c r="AA164" s="13">
        <v>873024</v>
      </c>
      <c r="AB164" s="13">
        <v>2958358</v>
      </c>
      <c r="AC164" s="8"/>
      <c r="AD164" s="8"/>
      <c r="AE164" s="8"/>
      <c r="AF164" s="8"/>
      <c r="AG164" s="8"/>
      <c r="AH164" s="8"/>
      <c r="AI164" s="8"/>
      <c r="AJ164" s="10">
        <v>30525786965.799999</v>
      </c>
      <c r="AK164" s="10">
        <v>23231750038.5</v>
      </c>
      <c r="AL164" s="10">
        <v>23179861082.799999</v>
      </c>
      <c r="AM164" s="10">
        <v>14680851654.700001</v>
      </c>
      <c r="AN164" s="8"/>
      <c r="AO164" s="8"/>
      <c r="AP164" s="8"/>
      <c r="AQ164" s="8"/>
      <c r="AR164" s="8"/>
      <c r="AS164" s="8"/>
      <c r="AT164" s="8"/>
      <c r="AU164" s="14">
        <v>45930</v>
      </c>
      <c r="AV164" s="14">
        <v>45657</v>
      </c>
      <c r="AW164" s="14">
        <v>45291</v>
      </c>
      <c r="AX164" s="14">
        <v>44926</v>
      </c>
      <c r="AY164" s="8"/>
      <c r="AZ164" s="8"/>
      <c r="BA164" s="8"/>
      <c r="BB164" s="8"/>
      <c r="BC164" s="8"/>
      <c r="BD164" s="8"/>
      <c r="BE164" s="8"/>
      <c r="BF164" s="8" t="s">
        <v>35</v>
      </c>
      <c r="BG164" s="8" t="s">
        <v>35</v>
      </c>
      <c r="BH164" s="8" t="s">
        <v>35</v>
      </c>
      <c r="BI164" s="8" t="s">
        <v>35</v>
      </c>
      <c r="BJ164" s="8"/>
      <c r="BK164" s="8"/>
      <c r="BL164" s="8"/>
      <c r="BM164" s="8"/>
      <c r="BN164" s="8"/>
      <c r="BO164" s="8"/>
      <c r="BP164" s="8"/>
      <c r="BQ164" s="8" t="s">
        <v>31</v>
      </c>
      <c r="BR164" s="8" t="s">
        <v>36</v>
      </c>
      <c r="BS164" s="10">
        <v>24258391304750.398</v>
      </c>
      <c r="BT164" s="8"/>
      <c r="BU164" s="8" t="s">
        <v>42</v>
      </c>
      <c r="BV164" s="8" t="s">
        <v>42</v>
      </c>
      <c r="BW164" s="8" t="s">
        <v>42</v>
      </c>
      <c r="BX164" s="8" t="s">
        <v>42</v>
      </c>
      <c r="BY164" s="8"/>
      <c r="BZ164" s="8"/>
      <c r="CA164" s="8"/>
      <c r="CB164" s="8"/>
      <c r="CC164" s="8"/>
      <c r="CD164" s="8"/>
      <c r="CE164" s="8"/>
      <c r="CF164" s="8" t="s">
        <v>278</v>
      </c>
      <c r="CG164" s="8" t="s">
        <v>39</v>
      </c>
    </row>
    <row r="165" spans="1:85" ht="15.75" customHeight="1" x14ac:dyDescent="0.35">
      <c r="A165" s="8">
        <v>158</v>
      </c>
      <c r="B165" s="8" t="s">
        <v>279</v>
      </c>
      <c r="C165" s="9">
        <v>7.3999999999999996E-5</v>
      </c>
      <c r="D165" s="9">
        <v>6.9999999999999994E-5</v>
      </c>
      <c r="E165" s="9">
        <v>5.1999999999999997E-5</v>
      </c>
      <c r="F165" s="8"/>
      <c r="G165" s="8"/>
      <c r="H165" s="8"/>
      <c r="I165" s="8"/>
      <c r="J165" s="8"/>
      <c r="K165" s="8"/>
      <c r="L165" s="8"/>
      <c r="M165" s="8"/>
      <c r="N165" s="10">
        <v>6844229</v>
      </c>
      <c r="O165" s="10">
        <v>6470502</v>
      </c>
      <c r="P165" s="10">
        <v>4766294</v>
      </c>
      <c r="Q165" s="8"/>
      <c r="R165" s="8"/>
      <c r="S165" s="8"/>
      <c r="T165" s="8"/>
      <c r="U165" s="8"/>
      <c r="V165" s="8"/>
      <c r="W165" s="8"/>
      <c r="X165" s="8"/>
      <c r="Y165" s="13">
        <v>373727</v>
      </c>
      <c r="Z165" s="13">
        <v>1704208</v>
      </c>
      <c r="AA165" s="13">
        <v>4766294</v>
      </c>
      <c r="AB165" s="8"/>
      <c r="AC165" s="8"/>
      <c r="AD165" s="8"/>
      <c r="AE165" s="8"/>
      <c r="AF165" s="8"/>
      <c r="AG165" s="8"/>
      <c r="AH165" s="8"/>
      <c r="AI165" s="8"/>
      <c r="AJ165" s="10">
        <v>32660480607.299999</v>
      </c>
      <c r="AK165" s="10">
        <v>36790399798.900002</v>
      </c>
      <c r="AL165" s="10">
        <v>28836078608.099998</v>
      </c>
      <c r="AM165" s="8"/>
      <c r="AN165" s="8"/>
      <c r="AO165" s="8"/>
      <c r="AP165" s="8"/>
      <c r="AQ165" s="8"/>
      <c r="AR165" s="8"/>
      <c r="AS165" s="8"/>
      <c r="AT165" s="8"/>
      <c r="AU165" s="14">
        <v>45900</v>
      </c>
      <c r="AV165" s="14">
        <v>45657</v>
      </c>
      <c r="AW165" s="14">
        <v>45291</v>
      </c>
      <c r="AX165" s="8"/>
      <c r="AY165" s="8"/>
      <c r="AZ165" s="8"/>
      <c r="BA165" s="8"/>
      <c r="BB165" s="8"/>
      <c r="BC165" s="8"/>
      <c r="BD165" s="8"/>
      <c r="BE165" s="8"/>
      <c r="BF165" s="8" t="s">
        <v>35</v>
      </c>
      <c r="BG165" s="8" t="s">
        <v>35</v>
      </c>
      <c r="BH165" s="8" t="s">
        <v>35</v>
      </c>
      <c r="BI165" s="8"/>
      <c r="BJ165" s="8"/>
      <c r="BK165" s="8"/>
      <c r="BL165" s="8"/>
      <c r="BM165" s="8"/>
      <c r="BN165" s="8"/>
      <c r="BO165" s="8"/>
      <c r="BP165" s="8"/>
      <c r="BQ165" s="8" t="s">
        <v>31</v>
      </c>
      <c r="BR165" s="8" t="s">
        <v>49</v>
      </c>
      <c r="BS165" s="10">
        <v>77703473652117.594</v>
      </c>
      <c r="BT165" s="8" t="s">
        <v>101</v>
      </c>
      <c r="BU165" s="8" t="s">
        <v>27</v>
      </c>
      <c r="BV165" s="8" t="s">
        <v>27</v>
      </c>
      <c r="BW165" s="8" t="s">
        <v>42</v>
      </c>
      <c r="BX165" s="8"/>
      <c r="BY165" s="8"/>
      <c r="BZ165" s="8"/>
      <c r="CA165" s="8"/>
      <c r="CB165" s="8"/>
      <c r="CC165" s="8"/>
      <c r="CD165" s="8"/>
      <c r="CE165" s="8"/>
      <c r="CF165" s="8" t="s">
        <v>50</v>
      </c>
      <c r="CG165" s="8" t="s">
        <v>51</v>
      </c>
    </row>
    <row r="166" spans="1:85" ht="15.75" customHeight="1" x14ac:dyDescent="0.35">
      <c r="A166" s="8">
        <v>159</v>
      </c>
      <c r="B166" s="8" t="s">
        <v>280</v>
      </c>
      <c r="C166" s="9">
        <v>7.2999999999999999E-5</v>
      </c>
      <c r="D166" s="9">
        <v>1.2E-4</v>
      </c>
      <c r="E166" s="9">
        <v>1.2999999999999999E-4</v>
      </c>
      <c r="F166" s="9">
        <v>1.16E-4</v>
      </c>
      <c r="G166" s="9">
        <v>7.8999999999999996E-5</v>
      </c>
      <c r="H166" s="9">
        <v>9.1000000000000003E-5</v>
      </c>
      <c r="I166" s="9">
        <v>8.5000000000000006E-5</v>
      </c>
      <c r="J166" s="9">
        <v>0</v>
      </c>
      <c r="K166" s="9">
        <v>3.8000000000000002E-5</v>
      </c>
      <c r="L166" s="9">
        <v>5.1999999999999997E-5</v>
      </c>
      <c r="M166" s="9">
        <v>9.1000000000000003E-5</v>
      </c>
      <c r="N166" s="10">
        <v>6742000</v>
      </c>
      <c r="O166" s="10">
        <v>11101100</v>
      </c>
      <c r="P166" s="10">
        <v>12023200</v>
      </c>
      <c r="Q166" s="10">
        <v>10680400</v>
      </c>
      <c r="R166" s="10">
        <v>7282000</v>
      </c>
      <c r="S166" s="10">
        <v>8451400</v>
      </c>
      <c r="T166" s="10">
        <v>7839200</v>
      </c>
      <c r="U166" s="10">
        <v>0</v>
      </c>
      <c r="V166" s="10">
        <v>3467200</v>
      </c>
      <c r="W166" s="10">
        <v>4798468</v>
      </c>
      <c r="X166" s="10">
        <v>8403348</v>
      </c>
      <c r="Y166" s="12">
        <v>-4359100</v>
      </c>
      <c r="Z166" s="12">
        <v>-922100</v>
      </c>
      <c r="AA166" s="13">
        <v>1342800</v>
      </c>
      <c r="AB166" s="13">
        <v>3398400</v>
      </c>
      <c r="AC166" s="12">
        <v>-1169400</v>
      </c>
      <c r="AD166" s="13">
        <v>612200</v>
      </c>
      <c r="AE166" s="13">
        <v>7839200</v>
      </c>
      <c r="AF166" s="12">
        <v>-3467200</v>
      </c>
      <c r="AG166" s="12">
        <v>-1331268</v>
      </c>
      <c r="AH166" s="12">
        <v>-3604880</v>
      </c>
      <c r="AI166" s="11">
        <v>0</v>
      </c>
      <c r="AJ166" s="10">
        <v>29655899726.599998</v>
      </c>
      <c r="AK166" s="10">
        <v>63119354162.400002</v>
      </c>
      <c r="AL166" s="10">
        <v>72740360007.649994</v>
      </c>
      <c r="AM166" s="10">
        <v>53001485058.5</v>
      </c>
      <c r="AN166" s="10">
        <v>25551129082.5</v>
      </c>
      <c r="AO166" s="10">
        <v>26727552493.200001</v>
      </c>
      <c r="AP166" s="10">
        <v>29996484816.400002</v>
      </c>
      <c r="AQ166" s="10">
        <v>0</v>
      </c>
      <c r="AR166" s="10">
        <v>13868799976.549999</v>
      </c>
      <c r="AS166" s="10">
        <v>13885566741.6</v>
      </c>
      <c r="AT166" s="10">
        <v>19439793373.200001</v>
      </c>
      <c r="AU166" s="14">
        <v>45930</v>
      </c>
      <c r="AV166" s="14">
        <v>45657</v>
      </c>
      <c r="AW166" s="14">
        <v>45291</v>
      </c>
      <c r="AX166" s="14">
        <v>44926</v>
      </c>
      <c r="AY166" s="14">
        <v>44561</v>
      </c>
      <c r="AZ166" s="14">
        <v>44196</v>
      </c>
      <c r="BA166" s="14">
        <v>43830</v>
      </c>
      <c r="BB166" s="14">
        <v>43465</v>
      </c>
      <c r="BC166" s="14">
        <v>43100</v>
      </c>
      <c r="BD166" s="14">
        <v>42735</v>
      </c>
      <c r="BE166" s="14">
        <v>42369</v>
      </c>
      <c r="BF166" s="8" t="s">
        <v>35</v>
      </c>
      <c r="BG166" s="8" t="s">
        <v>35</v>
      </c>
      <c r="BH166" s="8" t="s">
        <v>35</v>
      </c>
      <c r="BI166" s="8" t="s">
        <v>35</v>
      </c>
      <c r="BJ166" s="8" t="s">
        <v>35</v>
      </c>
      <c r="BK166" s="8" t="s">
        <v>35</v>
      </c>
      <c r="BL166" s="8" t="s">
        <v>35</v>
      </c>
      <c r="BM166" s="8" t="s">
        <v>35</v>
      </c>
      <c r="BN166" s="8" t="s">
        <v>35</v>
      </c>
      <c r="BO166" s="8" t="s">
        <v>35</v>
      </c>
      <c r="BP166" s="8" t="s">
        <v>35</v>
      </c>
      <c r="BQ166" s="8" t="s">
        <v>31</v>
      </c>
      <c r="BR166" s="8" t="s">
        <v>49</v>
      </c>
      <c r="BS166" s="10">
        <v>1760432802673270</v>
      </c>
      <c r="BT166" s="8" t="s">
        <v>41</v>
      </c>
      <c r="BU166" s="8" t="s">
        <v>43</v>
      </c>
      <c r="BV166" s="8" t="s">
        <v>27</v>
      </c>
      <c r="BW166" s="8" t="s">
        <v>27</v>
      </c>
      <c r="BX166" s="8" t="s">
        <v>27</v>
      </c>
      <c r="BY166" s="8" t="s">
        <v>27</v>
      </c>
      <c r="BZ166" s="8" t="s">
        <v>27</v>
      </c>
      <c r="CA166" s="8" t="s">
        <v>27</v>
      </c>
      <c r="CB166" s="8" t="s">
        <v>27</v>
      </c>
      <c r="CC166" s="8" t="s">
        <v>27</v>
      </c>
      <c r="CD166" s="8" t="s">
        <v>42</v>
      </c>
      <c r="CE166" s="8" t="s">
        <v>42</v>
      </c>
      <c r="CF166" s="8" t="s">
        <v>212</v>
      </c>
      <c r="CG166" s="8" t="s">
        <v>213</v>
      </c>
    </row>
    <row r="167" spans="1:85" ht="15.75" customHeight="1" x14ac:dyDescent="0.35">
      <c r="A167" s="8">
        <v>160</v>
      </c>
      <c r="B167" s="8" t="s">
        <v>281</v>
      </c>
      <c r="C167" s="9">
        <v>7.1000000000000005E-5</v>
      </c>
      <c r="D167" s="9">
        <v>6.6000000000000005E-5</v>
      </c>
      <c r="E167" s="9">
        <v>5.3999999999999998E-5</v>
      </c>
      <c r="F167" s="9">
        <v>4.6E-5</v>
      </c>
      <c r="G167" s="9">
        <v>2.3E-5</v>
      </c>
      <c r="H167" s="9">
        <v>3.0000000000000001E-6</v>
      </c>
      <c r="I167" s="8"/>
      <c r="J167" s="8"/>
      <c r="K167" s="8"/>
      <c r="L167" s="8"/>
      <c r="M167" s="8"/>
      <c r="N167" s="10">
        <v>6573309</v>
      </c>
      <c r="O167" s="10">
        <v>6111409</v>
      </c>
      <c r="P167" s="10">
        <v>4992200</v>
      </c>
      <c r="Q167" s="10">
        <v>4237400</v>
      </c>
      <c r="R167" s="10">
        <v>2108600</v>
      </c>
      <c r="S167" s="10">
        <v>247800</v>
      </c>
      <c r="T167" s="8"/>
      <c r="U167" s="8"/>
      <c r="V167" s="8"/>
      <c r="W167" s="8"/>
      <c r="X167" s="8"/>
      <c r="Y167" s="13">
        <v>461900</v>
      </c>
      <c r="Z167" s="13">
        <v>1119209</v>
      </c>
      <c r="AA167" s="13">
        <v>754800</v>
      </c>
      <c r="AB167" s="13">
        <v>2128800</v>
      </c>
      <c r="AC167" s="13">
        <v>1860800</v>
      </c>
      <c r="AD167" s="13">
        <v>247800</v>
      </c>
      <c r="AE167" s="8"/>
      <c r="AF167" s="8"/>
      <c r="AG167" s="8"/>
      <c r="AH167" s="8"/>
      <c r="AI167" s="8"/>
      <c r="AJ167" s="10">
        <v>28913881985.799999</v>
      </c>
      <c r="AK167" s="10">
        <v>34748645572.400002</v>
      </c>
      <c r="AL167" s="10">
        <v>30202809914.049999</v>
      </c>
      <c r="AM167" s="10">
        <v>21028097556.950001</v>
      </c>
      <c r="AN167" s="10">
        <v>7398669397.5</v>
      </c>
      <c r="AO167" s="10">
        <v>783667450.79999995</v>
      </c>
      <c r="AP167" s="8"/>
      <c r="AQ167" s="8"/>
      <c r="AR167" s="8"/>
      <c r="AS167" s="8"/>
      <c r="AT167" s="8"/>
      <c r="AU167" s="14">
        <v>45930</v>
      </c>
      <c r="AV167" s="14">
        <v>45657</v>
      </c>
      <c r="AW167" s="14">
        <v>45291</v>
      </c>
      <c r="AX167" s="14">
        <v>44926</v>
      </c>
      <c r="AY167" s="14">
        <v>44561</v>
      </c>
      <c r="AZ167" s="14">
        <v>44196</v>
      </c>
      <c r="BA167" s="8"/>
      <c r="BB167" s="8"/>
      <c r="BC167" s="8"/>
      <c r="BD167" s="8"/>
      <c r="BE167" s="8"/>
      <c r="BF167" s="8" t="s">
        <v>35</v>
      </c>
      <c r="BG167" s="8" t="s">
        <v>35</v>
      </c>
      <c r="BH167" s="8" t="s">
        <v>35</v>
      </c>
      <c r="BI167" s="8" t="s">
        <v>35</v>
      </c>
      <c r="BJ167" s="8" t="s">
        <v>35</v>
      </c>
      <c r="BK167" s="8" t="s">
        <v>35</v>
      </c>
      <c r="BL167" s="8"/>
      <c r="BM167" s="8"/>
      <c r="BN167" s="8"/>
      <c r="BO167" s="8"/>
      <c r="BP167" s="8"/>
      <c r="BQ167" s="8" t="s">
        <v>31</v>
      </c>
      <c r="BR167" s="8" t="s">
        <v>36</v>
      </c>
      <c r="BS167" s="10">
        <v>1231972996150300</v>
      </c>
      <c r="BT167" s="8"/>
      <c r="BU167" s="8" t="s">
        <v>27</v>
      </c>
      <c r="BV167" s="8" t="s">
        <v>27</v>
      </c>
      <c r="BW167" s="8" t="s">
        <v>27</v>
      </c>
      <c r="BX167" s="8" t="s">
        <v>27</v>
      </c>
      <c r="BY167" s="8" t="s">
        <v>27</v>
      </c>
      <c r="BZ167" s="8" t="s">
        <v>27</v>
      </c>
      <c r="CA167" s="8"/>
      <c r="CB167" s="8"/>
      <c r="CC167" s="8"/>
      <c r="CD167" s="8"/>
      <c r="CE167" s="8"/>
      <c r="CF167" s="8" t="s">
        <v>47</v>
      </c>
      <c r="CG167" s="8" t="s">
        <v>39</v>
      </c>
    </row>
    <row r="168" spans="1:85" ht="15.75" customHeight="1" x14ac:dyDescent="0.35">
      <c r="A168" s="8">
        <v>161</v>
      </c>
      <c r="B168" s="8" t="s">
        <v>282</v>
      </c>
      <c r="C168" s="9">
        <v>6.9999999999999994E-5</v>
      </c>
      <c r="D168" s="9">
        <v>3.1000000000000001E-5</v>
      </c>
      <c r="E168" s="9">
        <v>6.0000000000000002E-6</v>
      </c>
      <c r="F168" s="9">
        <v>0</v>
      </c>
      <c r="G168" s="9">
        <v>6.0000000000000002E-5</v>
      </c>
      <c r="H168" s="9">
        <v>7.7000000000000001E-5</v>
      </c>
      <c r="I168" s="9">
        <v>8.0000000000000007E-5</v>
      </c>
      <c r="J168" s="9">
        <v>1.6699999999999999E-4</v>
      </c>
      <c r="K168" s="9">
        <v>1.2E-4</v>
      </c>
      <c r="L168" s="9">
        <v>1.5200000000000001E-4</v>
      </c>
      <c r="M168" s="9">
        <v>1.8E-5</v>
      </c>
      <c r="N168" s="10">
        <v>6466000</v>
      </c>
      <c r="O168" s="10">
        <v>2888700</v>
      </c>
      <c r="P168" s="10">
        <v>565400</v>
      </c>
      <c r="Q168" s="10">
        <v>0</v>
      </c>
      <c r="R168" s="10">
        <v>5538600</v>
      </c>
      <c r="S168" s="10">
        <v>7132400</v>
      </c>
      <c r="T168" s="10">
        <v>7352400</v>
      </c>
      <c r="U168" s="10">
        <v>15466200</v>
      </c>
      <c r="V168" s="10">
        <v>11118400</v>
      </c>
      <c r="W168" s="10">
        <v>14060400</v>
      </c>
      <c r="X168" s="10">
        <v>1660000</v>
      </c>
      <c r="Y168" s="13">
        <v>3577300</v>
      </c>
      <c r="Z168" s="13">
        <v>2323300</v>
      </c>
      <c r="AA168" s="13">
        <v>565400</v>
      </c>
      <c r="AB168" s="12">
        <v>-5538600</v>
      </c>
      <c r="AC168" s="12">
        <v>-1593800</v>
      </c>
      <c r="AD168" s="12">
        <v>-220000</v>
      </c>
      <c r="AE168" s="12">
        <v>-8113800</v>
      </c>
      <c r="AF168" s="13">
        <v>4347800</v>
      </c>
      <c r="AG168" s="12">
        <v>-2942000</v>
      </c>
      <c r="AH168" s="13">
        <v>12400400</v>
      </c>
      <c r="AI168" s="11">
        <v>0</v>
      </c>
      <c r="AJ168" s="10">
        <v>28441864035.200001</v>
      </c>
      <c r="AK168" s="10">
        <v>16424757759.700001</v>
      </c>
      <c r="AL168" s="10">
        <v>3420670010.1500001</v>
      </c>
      <c r="AM168" s="10">
        <v>0</v>
      </c>
      <c r="AN168" s="10">
        <v>19433875830</v>
      </c>
      <c r="AO168" s="10">
        <v>22556215000.799999</v>
      </c>
      <c r="AP168" s="10">
        <v>28133757864</v>
      </c>
      <c r="AQ168" s="10">
        <v>56326309137.5</v>
      </c>
      <c r="AR168" s="10">
        <v>44473600067.150002</v>
      </c>
      <c r="AS168" s="10">
        <v>40687282509.300003</v>
      </c>
      <c r="AT168" s="10">
        <v>3527499991.8000002</v>
      </c>
      <c r="AU168" s="14">
        <v>45930</v>
      </c>
      <c r="AV168" s="14">
        <v>45657</v>
      </c>
      <c r="AW168" s="14">
        <v>45291</v>
      </c>
      <c r="AX168" s="14">
        <v>44681</v>
      </c>
      <c r="AY168" s="14">
        <v>44561</v>
      </c>
      <c r="AZ168" s="14">
        <v>44196</v>
      </c>
      <c r="BA168" s="14">
        <v>43830</v>
      </c>
      <c r="BB168" s="14">
        <v>43465</v>
      </c>
      <c r="BC168" s="14">
        <v>43100</v>
      </c>
      <c r="BD168" s="14">
        <v>42735</v>
      </c>
      <c r="BE168" s="14">
        <v>42338</v>
      </c>
      <c r="BF168" s="8" t="s">
        <v>35</v>
      </c>
      <c r="BG168" s="8" t="s">
        <v>35</v>
      </c>
      <c r="BH168" s="8" t="s">
        <v>35</v>
      </c>
      <c r="BI168" s="8" t="s">
        <v>35</v>
      </c>
      <c r="BJ168" s="8" t="s">
        <v>35</v>
      </c>
      <c r="BK168" s="8" t="s">
        <v>35</v>
      </c>
      <c r="BL168" s="8" t="s">
        <v>35</v>
      </c>
      <c r="BM168" s="8" t="s">
        <v>35</v>
      </c>
      <c r="BN168" s="8" t="s">
        <v>35</v>
      </c>
      <c r="BO168" s="8" t="s">
        <v>35</v>
      </c>
      <c r="BP168" s="8" t="s">
        <v>35</v>
      </c>
      <c r="BQ168" s="8" t="s">
        <v>31</v>
      </c>
      <c r="BR168" s="8" t="s">
        <v>36</v>
      </c>
      <c r="BS168" s="10">
        <v>7226309698617.5996</v>
      </c>
      <c r="BT168" s="8" t="s">
        <v>61</v>
      </c>
      <c r="BU168" s="8" t="s">
        <v>42</v>
      </c>
      <c r="BV168" s="8" t="s">
        <v>27</v>
      </c>
      <c r="BW168" s="8" t="s">
        <v>43</v>
      </c>
      <c r="BX168" s="8" t="s">
        <v>27</v>
      </c>
      <c r="BY168" s="8" t="s">
        <v>27</v>
      </c>
      <c r="BZ168" s="8" t="s">
        <v>27</v>
      </c>
      <c r="CA168" s="8" t="s">
        <v>27</v>
      </c>
      <c r="CB168" s="8" t="s">
        <v>27</v>
      </c>
      <c r="CC168" s="8" t="s">
        <v>43</v>
      </c>
      <c r="CD168" s="8" t="s">
        <v>43</v>
      </c>
      <c r="CE168" s="8" t="s">
        <v>43</v>
      </c>
      <c r="CF168" s="8" t="s">
        <v>65</v>
      </c>
      <c r="CG168" s="8" t="s">
        <v>65</v>
      </c>
    </row>
    <row r="169" spans="1:85" ht="15.75" customHeight="1" x14ac:dyDescent="0.35">
      <c r="A169" s="8">
        <v>162</v>
      </c>
      <c r="B169" s="8" t="s">
        <v>283</v>
      </c>
      <c r="C169" s="9">
        <v>6.9999999999999994E-5</v>
      </c>
      <c r="D169" s="9">
        <v>6.9999999999999994E-5</v>
      </c>
      <c r="E169" s="9">
        <v>7.4999999999999993E-5</v>
      </c>
      <c r="F169" s="9">
        <v>4.6E-5</v>
      </c>
      <c r="G169" s="9">
        <v>5.8999999999999998E-5</v>
      </c>
      <c r="H169" s="9">
        <v>5.8999999999999998E-5</v>
      </c>
      <c r="I169" s="8"/>
      <c r="J169" s="8"/>
      <c r="K169" s="8"/>
      <c r="L169" s="8"/>
      <c r="M169" s="8"/>
      <c r="N169" s="10">
        <v>6448694</v>
      </c>
      <c r="O169" s="10">
        <v>6448694</v>
      </c>
      <c r="P169" s="10">
        <v>6904079</v>
      </c>
      <c r="Q169" s="10">
        <v>4228032</v>
      </c>
      <c r="R169" s="10">
        <v>5476192</v>
      </c>
      <c r="S169" s="10">
        <v>5476192</v>
      </c>
      <c r="T169" s="8"/>
      <c r="U169" s="8"/>
      <c r="V169" s="8"/>
      <c r="W169" s="8"/>
      <c r="X169" s="8"/>
      <c r="Y169" s="11">
        <v>0</v>
      </c>
      <c r="Z169" s="12">
        <v>-455385</v>
      </c>
      <c r="AA169" s="13">
        <v>2676047</v>
      </c>
      <c r="AB169" s="12">
        <v>-1248160</v>
      </c>
      <c r="AC169" s="11">
        <v>0</v>
      </c>
      <c r="AD169" s="13">
        <v>5476192</v>
      </c>
      <c r="AE169" s="8"/>
      <c r="AF169" s="8"/>
      <c r="AG169" s="8"/>
      <c r="AH169" s="8"/>
      <c r="AI169" s="8"/>
      <c r="AJ169" s="10">
        <v>46957733813.699997</v>
      </c>
      <c r="AK169" s="10">
        <v>46957733813.699997</v>
      </c>
      <c r="AL169" s="10">
        <v>41597076013.5</v>
      </c>
      <c r="AM169" s="10">
        <v>16277923269.4</v>
      </c>
      <c r="AN169" s="10">
        <v>17318457234</v>
      </c>
      <c r="AO169" s="10">
        <v>17318457234</v>
      </c>
      <c r="AP169" s="8"/>
      <c r="AQ169" s="8"/>
      <c r="AR169" s="8"/>
      <c r="AS169" s="8"/>
      <c r="AT169" s="8"/>
      <c r="AU169" s="14">
        <v>45596</v>
      </c>
      <c r="AV169" s="14">
        <v>45596</v>
      </c>
      <c r="AW169" s="14">
        <v>45169</v>
      </c>
      <c r="AX169" s="14">
        <v>44620</v>
      </c>
      <c r="AY169" s="14">
        <v>44196</v>
      </c>
      <c r="AZ169" s="14">
        <v>44196</v>
      </c>
      <c r="BA169" s="8"/>
      <c r="BB169" s="8"/>
      <c r="BC169" s="8"/>
      <c r="BD169" s="8"/>
      <c r="BE169" s="8"/>
      <c r="BF169" s="8" t="s">
        <v>35</v>
      </c>
      <c r="BG169" s="8" t="s">
        <v>35</v>
      </c>
      <c r="BH169" s="8" t="s">
        <v>35</v>
      </c>
      <c r="BI169" s="8" t="s">
        <v>35</v>
      </c>
      <c r="BJ169" s="8" t="s">
        <v>35</v>
      </c>
      <c r="BK169" s="8" t="s">
        <v>35</v>
      </c>
      <c r="BL169" s="8"/>
      <c r="BM169" s="8"/>
      <c r="BN169" s="8"/>
      <c r="BO169" s="8"/>
      <c r="BP169" s="8"/>
      <c r="BQ169" s="8" t="s">
        <v>31</v>
      </c>
      <c r="BR169" s="8" t="s">
        <v>53</v>
      </c>
      <c r="BS169" s="10">
        <v>245228405501678</v>
      </c>
      <c r="BT169" s="8" t="s">
        <v>61</v>
      </c>
      <c r="BU169" s="8" t="s">
        <v>27</v>
      </c>
      <c r="BV169" s="8" t="s">
        <v>27</v>
      </c>
      <c r="BW169" s="8" t="s">
        <v>42</v>
      </c>
      <c r="BX169" s="8" t="s">
        <v>27</v>
      </c>
      <c r="BY169" s="8" t="s">
        <v>27</v>
      </c>
      <c r="BZ169" s="8" t="s">
        <v>43</v>
      </c>
      <c r="CA169" s="8"/>
      <c r="CB169" s="8"/>
      <c r="CC169" s="8"/>
      <c r="CD169" s="8"/>
      <c r="CE169" s="8"/>
      <c r="CF169" s="8" t="s">
        <v>284</v>
      </c>
      <c r="CG169" s="8" t="s">
        <v>198</v>
      </c>
    </row>
    <row r="170" spans="1:85" ht="15.75" customHeight="1" x14ac:dyDescent="0.35">
      <c r="A170" s="8">
        <v>163</v>
      </c>
      <c r="B170" s="8" t="s">
        <v>285</v>
      </c>
      <c r="C170" s="9">
        <v>6.9999999999999994E-5</v>
      </c>
      <c r="D170" s="9">
        <v>6.9999999999999994E-5</v>
      </c>
      <c r="E170" s="8"/>
      <c r="F170" s="8"/>
      <c r="G170" s="8"/>
      <c r="H170" s="8"/>
      <c r="I170" s="8"/>
      <c r="J170" s="8"/>
      <c r="K170" s="8"/>
      <c r="L170" s="8"/>
      <c r="M170" s="8"/>
      <c r="N170" s="10">
        <v>6424300</v>
      </c>
      <c r="O170" s="10">
        <v>6424300</v>
      </c>
      <c r="P170" s="8"/>
      <c r="Q170" s="8"/>
      <c r="R170" s="8"/>
      <c r="S170" s="8"/>
      <c r="T170" s="8"/>
      <c r="U170" s="8"/>
      <c r="V170" s="8"/>
      <c r="W170" s="8"/>
      <c r="X170" s="8"/>
      <c r="Y170" s="11">
        <v>0</v>
      </c>
      <c r="Z170" s="13">
        <v>6424300</v>
      </c>
      <c r="AA170" s="8"/>
      <c r="AB170" s="8"/>
      <c r="AC170" s="8"/>
      <c r="AD170" s="8"/>
      <c r="AE170" s="8"/>
      <c r="AF170" s="8"/>
      <c r="AG170" s="8"/>
      <c r="AH170" s="8"/>
      <c r="AI170" s="8"/>
      <c r="AJ170" s="10">
        <v>46576175049</v>
      </c>
      <c r="AK170" s="10">
        <v>46576175049</v>
      </c>
      <c r="AL170" s="8"/>
      <c r="AM170" s="8"/>
      <c r="AN170" s="8"/>
      <c r="AO170" s="8"/>
      <c r="AP170" s="8"/>
      <c r="AQ170" s="8"/>
      <c r="AR170" s="8"/>
      <c r="AS170" s="8"/>
      <c r="AT170" s="8"/>
      <c r="AU170" s="14">
        <v>45382</v>
      </c>
      <c r="AV170" s="14">
        <v>45382</v>
      </c>
      <c r="AW170" s="8"/>
      <c r="AX170" s="8"/>
      <c r="AY170" s="8"/>
      <c r="AZ170" s="8"/>
      <c r="BA170" s="8"/>
      <c r="BB170" s="8"/>
      <c r="BC170" s="8"/>
      <c r="BD170" s="8"/>
      <c r="BE170" s="8"/>
      <c r="BF170" s="8" t="s">
        <v>35</v>
      </c>
      <c r="BG170" s="8" t="s">
        <v>35</v>
      </c>
      <c r="BH170" s="8"/>
      <c r="BI170" s="8"/>
      <c r="BJ170" s="8"/>
      <c r="BK170" s="8"/>
      <c r="BL170" s="8"/>
      <c r="BM170" s="8"/>
      <c r="BN170" s="8"/>
      <c r="BO170" s="8"/>
      <c r="BP170" s="8"/>
      <c r="BQ170" s="8" t="s">
        <v>31</v>
      </c>
      <c r="BR170" s="8" t="s">
        <v>36</v>
      </c>
      <c r="BS170" s="10">
        <v>16411297989056.4</v>
      </c>
      <c r="BT170" s="8"/>
      <c r="BU170" s="8" t="s">
        <v>27</v>
      </c>
      <c r="BV170" s="8" t="s">
        <v>27</v>
      </c>
      <c r="BW170" s="8"/>
      <c r="BX170" s="8"/>
      <c r="BY170" s="8"/>
      <c r="BZ170" s="8"/>
      <c r="CA170" s="8"/>
      <c r="CB170" s="8"/>
      <c r="CC170" s="8"/>
      <c r="CD170" s="8"/>
      <c r="CE170" s="8"/>
      <c r="CF170" s="8" t="s">
        <v>65</v>
      </c>
      <c r="CG170" s="8" t="s">
        <v>65</v>
      </c>
    </row>
    <row r="171" spans="1:85" ht="15.75" customHeight="1" x14ac:dyDescent="0.35">
      <c r="A171" s="8">
        <v>164</v>
      </c>
      <c r="B171" s="8" t="s">
        <v>286</v>
      </c>
      <c r="C171" s="9">
        <v>6.8999999999999997E-5</v>
      </c>
      <c r="D171" s="9">
        <v>6.2399999999999999E-4</v>
      </c>
      <c r="E171" s="9">
        <v>4.5899999999999999E-4</v>
      </c>
      <c r="F171" s="9">
        <v>1.387E-3</v>
      </c>
      <c r="G171" s="9">
        <v>9.8400000000000007E-4</v>
      </c>
      <c r="H171" s="9">
        <v>9.7499999999999996E-4</v>
      </c>
      <c r="I171" s="9">
        <v>3.9899999999999999E-4</v>
      </c>
      <c r="J171" s="9">
        <v>5.0000000000000004E-6</v>
      </c>
      <c r="K171" s="8"/>
      <c r="L171" s="8"/>
      <c r="M171" s="8"/>
      <c r="N171" s="10">
        <v>6377600</v>
      </c>
      <c r="O171" s="10">
        <v>57698103</v>
      </c>
      <c r="P171" s="10">
        <v>42380000</v>
      </c>
      <c r="Q171" s="10">
        <v>128148000</v>
      </c>
      <c r="R171" s="10">
        <v>90945400</v>
      </c>
      <c r="S171" s="10">
        <v>90096400</v>
      </c>
      <c r="T171" s="10">
        <v>36828800</v>
      </c>
      <c r="U171" s="10">
        <v>424600</v>
      </c>
      <c r="V171" s="8"/>
      <c r="W171" s="8"/>
      <c r="X171" s="8"/>
      <c r="Y171" s="12">
        <v>-51320503</v>
      </c>
      <c r="Z171" s="13">
        <v>15318103</v>
      </c>
      <c r="AA171" s="12">
        <v>-85768000</v>
      </c>
      <c r="AB171" s="13">
        <v>37202600</v>
      </c>
      <c r="AC171" s="13">
        <v>849000</v>
      </c>
      <c r="AD171" s="13">
        <v>53267600</v>
      </c>
      <c r="AE171" s="13">
        <v>36404200</v>
      </c>
      <c r="AF171" s="13">
        <v>424600</v>
      </c>
      <c r="AG171" s="8"/>
      <c r="AH171" s="8"/>
      <c r="AI171" s="8"/>
      <c r="AJ171" s="10">
        <v>30433739394.450001</v>
      </c>
      <c r="AK171" s="10">
        <v>328063615440.70001</v>
      </c>
      <c r="AL171" s="10">
        <v>254269756384.5</v>
      </c>
      <c r="AM171" s="10">
        <v>635934450515.09998</v>
      </c>
      <c r="AN171" s="10">
        <v>319109812462.5</v>
      </c>
      <c r="AO171" s="10">
        <v>284929864736.40002</v>
      </c>
      <c r="AP171" s="10">
        <v>140924397986.79999</v>
      </c>
      <c r="AQ171" s="10">
        <v>1546349512.5</v>
      </c>
      <c r="AR171" s="8"/>
      <c r="AS171" s="8"/>
      <c r="AT171" s="8"/>
      <c r="AU171" s="14">
        <v>45900</v>
      </c>
      <c r="AV171" s="14">
        <v>45657</v>
      </c>
      <c r="AW171" s="14">
        <v>45199</v>
      </c>
      <c r="AX171" s="14">
        <v>44926</v>
      </c>
      <c r="AY171" s="14">
        <v>44561</v>
      </c>
      <c r="AZ171" s="14">
        <v>44196</v>
      </c>
      <c r="BA171" s="14">
        <v>43830</v>
      </c>
      <c r="BB171" s="14">
        <v>43465</v>
      </c>
      <c r="BC171" s="8"/>
      <c r="BD171" s="8"/>
      <c r="BE171" s="8"/>
      <c r="BF171" s="8" t="s">
        <v>35</v>
      </c>
      <c r="BG171" s="8" t="s">
        <v>35</v>
      </c>
      <c r="BH171" s="8" t="s">
        <v>35</v>
      </c>
      <c r="BI171" s="8" t="s">
        <v>35</v>
      </c>
      <c r="BJ171" s="8" t="s">
        <v>35</v>
      </c>
      <c r="BK171" s="8" t="s">
        <v>35</v>
      </c>
      <c r="BL171" s="8" t="s">
        <v>35</v>
      </c>
      <c r="BM171" s="8" t="s">
        <v>35</v>
      </c>
      <c r="BN171" s="8"/>
      <c r="BO171" s="8"/>
      <c r="BP171" s="8"/>
      <c r="BQ171" s="8" t="s">
        <v>31</v>
      </c>
      <c r="BR171" s="8" t="s">
        <v>49</v>
      </c>
      <c r="BS171" s="10">
        <v>895424743172127</v>
      </c>
      <c r="BT171" s="8" t="s">
        <v>61</v>
      </c>
      <c r="BU171" s="8" t="s">
        <v>27</v>
      </c>
      <c r="BV171" s="8" t="s">
        <v>27</v>
      </c>
      <c r="BW171" s="8" t="s">
        <v>27</v>
      </c>
      <c r="BX171" s="8" t="s">
        <v>27</v>
      </c>
      <c r="BY171" s="8" t="s">
        <v>27</v>
      </c>
      <c r="BZ171" s="8" t="s">
        <v>27</v>
      </c>
      <c r="CA171" s="8" t="s">
        <v>27</v>
      </c>
      <c r="CB171" s="8" t="s">
        <v>27</v>
      </c>
      <c r="CC171" s="8"/>
      <c r="CD171" s="8"/>
      <c r="CE171" s="8"/>
      <c r="CF171" s="8" t="s">
        <v>82</v>
      </c>
      <c r="CG171" s="8" t="s">
        <v>39</v>
      </c>
    </row>
    <row r="172" spans="1:85" ht="15.75" customHeight="1" x14ac:dyDescent="0.35">
      <c r="A172" s="8">
        <v>165</v>
      </c>
      <c r="B172" s="8" t="s">
        <v>287</v>
      </c>
      <c r="C172" s="9">
        <v>6.7999999999999999E-5</v>
      </c>
      <c r="D172" s="9">
        <v>6.7000000000000002E-5</v>
      </c>
      <c r="E172" s="8"/>
      <c r="F172" s="8"/>
      <c r="G172" s="8"/>
      <c r="H172" s="8"/>
      <c r="I172" s="8"/>
      <c r="J172" s="8"/>
      <c r="K172" s="8"/>
      <c r="L172" s="8"/>
      <c r="M172" s="8"/>
      <c r="N172" s="10">
        <v>6257000</v>
      </c>
      <c r="O172" s="10">
        <v>6217000</v>
      </c>
      <c r="P172" s="8"/>
      <c r="Q172" s="8"/>
      <c r="R172" s="8"/>
      <c r="S172" s="8"/>
      <c r="T172" s="8"/>
      <c r="U172" s="8"/>
      <c r="V172" s="8"/>
      <c r="W172" s="8"/>
      <c r="X172" s="8"/>
      <c r="Y172" s="13">
        <v>40000</v>
      </c>
      <c r="Z172" s="13">
        <v>6217000</v>
      </c>
      <c r="AA172" s="8"/>
      <c r="AB172" s="8"/>
      <c r="AC172" s="8"/>
      <c r="AD172" s="8"/>
      <c r="AE172" s="8"/>
      <c r="AF172" s="8"/>
      <c r="AG172" s="8"/>
      <c r="AH172" s="8"/>
      <c r="AI172" s="8"/>
      <c r="AJ172" s="10">
        <v>27522539912</v>
      </c>
      <c r="AK172" s="10">
        <v>35349021718.199997</v>
      </c>
      <c r="AL172" s="8"/>
      <c r="AM172" s="8"/>
      <c r="AN172" s="8"/>
      <c r="AO172" s="8"/>
      <c r="AP172" s="8"/>
      <c r="AQ172" s="8"/>
      <c r="AR172" s="8"/>
      <c r="AS172" s="8"/>
      <c r="AT172" s="8"/>
      <c r="AU172" s="14">
        <v>45930</v>
      </c>
      <c r="AV172" s="14">
        <v>45657</v>
      </c>
      <c r="AW172" s="8"/>
      <c r="AX172" s="8"/>
      <c r="AY172" s="8"/>
      <c r="AZ172" s="8"/>
      <c r="BA172" s="8"/>
      <c r="BB172" s="8"/>
      <c r="BC172" s="8"/>
      <c r="BD172" s="8"/>
      <c r="BE172" s="8"/>
      <c r="BF172" s="8" t="s">
        <v>35</v>
      </c>
      <c r="BG172" s="8" t="s">
        <v>35</v>
      </c>
      <c r="BH172" s="8"/>
      <c r="BI172" s="8"/>
      <c r="BJ172" s="8"/>
      <c r="BK172" s="8"/>
      <c r="BL172" s="8"/>
      <c r="BM172" s="8"/>
      <c r="BN172" s="8"/>
      <c r="BO172" s="8"/>
      <c r="BP172" s="8"/>
      <c r="BQ172" s="8" t="s">
        <v>31</v>
      </c>
      <c r="BR172" s="8" t="s">
        <v>36</v>
      </c>
      <c r="BS172" s="10">
        <v>54010008436808.398</v>
      </c>
      <c r="BT172" s="8" t="s">
        <v>57</v>
      </c>
      <c r="BU172" s="8" t="s">
        <v>42</v>
      </c>
      <c r="BV172" s="8" t="s">
        <v>42</v>
      </c>
      <c r="BW172" s="8"/>
      <c r="BX172" s="8"/>
      <c r="BY172" s="8"/>
      <c r="BZ172" s="8"/>
      <c r="CA172" s="8"/>
      <c r="CB172" s="8"/>
      <c r="CC172" s="8"/>
      <c r="CD172" s="8"/>
      <c r="CE172" s="8"/>
      <c r="CF172" s="8" t="s">
        <v>288</v>
      </c>
      <c r="CG172" s="8" t="s">
        <v>96</v>
      </c>
    </row>
    <row r="173" spans="1:85" ht="15.75" customHeight="1" x14ac:dyDescent="0.35">
      <c r="A173" s="8">
        <v>166</v>
      </c>
      <c r="B173" s="8" t="s">
        <v>289</v>
      </c>
      <c r="C173" s="9">
        <v>6.7000000000000002E-5</v>
      </c>
      <c r="D173" s="9">
        <v>0</v>
      </c>
      <c r="E173" s="9">
        <v>3.9999999999999998E-6</v>
      </c>
      <c r="F173" s="9">
        <v>2.3E-5</v>
      </c>
      <c r="G173" s="9">
        <v>9.9999999999999995E-7</v>
      </c>
      <c r="H173" s="9">
        <v>3.8000000000000002E-5</v>
      </c>
      <c r="I173" s="9">
        <v>1.5E-5</v>
      </c>
      <c r="J173" s="9">
        <v>0</v>
      </c>
      <c r="K173" s="8"/>
      <c r="L173" s="8"/>
      <c r="M173" s="8"/>
      <c r="N173" s="10">
        <v>6203800</v>
      </c>
      <c r="O173" s="10">
        <v>0</v>
      </c>
      <c r="P173" s="10">
        <v>336700</v>
      </c>
      <c r="Q173" s="10">
        <v>2170800</v>
      </c>
      <c r="R173" s="10">
        <v>137800</v>
      </c>
      <c r="S173" s="10">
        <v>3493800</v>
      </c>
      <c r="T173" s="10">
        <v>1362800</v>
      </c>
      <c r="U173" s="10">
        <v>0</v>
      </c>
      <c r="V173" s="8"/>
      <c r="W173" s="8"/>
      <c r="X173" s="8"/>
      <c r="Y173" s="13">
        <v>6203800</v>
      </c>
      <c r="Z173" s="12">
        <v>-336700</v>
      </c>
      <c r="AA173" s="12">
        <v>-1834100</v>
      </c>
      <c r="AB173" s="13">
        <v>2033000</v>
      </c>
      <c r="AC173" s="12">
        <v>-3356000</v>
      </c>
      <c r="AD173" s="13">
        <v>2131000</v>
      </c>
      <c r="AE173" s="13">
        <v>1362800</v>
      </c>
      <c r="AF173" s="11">
        <v>0</v>
      </c>
      <c r="AG173" s="8"/>
      <c r="AH173" s="8"/>
      <c r="AI173" s="8"/>
      <c r="AJ173" s="10">
        <v>27288530220</v>
      </c>
      <c r="AK173" s="10">
        <v>0</v>
      </c>
      <c r="AL173" s="10">
        <v>2037034994.2</v>
      </c>
      <c r="AM173" s="10">
        <v>10772595024.4</v>
      </c>
      <c r="AN173" s="10">
        <v>483513472.5</v>
      </c>
      <c r="AO173" s="10">
        <v>8647155004.6000004</v>
      </c>
      <c r="AP173" s="10">
        <v>4752764969.6999998</v>
      </c>
      <c r="AQ173" s="10">
        <v>0</v>
      </c>
      <c r="AR173" s="8"/>
      <c r="AS173" s="8"/>
      <c r="AT173" s="8"/>
      <c r="AU173" s="14">
        <v>45930</v>
      </c>
      <c r="AV173" s="14">
        <v>45657</v>
      </c>
      <c r="AW173" s="14">
        <v>45291</v>
      </c>
      <c r="AX173" s="14">
        <v>44926</v>
      </c>
      <c r="AY173" s="14">
        <v>44561</v>
      </c>
      <c r="AZ173" s="14">
        <v>44012</v>
      </c>
      <c r="BA173" s="14">
        <v>43738</v>
      </c>
      <c r="BB173" s="14">
        <v>43343</v>
      </c>
      <c r="BC173" s="8"/>
      <c r="BD173" s="8"/>
      <c r="BE173" s="8"/>
      <c r="BF173" s="8" t="s">
        <v>35</v>
      </c>
      <c r="BG173" s="8" t="s">
        <v>35</v>
      </c>
      <c r="BH173" s="8" t="s">
        <v>35</v>
      </c>
      <c r="BI173" s="8" t="s">
        <v>35</v>
      </c>
      <c r="BJ173" s="8" t="s">
        <v>35</v>
      </c>
      <c r="BK173" s="8" t="s">
        <v>35</v>
      </c>
      <c r="BL173" s="8" t="s">
        <v>35</v>
      </c>
      <c r="BM173" s="8" t="s">
        <v>35</v>
      </c>
      <c r="BN173" s="8"/>
      <c r="BO173" s="8"/>
      <c r="BP173" s="8"/>
      <c r="BQ173" s="8" t="s">
        <v>31</v>
      </c>
      <c r="BR173" s="8" t="s">
        <v>49</v>
      </c>
      <c r="BS173" s="10">
        <v>616173007451298</v>
      </c>
      <c r="BT173" s="8" t="s">
        <v>290</v>
      </c>
      <c r="BU173" s="8" t="s">
        <v>27</v>
      </c>
      <c r="BV173" s="8" t="s">
        <v>42</v>
      </c>
      <c r="BW173" s="8" t="s">
        <v>42</v>
      </c>
      <c r="BX173" s="8" t="s">
        <v>42</v>
      </c>
      <c r="BY173" s="8" t="s">
        <v>42</v>
      </c>
      <c r="BZ173" s="8" t="s">
        <v>42</v>
      </c>
      <c r="CA173" s="8" t="s">
        <v>42</v>
      </c>
      <c r="CB173" s="8" t="s">
        <v>43</v>
      </c>
      <c r="CC173" s="8"/>
      <c r="CD173" s="8"/>
      <c r="CE173" s="8"/>
      <c r="CF173" s="8" t="s">
        <v>291</v>
      </c>
      <c r="CG173" s="8" t="s">
        <v>39</v>
      </c>
    </row>
    <row r="174" spans="1:85" ht="15.75" customHeight="1" x14ac:dyDescent="0.35">
      <c r="A174" s="8">
        <v>167</v>
      </c>
      <c r="B174" s="8" t="s">
        <v>292</v>
      </c>
      <c r="C174" s="9">
        <v>6.6000000000000005E-5</v>
      </c>
      <c r="D174" s="9">
        <v>8.2000000000000001E-5</v>
      </c>
      <c r="E174" s="9">
        <v>8.2000000000000001E-5</v>
      </c>
      <c r="F174" s="9">
        <v>8.2000000000000001E-5</v>
      </c>
      <c r="G174" s="9">
        <v>1.8200000000000001E-4</v>
      </c>
      <c r="H174" s="9">
        <v>1.8200000000000001E-4</v>
      </c>
      <c r="I174" s="9">
        <v>1.6200000000000001E-4</v>
      </c>
      <c r="J174" s="8"/>
      <c r="K174" s="8"/>
      <c r="L174" s="8"/>
      <c r="M174" s="8"/>
      <c r="N174" s="10">
        <v>6134866</v>
      </c>
      <c r="O174" s="10">
        <v>7566600</v>
      </c>
      <c r="P174" s="10">
        <v>7566600</v>
      </c>
      <c r="Q174" s="10">
        <v>7566600</v>
      </c>
      <c r="R174" s="10">
        <v>16797236</v>
      </c>
      <c r="S174" s="10">
        <v>16797236</v>
      </c>
      <c r="T174" s="10">
        <v>14924926</v>
      </c>
      <c r="U174" s="8"/>
      <c r="V174" s="8"/>
      <c r="W174" s="8"/>
      <c r="X174" s="8"/>
      <c r="Y174" s="12">
        <v>-1431734</v>
      </c>
      <c r="Z174" s="11">
        <v>0</v>
      </c>
      <c r="AA174" s="11">
        <v>0</v>
      </c>
      <c r="AB174" s="12">
        <v>-9230636</v>
      </c>
      <c r="AC174" s="11">
        <v>0</v>
      </c>
      <c r="AD174" s="13">
        <v>1872310</v>
      </c>
      <c r="AE174" s="13">
        <v>14924926</v>
      </c>
      <c r="AF174" s="8"/>
      <c r="AG174" s="8"/>
      <c r="AH174" s="8"/>
      <c r="AI174" s="8"/>
      <c r="AJ174" s="10">
        <v>26985311556</v>
      </c>
      <c r="AK174" s="10">
        <v>38211329970.449997</v>
      </c>
      <c r="AL174" s="10">
        <v>38211329970.449997</v>
      </c>
      <c r="AM174" s="10">
        <v>37549252549.599998</v>
      </c>
      <c r="AN174" s="10">
        <v>41657145258.400002</v>
      </c>
      <c r="AO174" s="10">
        <v>41657145258.400002</v>
      </c>
      <c r="AP174" s="10">
        <v>57109822001.199997</v>
      </c>
      <c r="AQ174" s="8"/>
      <c r="AR174" s="8"/>
      <c r="AS174" s="8"/>
      <c r="AT174" s="8"/>
      <c r="AU174" s="14">
        <v>45930</v>
      </c>
      <c r="AV174" s="14">
        <v>45077</v>
      </c>
      <c r="AW174" s="14">
        <v>45077</v>
      </c>
      <c r="AX174" s="14">
        <v>44926</v>
      </c>
      <c r="AY174" s="14">
        <v>44104</v>
      </c>
      <c r="AZ174" s="14">
        <v>44104</v>
      </c>
      <c r="BA174" s="14">
        <v>43830</v>
      </c>
      <c r="BB174" s="8"/>
      <c r="BC174" s="8"/>
      <c r="BD174" s="8"/>
      <c r="BE174" s="8"/>
      <c r="BF174" s="8" t="s">
        <v>35</v>
      </c>
      <c r="BG174" s="8" t="s">
        <v>35</v>
      </c>
      <c r="BH174" s="8" t="s">
        <v>35</v>
      </c>
      <c r="BI174" s="8" t="s">
        <v>35</v>
      </c>
      <c r="BJ174" s="8" t="s">
        <v>35</v>
      </c>
      <c r="BK174" s="8" t="s">
        <v>35</v>
      </c>
      <c r="BL174" s="8" t="s">
        <v>35</v>
      </c>
      <c r="BM174" s="8"/>
      <c r="BN174" s="8"/>
      <c r="BO174" s="8"/>
      <c r="BP174" s="8"/>
      <c r="BQ174" s="8" t="s">
        <v>31</v>
      </c>
      <c r="BR174" s="8" t="s">
        <v>49</v>
      </c>
      <c r="BS174" s="10">
        <v>80027380724664</v>
      </c>
      <c r="BT174" s="8" t="s">
        <v>101</v>
      </c>
      <c r="BU174" s="8" t="s">
        <v>27</v>
      </c>
      <c r="BV174" s="8" t="s">
        <v>27</v>
      </c>
      <c r="BW174" s="8" t="s">
        <v>27</v>
      </c>
      <c r="BX174" s="8" t="s">
        <v>27</v>
      </c>
      <c r="BY174" s="8" t="s">
        <v>42</v>
      </c>
      <c r="BZ174" s="8" t="s">
        <v>42</v>
      </c>
      <c r="CA174" s="8" t="s">
        <v>27</v>
      </c>
      <c r="CB174" s="8"/>
      <c r="CC174" s="8"/>
      <c r="CD174" s="8"/>
      <c r="CE174" s="8"/>
      <c r="CF174" s="8" t="s">
        <v>38</v>
      </c>
      <c r="CG174" s="8" t="s">
        <v>39</v>
      </c>
    </row>
    <row r="175" spans="1:85" ht="15.75" customHeight="1" x14ac:dyDescent="0.35">
      <c r="A175" s="8">
        <v>168</v>
      </c>
      <c r="B175" s="8" t="s">
        <v>293</v>
      </c>
      <c r="C175" s="9">
        <v>6.4999999999999994E-5</v>
      </c>
      <c r="D175" s="9">
        <v>6.4999999999999994E-5</v>
      </c>
      <c r="E175" s="9">
        <v>7.4999999999999993E-5</v>
      </c>
      <c r="F175" s="9">
        <v>7.4999999999999993E-5</v>
      </c>
      <c r="G175" s="9">
        <v>7.4999999999999993E-5</v>
      </c>
      <c r="H175" s="9">
        <v>9.8999999999999994E-5</v>
      </c>
      <c r="I175" s="9">
        <v>7.4999999999999993E-5</v>
      </c>
      <c r="J175" s="9">
        <v>7.4999999999999993E-5</v>
      </c>
      <c r="K175" s="9">
        <v>9.7E-5</v>
      </c>
      <c r="L175" s="9">
        <v>0</v>
      </c>
      <c r="M175" s="9">
        <v>1.8900000000000001E-4</v>
      </c>
      <c r="N175" s="10">
        <v>6025000</v>
      </c>
      <c r="O175" s="10">
        <v>6025000</v>
      </c>
      <c r="P175" s="10">
        <v>6966100</v>
      </c>
      <c r="Q175" s="10">
        <v>6936000</v>
      </c>
      <c r="R175" s="10">
        <v>6936000</v>
      </c>
      <c r="S175" s="10">
        <v>9169200</v>
      </c>
      <c r="T175" s="10">
        <v>6886800</v>
      </c>
      <c r="U175" s="10">
        <v>6909000</v>
      </c>
      <c r="V175" s="10">
        <v>8985200</v>
      </c>
      <c r="W175" s="10">
        <v>0</v>
      </c>
      <c r="X175" s="10">
        <v>17457200</v>
      </c>
      <c r="Y175" s="11">
        <v>0</v>
      </c>
      <c r="Z175" s="12">
        <v>-941100</v>
      </c>
      <c r="AA175" s="13">
        <v>30100</v>
      </c>
      <c r="AB175" s="11">
        <v>0</v>
      </c>
      <c r="AC175" s="12">
        <v>-2233200</v>
      </c>
      <c r="AD175" s="13">
        <v>2282400</v>
      </c>
      <c r="AE175" s="12">
        <v>-22200</v>
      </c>
      <c r="AF175" s="12">
        <v>-2076200</v>
      </c>
      <c r="AG175" s="13">
        <v>8985200</v>
      </c>
      <c r="AH175" s="12">
        <v>-17457200</v>
      </c>
      <c r="AI175" s="11">
        <v>0</v>
      </c>
      <c r="AJ175" s="10">
        <v>42175000018</v>
      </c>
      <c r="AK175" s="10">
        <v>42175000018</v>
      </c>
      <c r="AL175" s="10">
        <v>40751684980.650002</v>
      </c>
      <c r="AM175" s="10">
        <v>34419899960.599998</v>
      </c>
      <c r="AN175" s="10">
        <v>24337082092.5</v>
      </c>
      <c r="AO175" s="10">
        <v>28997595010.799999</v>
      </c>
      <c r="AP175" s="10">
        <v>26352152155.200001</v>
      </c>
      <c r="AQ175" s="10">
        <v>25161867175</v>
      </c>
      <c r="AR175" s="10">
        <v>35940799978.150002</v>
      </c>
      <c r="AS175" s="10">
        <v>0</v>
      </c>
      <c r="AT175" s="10">
        <v>34587077461.5</v>
      </c>
      <c r="AU175" s="14">
        <v>45351</v>
      </c>
      <c r="AV175" s="14">
        <v>45351</v>
      </c>
      <c r="AW175" s="14">
        <v>45260</v>
      </c>
      <c r="AX175" s="14">
        <v>44926</v>
      </c>
      <c r="AY175" s="14">
        <v>44561</v>
      </c>
      <c r="AZ175" s="14">
        <v>44196</v>
      </c>
      <c r="BA175" s="14">
        <v>43830</v>
      </c>
      <c r="BB175" s="14">
        <v>43465</v>
      </c>
      <c r="BC175" s="14">
        <v>43100</v>
      </c>
      <c r="BD175" s="14">
        <v>42521</v>
      </c>
      <c r="BE175" s="14">
        <v>42277</v>
      </c>
      <c r="BF175" s="8" t="s">
        <v>35</v>
      </c>
      <c r="BG175" s="8" t="s">
        <v>35</v>
      </c>
      <c r="BH175" s="8" t="s">
        <v>35</v>
      </c>
      <c r="BI175" s="8" t="s">
        <v>35</v>
      </c>
      <c r="BJ175" s="8" t="s">
        <v>35</v>
      </c>
      <c r="BK175" s="8" t="s">
        <v>35</v>
      </c>
      <c r="BL175" s="8" t="s">
        <v>35</v>
      </c>
      <c r="BM175" s="8" t="s">
        <v>35</v>
      </c>
      <c r="BN175" s="8" t="s">
        <v>35</v>
      </c>
      <c r="BO175" s="8" t="s">
        <v>35</v>
      </c>
      <c r="BP175" s="8" t="s">
        <v>35</v>
      </c>
      <c r="BQ175" s="8" t="s">
        <v>31</v>
      </c>
      <c r="BR175" s="8" t="s">
        <v>49</v>
      </c>
      <c r="BS175" s="10">
        <v>115258422491735</v>
      </c>
      <c r="BT175" s="8" t="s">
        <v>41</v>
      </c>
      <c r="BU175" s="8" t="s">
        <v>27</v>
      </c>
      <c r="BV175" s="8" t="s">
        <v>27</v>
      </c>
      <c r="BW175" s="8" t="s">
        <v>27</v>
      </c>
      <c r="BX175" s="8" t="s">
        <v>27</v>
      </c>
      <c r="BY175" s="8" t="s">
        <v>27</v>
      </c>
      <c r="BZ175" s="8" t="s">
        <v>42</v>
      </c>
      <c r="CA175" s="8" t="s">
        <v>27</v>
      </c>
      <c r="CB175" s="8" t="s">
        <v>27</v>
      </c>
      <c r="CC175" s="8" t="s">
        <v>27</v>
      </c>
      <c r="CD175" s="8" t="s">
        <v>27</v>
      </c>
      <c r="CE175" s="8" t="s">
        <v>27</v>
      </c>
      <c r="CF175" s="8" t="s">
        <v>120</v>
      </c>
      <c r="CG175" s="8" t="s">
        <v>51</v>
      </c>
    </row>
    <row r="176" spans="1:85" ht="15.75" customHeight="1" x14ac:dyDescent="0.35">
      <c r="A176" s="8">
        <v>169</v>
      </c>
      <c r="B176" s="8" t="s">
        <v>294</v>
      </c>
      <c r="C176" s="9">
        <v>6.4999999999999994E-5</v>
      </c>
      <c r="D176" s="9">
        <v>6.4999999999999994E-5</v>
      </c>
      <c r="E176" s="9">
        <v>5.5999999999999999E-5</v>
      </c>
      <c r="F176" s="9">
        <v>8.3999999999999995E-5</v>
      </c>
      <c r="G176" s="9">
        <v>0</v>
      </c>
      <c r="H176" s="9">
        <v>0</v>
      </c>
      <c r="I176" s="9">
        <v>5.9999999999999995E-4</v>
      </c>
      <c r="J176" s="9">
        <v>6.4999999999999994E-5</v>
      </c>
      <c r="K176" s="9">
        <v>4.3000000000000002E-5</v>
      </c>
      <c r="L176" s="9">
        <v>0</v>
      </c>
      <c r="M176" s="9">
        <v>4.3000000000000002E-5</v>
      </c>
      <c r="N176" s="10">
        <v>6000000</v>
      </c>
      <c r="O176" s="10">
        <v>6000000</v>
      </c>
      <c r="P176" s="10">
        <v>5155100</v>
      </c>
      <c r="Q176" s="10">
        <v>7798400</v>
      </c>
      <c r="R176" s="10">
        <v>0</v>
      </c>
      <c r="S176" s="10">
        <v>0</v>
      </c>
      <c r="T176" s="10">
        <v>55418400</v>
      </c>
      <c r="U176" s="10">
        <v>6000000</v>
      </c>
      <c r="V176" s="10">
        <v>4000000</v>
      </c>
      <c r="W176" s="10">
        <v>0</v>
      </c>
      <c r="X176" s="10">
        <v>4000000</v>
      </c>
      <c r="Y176" s="11">
        <v>0</v>
      </c>
      <c r="Z176" s="13">
        <v>844900</v>
      </c>
      <c r="AA176" s="12">
        <v>-2643300</v>
      </c>
      <c r="AB176" s="13">
        <v>7798400</v>
      </c>
      <c r="AC176" s="11">
        <v>0</v>
      </c>
      <c r="AD176" s="12">
        <v>-55418400</v>
      </c>
      <c r="AE176" s="13">
        <v>49418400</v>
      </c>
      <c r="AF176" s="13">
        <v>2000000</v>
      </c>
      <c r="AG176" s="13">
        <v>4000000</v>
      </c>
      <c r="AH176" s="12">
        <v>-4000000</v>
      </c>
      <c r="AI176" s="12">
        <v>-4000000</v>
      </c>
      <c r="AJ176" s="10">
        <v>41550000019.949997</v>
      </c>
      <c r="AK176" s="10">
        <v>41550000019.949997</v>
      </c>
      <c r="AL176" s="10">
        <v>31188355015.950001</v>
      </c>
      <c r="AM176" s="10">
        <v>38699560060.150002</v>
      </c>
      <c r="AN176" s="10">
        <v>0</v>
      </c>
      <c r="AO176" s="10">
        <v>0</v>
      </c>
      <c r="AP176" s="10">
        <v>212056994942.39999</v>
      </c>
      <c r="AQ176" s="10">
        <v>21851382731.25</v>
      </c>
      <c r="AR176" s="10">
        <v>15999999975.200001</v>
      </c>
      <c r="AS176" s="10">
        <v>0</v>
      </c>
      <c r="AT176" s="10">
        <v>9253356319.5</v>
      </c>
      <c r="AU176" s="14">
        <v>45565</v>
      </c>
      <c r="AV176" s="14">
        <v>45565</v>
      </c>
      <c r="AW176" s="14">
        <v>45291</v>
      </c>
      <c r="AX176" s="14">
        <v>44926</v>
      </c>
      <c r="AY176" s="14">
        <v>44104</v>
      </c>
      <c r="AZ176" s="14">
        <v>44104</v>
      </c>
      <c r="BA176" s="14">
        <v>43830</v>
      </c>
      <c r="BB176" s="14">
        <v>43465</v>
      </c>
      <c r="BC176" s="14">
        <v>43100</v>
      </c>
      <c r="BD176" s="14">
        <v>42735</v>
      </c>
      <c r="BE176" s="14">
        <v>42369</v>
      </c>
      <c r="BF176" s="8" t="s">
        <v>35</v>
      </c>
      <c r="BG176" s="8" t="s">
        <v>35</v>
      </c>
      <c r="BH176" s="8" t="s">
        <v>35</v>
      </c>
      <c r="BI176" s="8" t="s">
        <v>35</v>
      </c>
      <c r="BJ176" s="8" t="s">
        <v>35</v>
      </c>
      <c r="BK176" s="8" t="s">
        <v>35</v>
      </c>
      <c r="BL176" s="8" t="s">
        <v>35</v>
      </c>
      <c r="BM176" s="8" t="s">
        <v>35</v>
      </c>
      <c r="BN176" s="8" t="s">
        <v>35</v>
      </c>
      <c r="BO176" s="8" t="s">
        <v>35</v>
      </c>
      <c r="BP176" s="8" t="s">
        <v>35</v>
      </c>
      <c r="BQ176" s="8" t="s">
        <v>31</v>
      </c>
      <c r="BR176" s="8" t="s">
        <v>36</v>
      </c>
      <c r="BS176" s="10">
        <v>446314351515358</v>
      </c>
      <c r="BT176" s="8"/>
      <c r="BU176" s="8" t="s">
        <v>27</v>
      </c>
      <c r="BV176" s="8" t="s">
        <v>42</v>
      </c>
      <c r="BW176" s="8" t="s">
        <v>42</v>
      </c>
      <c r="BX176" s="8" t="s">
        <v>27</v>
      </c>
      <c r="BY176" s="8" t="s">
        <v>42</v>
      </c>
      <c r="BZ176" s="8" t="s">
        <v>42</v>
      </c>
      <c r="CA176" s="8" t="s">
        <v>42</v>
      </c>
      <c r="CB176" s="8" t="s">
        <v>42</v>
      </c>
      <c r="CC176" s="8" t="s">
        <v>42</v>
      </c>
      <c r="CD176" s="8" t="s">
        <v>42</v>
      </c>
      <c r="CE176" s="8" t="s">
        <v>42</v>
      </c>
      <c r="CF176" s="8" t="s">
        <v>295</v>
      </c>
      <c r="CG176" s="8" t="s">
        <v>232</v>
      </c>
    </row>
    <row r="177" spans="1:85" ht="15.75" customHeight="1" x14ac:dyDescent="0.35">
      <c r="A177" s="8">
        <v>170</v>
      </c>
      <c r="B177" s="8" t="s">
        <v>296</v>
      </c>
      <c r="C177" s="9">
        <v>6.4999999999999994E-5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0">
        <v>5988600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13">
        <v>5988600</v>
      </c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10">
        <v>29280294681</v>
      </c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14">
        <v>45838</v>
      </c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 t="s">
        <v>35</v>
      </c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 t="s">
        <v>31</v>
      </c>
      <c r="BR177" s="8" t="s">
        <v>49</v>
      </c>
      <c r="BS177" s="10">
        <v>24522821551347.602</v>
      </c>
      <c r="BT177" s="8"/>
      <c r="BU177" s="8" t="s">
        <v>42</v>
      </c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 t="s">
        <v>70</v>
      </c>
      <c r="CG177" s="8" t="s">
        <v>71</v>
      </c>
    </row>
    <row r="178" spans="1:85" ht="15.75" hidden="1" customHeight="1" x14ac:dyDescent="0.35">
      <c r="A178" s="8">
        <v>171</v>
      </c>
      <c r="B178" s="8" t="s">
        <v>297</v>
      </c>
      <c r="C178" s="9">
        <v>6.4999999999999994E-5</v>
      </c>
      <c r="D178" s="9">
        <v>6.4999999999999994E-5</v>
      </c>
      <c r="E178" s="9">
        <v>3.1999999999999999E-5</v>
      </c>
      <c r="F178" s="9">
        <v>1.2E-5</v>
      </c>
      <c r="G178" s="9">
        <v>1.9999999999999999E-6</v>
      </c>
      <c r="H178" s="8"/>
      <c r="I178" s="8"/>
      <c r="J178" s="8"/>
      <c r="K178" s="8"/>
      <c r="L178" s="8"/>
      <c r="M178" s="8"/>
      <c r="N178" s="10">
        <v>5965200</v>
      </c>
      <c r="O178" s="10">
        <v>5965200</v>
      </c>
      <c r="P178" s="10">
        <v>3000500</v>
      </c>
      <c r="Q178" s="10">
        <v>1087800</v>
      </c>
      <c r="R178" s="10">
        <v>166800</v>
      </c>
      <c r="S178" s="8"/>
      <c r="T178" s="8"/>
      <c r="U178" s="8"/>
      <c r="V178" s="8"/>
      <c r="W178" s="8"/>
      <c r="X178" s="8"/>
      <c r="Y178" s="11">
        <v>0</v>
      </c>
      <c r="Z178" s="13">
        <v>2964700</v>
      </c>
      <c r="AA178" s="13">
        <v>1912700</v>
      </c>
      <c r="AB178" s="13">
        <v>921000</v>
      </c>
      <c r="AC178" s="13">
        <v>166800</v>
      </c>
      <c r="AD178" s="8"/>
      <c r="AE178" s="8"/>
      <c r="AF178" s="8"/>
      <c r="AG178" s="8"/>
      <c r="AH178" s="8"/>
      <c r="AI178" s="8"/>
      <c r="AJ178" s="10">
        <v>33917320968</v>
      </c>
      <c r="AK178" s="10">
        <v>33917320968</v>
      </c>
      <c r="AL178" s="10">
        <v>18153025026.5</v>
      </c>
      <c r="AM178" s="10">
        <v>5398207538.8999996</v>
      </c>
      <c r="AN178" s="10">
        <v>585268875</v>
      </c>
      <c r="AO178" s="8"/>
      <c r="AP178" s="8"/>
      <c r="AQ178" s="8"/>
      <c r="AR178" s="8"/>
      <c r="AS178" s="8"/>
      <c r="AT178" s="8"/>
      <c r="AU178" s="14">
        <v>45657</v>
      </c>
      <c r="AV178" s="14">
        <v>45657</v>
      </c>
      <c r="AW178" s="14">
        <v>45291</v>
      </c>
      <c r="AX178" s="14">
        <v>44926</v>
      </c>
      <c r="AY178" s="14">
        <v>44561</v>
      </c>
      <c r="AZ178" s="8"/>
      <c r="BA178" s="8"/>
      <c r="BB178" s="8"/>
      <c r="BC178" s="8"/>
      <c r="BD178" s="8"/>
      <c r="BE178" s="8"/>
      <c r="BF178" s="8" t="s">
        <v>201</v>
      </c>
      <c r="BG178" s="8" t="s">
        <v>201</v>
      </c>
      <c r="BH178" s="8" t="s">
        <v>201</v>
      </c>
      <c r="BI178" s="8" t="s">
        <v>201</v>
      </c>
      <c r="BJ178" s="8" t="s">
        <v>201</v>
      </c>
      <c r="BK178" s="8"/>
      <c r="BL178" s="8"/>
      <c r="BM178" s="8"/>
      <c r="BN178" s="8"/>
      <c r="BO178" s="8"/>
      <c r="BP178" s="8"/>
      <c r="BQ178" s="8" t="s">
        <v>25</v>
      </c>
      <c r="BR178" s="8" t="s">
        <v>202</v>
      </c>
      <c r="BS178" s="10">
        <v>35161026336</v>
      </c>
      <c r="BT178" s="8"/>
      <c r="BU178" s="8" t="s">
        <v>27</v>
      </c>
      <c r="BV178" s="8" t="s">
        <v>42</v>
      </c>
      <c r="BW178" s="8" t="s">
        <v>27</v>
      </c>
      <c r="BX178" s="8" t="s">
        <v>42</v>
      </c>
      <c r="BY178" s="8" t="s">
        <v>27</v>
      </c>
      <c r="BZ178" s="8"/>
      <c r="CA178" s="8"/>
      <c r="CB178" s="8"/>
      <c r="CC178" s="8"/>
      <c r="CD178" s="8"/>
      <c r="CE178" s="8"/>
      <c r="CF178" s="8"/>
      <c r="CG178" s="8" t="s">
        <v>29</v>
      </c>
    </row>
    <row r="179" spans="1:85" ht="15.75" customHeight="1" x14ac:dyDescent="0.35">
      <c r="A179" s="8">
        <v>172</v>
      </c>
      <c r="B179" s="8" t="s">
        <v>298</v>
      </c>
      <c r="C179" s="9">
        <v>6.2000000000000003E-5</v>
      </c>
      <c r="D179" s="9">
        <v>2.5999999999999998E-5</v>
      </c>
      <c r="E179" s="9">
        <v>1.9999999999999999E-6</v>
      </c>
      <c r="F179" s="9">
        <v>1.9999999999999999E-6</v>
      </c>
      <c r="G179" s="8"/>
      <c r="H179" s="8"/>
      <c r="I179" s="8"/>
      <c r="J179" s="9">
        <v>0</v>
      </c>
      <c r="K179" s="9">
        <v>0</v>
      </c>
      <c r="L179" s="8"/>
      <c r="M179" s="9">
        <v>0</v>
      </c>
      <c r="N179" s="10">
        <v>5770200</v>
      </c>
      <c r="O179" s="10">
        <v>2441200</v>
      </c>
      <c r="P179" s="10">
        <v>224000</v>
      </c>
      <c r="Q179" s="10">
        <v>224000</v>
      </c>
      <c r="R179" s="8"/>
      <c r="S179" s="8"/>
      <c r="T179" s="8"/>
      <c r="U179" s="10">
        <v>0</v>
      </c>
      <c r="V179" s="10">
        <v>0</v>
      </c>
      <c r="W179" s="8"/>
      <c r="X179" s="10">
        <v>0</v>
      </c>
      <c r="Y179" s="13">
        <v>3329000</v>
      </c>
      <c r="Z179" s="13">
        <v>2217200</v>
      </c>
      <c r="AA179" s="11">
        <v>0</v>
      </c>
      <c r="AB179" s="13">
        <v>224000</v>
      </c>
      <c r="AC179" s="8"/>
      <c r="AD179" s="8"/>
      <c r="AE179" s="8"/>
      <c r="AF179" s="11">
        <v>0</v>
      </c>
      <c r="AG179" s="11">
        <v>0</v>
      </c>
      <c r="AH179" s="8"/>
      <c r="AI179" s="11">
        <v>0</v>
      </c>
      <c r="AJ179" s="10">
        <v>28212463092.299999</v>
      </c>
      <c r="AK179" s="10">
        <v>13880333268.799999</v>
      </c>
      <c r="AL179" s="10">
        <v>1111600001.5999999</v>
      </c>
      <c r="AM179" s="10">
        <v>1111600001.5999999</v>
      </c>
      <c r="AN179" s="8"/>
      <c r="AO179" s="8"/>
      <c r="AP179" s="8"/>
      <c r="AQ179" s="10">
        <v>0</v>
      </c>
      <c r="AR179" s="10">
        <v>0</v>
      </c>
      <c r="AS179" s="8"/>
      <c r="AT179" s="10">
        <v>0</v>
      </c>
      <c r="AU179" s="14">
        <v>45838</v>
      </c>
      <c r="AV179" s="14">
        <v>45657</v>
      </c>
      <c r="AW179" s="14">
        <v>44926</v>
      </c>
      <c r="AX179" s="14">
        <v>44926</v>
      </c>
      <c r="AY179" s="8"/>
      <c r="AZ179" s="8"/>
      <c r="BA179" s="8"/>
      <c r="BB179" s="14">
        <v>42978</v>
      </c>
      <c r="BC179" s="14">
        <v>42978</v>
      </c>
      <c r="BD179" s="8"/>
      <c r="BE179" s="14">
        <v>41820</v>
      </c>
      <c r="BF179" s="8" t="s">
        <v>35</v>
      </c>
      <c r="BG179" s="8" t="s">
        <v>35</v>
      </c>
      <c r="BH179" s="8" t="s">
        <v>35</v>
      </c>
      <c r="BI179" s="8" t="s">
        <v>35</v>
      </c>
      <c r="BJ179" s="8"/>
      <c r="BK179" s="8"/>
      <c r="BL179" s="8"/>
      <c r="BM179" s="8" t="s">
        <v>35</v>
      </c>
      <c r="BN179" s="8" t="s">
        <v>35</v>
      </c>
      <c r="BO179" s="8"/>
      <c r="BP179" s="8" t="s">
        <v>35</v>
      </c>
      <c r="BQ179" s="8" t="s">
        <v>31</v>
      </c>
      <c r="BR179" s="8" t="s">
        <v>49</v>
      </c>
      <c r="BS179" s="10">
        <v>169034384743432</v>
      </c>
      <c r="BT179" s="8" t="s">
        <v>57</v>
      </c>
      <c r="BU179" s="8" t="s">
        <v>27</v>
      </c>
      <c r="BV179" s="8" t="s">
        <v>42</v>
      </c>
      <c r="BW179" s="8" t="s">
        <v>43</v>
      </c>
      <c r="BX179" s="8" t="s">
        <v>42</v>
      </c>
      <c r="BY179" s="8"/>
      <c r="BZ179" s="8"/>
      <c r="CA179" s="8"/>
      <c r="CB179" s="8" t="s">
        <v>43</v>
      </c>
      <c r="CC179" s="8" t="s">
        <v>43</v>
      </c>
      <c r="CD179" s="8"/>
      <c r="CE179" s="8" t="s">
        <v>42</v>
      </c>
      <c r="CF179" s="8" t="s">
        <v>299</v>
      </c>
      <c r="CG179" s="8" t="s">
        <v>96</v>
      </c>
    </row>
    <row r="180" spans="1:85" ht="15.75" customHeight="1" x14ac:dyDescent="0.35">
      <c r="A180" s="8">
        <v>173</v>
      </c>
      <c r="B180" s="8" t="s">
        <v>300</v>
      </c>
      <c r="C180" s="9">
        <v>6.2000000000000003E-5</v>
      </c>
      <c r="D180" s="9">
        <v>6.7000000000000002E-5</v>
      </c>
      <c r="E180" s="9">
        <v>6.3E-5</v>
      </c>
      <c r="F180" s="9">
        <v>6.9999999999999994E-5</v>
      </c>
      <c r="G180" s="9">
        <v>3.3000000000000003E-5</v>
      </c>
      <c r="H180" s="9">
        <v>3.1999999999999999E-5</v>
      </c>
      <c r="I180" s="9">
        <v>5.5000000000000002E-5</v>
      </c>
      <c r="J180" s="9">
        <v>6.6000000000000005E-5</v>
      </c>
      <c r="K180" s="9">
        <v>4.5000000000000003E-5</v>
      </c>
      <c r="L180" s="9">
        <v>3.1000000000000001E-5</v>
      </c>
      <c r="M180" s="9">
        <v>1.4E-5</v>
      </c>
      <c r="N180" s="10">
        <v>5739904</v>
      </c>
      <c r="O180" s="10">
        <v>6187904</v>
      </c>
      <c r="P180" s="10">
        <v>5846604</v>
      </c>
      <c r="Q180" s="10">
        <v>6447204</v>
      </c>
      <c r="R180" s="10">
        <v>3065604</v>
      </c>
      <c r="S180" s="10">
        <v>2946604</v>
      </c>
      <c r="T180" s="10">
        <v>5106376</v>
      </c>
      <c r="U180" s="10">
        <v>6095404</v>
      </c>
      <c r="V180" s="10">
        <v>4159404</v>
      </c>
      <c r="W180" s="10">
        <v>2857092</v>
      </c>
      <c r="X180" s="10">
        <v>1289804</v>
      </c>
      <c r="Y180" s="12">
        <v>-448000</v>
      </c>
      <c r="Z180" s="13">
        <v>341300</v>
      </c>
      <c r="AA180" s="12">
        <v>-600600</v>
      </c>
      <c r="AB180" s="13">
        <v>3381600</v>
      </c>
      <c r="AC180" s="13">
        <v>119000</v>
      </c>
      <c r="AD180" s="12">
        <v>-2159772</v>
      </c>
      <c r="AE180" s="12">
        <v>-989028</v>
      </c>
      <c r="AF180" s="13">
        <v>1936000</v>
      </c>
      <c r="AG180" s="13">
        <v>1302312</v>
      </c>
      <c r="AH180" s="13">
        <v>1567288</v>
      </c>
      <c r="AI180" s="12">
        <v>-1785992</v>
      </c>
      <c r="AJ180" s="10">
        <v>29811485615.450001</v>
      </c>
      <c r="AK180" s="10">
        <v>35183585786.300003</v>
      </c>
      <c r="AL180" s="10">
        <v>35371954117.400002</v>
      </c>
      <c r="AM180" s="10">
        <v>31994249893.650002</v>
      </c>
      <c r="AN180" s="10">
        <v>10756611360</v>
      </c>
      <c r="AO180" s="10">
        <v>9318635118</v>
      </c>
      <c r="AP180" s="10">
        <v>19539408436.799999</v>
      </c>
      <c r="AQ180" s="10">
        <v>22198834243.75</v>
      </c>
      <c r="AR180" s="10">
        <v>16637616017.700001</v>
      </c>
      <c r="AS180" s="10">
        <v>8267709947.1000004</v>
      </c>
      <c r="AT180" s="10">
        <v>2983754014.0500002</v>
      </c>
      <c r="AU180" s="14">
        <v>45747</v>
      </c>
      <c r="AV180" s="14">
        <v>45657</v>
      </c>
      <c r="AW180" s="14">
        <v>45291</v>
      </c>
      <c r="AX180" s="14">
        <v>44926</v>
      </c>
      <c r="AY180" s="14">
        <v>44561</v>
      </c>
      <c r="AZ180" s="14">
        <v>44196</v>
      </c>
      <c r="BA180" s="14">
        <v>43830</v>
      </c>
      <c r="BB180" s="14">
        <v>43465</v>
      </c>
      <c r="BC180" s="14">
        <v>43100</v>
      </c>
      <c r="BD180" s="14">
        <v>42735</v>
      </c>
      <c r="BE180" s="14">
        <v>42369</v>
      </c>
      <c r="BF180" s="8" t="s">
        <v>35</v>
      </c>
      <c r="BG180" s="8" t="s">
        <v>35</v>
      </c>
      <c r="BH180" s="8" t="s">
        <v>35</v>
      </c>
      <c r="BI180" s="8" t="s">
        <v>35</v>
      </c>
      <c r="BJ180" s="8" t="s">
        <v>35</v>
      </c>
      <c r="BK180" s="8" t="s">
        <v>35</v>
      </c>
      <c r="BL180" s="8" t="s">
        <v>35</v>
      </c>
      <c r="BM180" s="8" t="s">
        <v>35</v>
      </c>
      <c r="BN180" s="8" t="s">
        <v>35</v>
      </c>
      <c r="BO180" s="8" t="s">
        <v>35</v>
      </c>
      <c r="BP180" s="8" t="s">
        <v>35</v>
      </c>
      <c r="BQ180" s="8" t="s">
        <v>31</v>
      </c>
      <c r="BR180" s="8" t="s">
        <v>36</v>
      </c>
      <c r="BS180" s="10">
        <v>34838113035192</v>
      </c>
      <c r="BT180" s="8"/>
      <c r="BU180" s="8" t="s">
        <v>27</v>
      </c>
      <c r="BV180" s="8" t="s">
        <v>27</v>
      </c>
      <c r="BW180" s="8" t="s">
        <v>27</v>
      </c>
      <c r="BX180" s="8" t="s">
        <v>27</v>
      </c>
      <c r="BY180" s="8" t="s">
        <v>42</v>
      </c>
      <c r="BZ180" s="8" t="s">
        <v>42</v>
      </c>
      <c r="CA180" s="8" t="s">
        <v>42</v>
      </c>
      <c r="CB180" s="8" t="s">
        <v>43</v>
      </c>
      <c r="CC180" s="8" t="s">
        <v>43</v>
      </c>
      <c r="CD180" s="8" t="s">
        <v>42</v>
      </c>
      <c r="CE180" s="8" t="s">
        <v>42</v>
      </c>
      <c r="CF180" s="8" t="s">
        <v>301</v>
      </c>
      <c r="CG180" s="8" t="s">
        <v>302</v>
      </c>
    </row>
    <row r="181" spans="1:85" ht="15.75" customHeight="1" x14ac:dyDescent="0.35">
      <c r="A181" s="8">
        <v>174</v>
      </c>
      <c r="B181" s="8" t="s">
        <v>303</v>
      </c>
      <c r="C181" s="9">
        <v>6.2000000000000003E-5</v>
      </c>
      <c r="D181" s="9">
        <v>1.07E-4</v>
      </c>
      <c r="E181" s="9">
        <v>1.1400000000000001E-4</v>
      </c>
      <c r="F181" s="9">
        <v>1.37E-4</v>
      </c>
      <c r="G181" s="9">
        <v>4.3000000000000002E-5</v>
      </c>
      <c r="H181" s="9">
        <v>1.66E-4</v>
      </c>
      <c r="I181" s="9">
        <v>6.3999999999999997E-5</v>
      </c>
      <c r="J181" s="9">
        <v>6.2000000000000003E-5</v>
      </c>
      <c r="K181" s="9">
        <v>5.5000000000000002E-5</v>
      </c>
      <c r="L181" s="9">
        <v>5.5000000000000002E-5</v>
      </c>
      <c r="M181" s="9">
        <v>3.3000000000000003E-5</v>
      </c>
      <c r="N181" s="10">
        <v>5719385</v>
      </c>
      <c r="O181" s="10">
        <v>9886444</v>
      </c>
      <c r="P181" s="10">
        <v>10521833</v>
      </c>
      <c r="Q181" s="10">
        <v>12616318</v>
      </c>
      <c r="R181" s="10">
        <v>4010918</v>
      </c>
      <c r="S181" s="10">
        <v>15374316</v>
      </c>
      <c r="T181" s="10">
        <v>5926576</v>
      </c>
      <c r="U181" s="10">
        <v>5697390</v>
      </c>
      <c r="V181" s="10">
        <v>5103794</v>
      </c>
      <c r="W181" s="10">
        <v>5086812</v>
      </c>
      <c r="X181" s="10">
        <v>3049164</v>
      </c>
      <c r="Y181" s="12">
        <v>-4167059</v>
      </c>
      <c r="Z181" s="12">
        <v>-635389</v>
      </c>
      <c r="AA181" s="12">
        <v>-2094485</v>
      </c>
      <c r="AB181" s="13">
        <v>8605400</v>
      </c>
      <c r="AC181" s="12">
        <v>-11363398</v>
      </c>
      <c r="AD181" s="13">
        <v>9447740</v>
      </c>
      <c r="AE181" s="13">
        <v>229186</v>
      </c>
      <c r="AF181" s="13">
        <v>593596</v>
      </c>
      <c r="AG181" s="13">
        <v>16982</v>
      </c>
      <c r="AH181" s="13">
        <v>2037648</v>
      </c>
      <c r="AI181" s="11">
        <v>0</v>
      </c>
      <c r="AJ181" s="10">
        <v>25157743709</v>
      </c>
      <c r="AK181" s="10">
        <v>56212984412.099998</v>
      </c>
      <c r="AL181" s="10">
        <v>63657089551.25</v>
      </c>
      <c r="AM181" s="10">
        <v>62608478092.050003</v>
      </c>
      <c r="AN181" s="10">
        <v>14038213044.799999</v>
      </c>
      <c r="AO181" s="10">
        <v>48621274228.800003</v>
      </c>
      <c r="AP181" s="10">
        <v>22677881305.599998</v>
      </c>
      <c r="AQ181" s="10">
        <v>20749308262.5</v>
      </c>
      <c r="AR181" s="10">
        <v>20415176056.299999</v>
      </c>
      <c r="AS181" s="10">
        <v>14719962254.700001</v>
      </c>
      <c r="AT181" s="10">
        <v>7413279955.3999996</v>
      </c>
      <c r="AU181" s="14">
        <v>45930</v>
      </c>
      <c r="AV181" s="14">
        <v>45657</v>
      </c>
      <c r="AW181" s="14">
        <v>45291</v>
      </c>
      <c r="AX181" s="14">
        <v>44926</v>
      </c>
      <c r="AY181" s="14">
        <v>44530</v>
      </c>
      <c r="AZ181" s="14">
        <v>44196</v>
      </c>
      <c r="BA181" s="14">
        <v>43830</v>
      </c>
      <c r="BB181" s="14">
        <v>43465</v>
      </c>
      <c r="BC181" s="14">
        <v>43100</v>
      </c>
      <c r="BD181" s="14">
        <v>42735</v>
      </c>
      <c r="BE181" s="14">
        <v>41820</v>
      </c>
      <c r="BF181" s="8" t="s">
        <v>35</v>
      </c>
      <c r="BG181" s="8" t="s">
        <v>35</v>
      </c>
      <c r="BH181" s="8" t="s">
        <v>35</v>
      </c>
      <c r="BI181" s="8" t="s">
        <v>35</v>
      </c>
      <c r="BJ181" s="8" t="s">
        <v>35</v>
      </c>
      <c r="BK181" s="8" t="s">
        <v>35</v>
      </c>
      <c r="BL181" s="8" t="s">
        <v>35</v>
      </c>
      <c r="BM181" s="8" t="s">
        <v>35</v>
      </c>
      <c r="BN181" s="8" t="s">
        <v>35</v>
      </c>
      <c r="BO181" s="8" t="s">
        <v>35</v>
      </c>
      <c r="BP181" s="8" t="s">
        <v>35</v>
      </c>
      <c r="BQ181" s="8" t="s">
        <v>31</v>
      </c>
      <c r="BR181" s="8" t="s">
        <v>36</v>
      </c>
      <c r="BS181" s="10">
        <v>270478003917586</v>
      </c>
      <c r="BT181" s="8" t="s">
        <v>61</v>
      </c>
      <c r="BU181" s="8" t="s">
        <v>42</v>
      </c>
      <c r="BV181" s="8" t="s">
        <v>42</v>
      </c>
      <c r="BW181" s="8" t="s">
        <v>42</v>
      </c>
      <c r="BX181" s="8" t="s">
        <v>42</v>
      </c>
      <c r="BY181" s="8" t="s">
        <v>42</v>
      </c>
      <c r="BZ181" s="8" t="s">
        <v>42</v>
      </c>
      <c r="CA181" s="8" t="s">
        <v>42</v>
      </c>
      <c r="CB181" s="8" t="s">
        <v>42</v>
      </c>
      <c r="CC181" s="8" t="s">
        <v>43</v>
      </c>
      <c r="CD181" s="8" t="s">
        <v>43</v>
      </c>
      <c r="CE181" s="8" t="s">
        <v>42</v>
      </c>
      <c r="CF181" s="8" t="s">
        <v>232</v>
      </c>
      <c r="CG181" s="8" t="s">
        <v>232</v>
      </c>
    </row>
    <row r="182" spans="1:85" ht="15.75" customHeight="1" x14ac:dyDescent="0.35">
      <c r="A182" s="8">
        <v>175</v>
      </c>
      <c r="B182" s="8" t="s">
        <v>304</v>
      </c>
      <c r="C182" s="9">
        <v>5.8999999999999998E-5</v>
      </c>
      <c r="D182" s="9">
        <v>5.8999999999999998E-5</v>
      </c>
      <c r="E182" s="9">
        <v>8.5000000000000006E-5</v>
      </c>
      <c r="F182" s="9">
        <v>8.5000000000000006E-5</v>
      </c>
      <c r="G182" s="9">
        <v>1.0900000000000001E-4</v>
      </c>
      <c r="H182" s="9">
        <v>1.22E-4</v>
      </c>
      <c r="I182" s="9">
        <v>3.8999999999999999E-5</v>
      </c>
      <c r="J182" s="9">
        <v>1.8E-5</v>
      </c>
      <c r="K182" s="9">
        <v>1.8E-5</v>
      </c>
      <c r="L182" s="9">
        <v>1.8E-5</v>
      </c>
      <c r="M182" s="9">
        <v>1.8E-5</v>
      </c>
      <c r="N182" s="10">
        <v>5423887</v>
      </c>
      <c r="O182" s="10">
        <v>5473902</v>
      </c>
      <c r="P182" s="10">
        <v>7853700</v>
      </c>
      <c r="Q182" s="10">
        <v>7842000</v>
      </c>
      <c r="R182" s="10">
        <v>10061400</v>
      </c>
      <c r="S182" s="10">
        <v>11232600</v>
      </c>
      <c r="T182" s="10">
        <v>3578400</v>
      </c>
      <c r="U182" s="10">
        <v>1677200</v>
      </c>
      <c r="V182" s="10">
        <v>1677200</v>
      </c>
      <c r="W182" s="10">
        <v>1677200</v>
      </c>
      <c r="X182" s="10">
        <v>1677200</v>
      </c>
      <c r="Y182" s="12">
        <v>-50015</v>
      </c>
      <c r="Z182" s="12">
        <v>-2379798</v>
      </c>
      <c r="AA182" s="13">
        <v>11700</v>
      </c>
      <c r="AB182" s="12">
        <v>-2219400</v>
      </c>
      <c r="AC182" s="12">
        <v>-1171200</v>
      </c>
      <c r="AD182" s="13">
        <v>7654200</v>
      </c>
      <c r="AE182" s="13">
        <v>1901200</v>
      </c>
      <c r="AF182" s="11">
        <v>0</v>
      </c>
      <c r="AG182" s="11">
        <v>0</v>
      </c>
      <c r="AH182" s="11">
        <v>0</v>
      </c>
      <c r="AI182" s="11">
        <v>0</v>
      </c>
      <c r="AJ182" s="10">
        <v>23857942504.200001</v>
      </c>
      <c r="AK182" s="10">
        <v>31123866881</v>
      </c>
      <c r="AL182" s="10">
        <v>47514884912.949997</v>
      </c>
      <c r="AM182" s="10">
        <v>38915925078.25</v>
      </c>
      <c r="AN182" s="10">
        <v>35303505892.5</v>
      </c>
      <c r="AO182" s="10">
        <v>35523097506</v>
      </c>
      <c r="AP182" s="10">
        <v>13692649980.799999</v>
      </c>
      <c r="AQ182" s="10">
        <v>6108189781.25</v>
      </c>
      <c r="AR182" s="10">
        <v>6708799998.5</v>
      </c>
      <c r="AS182" s="10">
        <v>4853397521.3999996</v>
      </c>
      <c r="AT182" s="10">
        <v>3879932303.25</v>
      </c>
      <c r="AU182" s="14">
        <v>45930</v>
      </c>
      <c r="AV182" s="14">
        <v>45657</v>
      </c>
      <c r="AW182" s="14">
        <v>45291</v>
      </c>
      <c r="AX182" s="14">
        <v>44926</v>
      </c>
      <c r="AY182" s="14">
        <v>44561</v>
      </c>
      <c r="AZ182" s="14">
        <v>44196</v>
      </c>
      <c r="BA182" s="14">
        <v>43830</v>
      </c>
      <c r="BB182" s="14">
        <v>43465</v>
      </c>
      <c r="BC182" s="14">
        <v>43100</v>
      </c>
      <c r="BD182" s="14">
        <v>42735</v>
      </c>
      <c r="BE182" s="14">
        <v>42369</v>
      </c>
      <c r="BF182" s="8" t="s">
        <v>35</v>
      </c>
      <c r="BG182" s="8" t="s">
        <v>35</v>
      </c>
      <c r="BH182" s="8" t="s">
        <v>35</v>
      </c>
      <c r="BI182" s="8" t="s">
        <v>35</v>
      </c>
      <c r="BJ182" s="8" t="s">
        <v>35</v>
      </c>
      <c r="BK182" s="8" t="s">
        <v>35</v>
      </c>
      <c r="BL182" s="8" t="s">
        <v>35</v>
      </c>
      <c r="BM182" s="8" t="s">
        <v>35</v>
      </c>
      <c r="BN182" s="8" t="s">
        <v>35</v>
      </c>
      <c r="BO182" s="8" t="s">
        <v>35</v>
      </c>
      <c r="BP182" s="8" t="s">
        <v>35</v>
      </c>
      <c r="BQ182" s="8" t="s">
        <v>31</v>
      </c>
      <c r="BR182" s="8" t="s">
        <v>36</v>
      </c>
      <c r="BS182" s="10">
        <v>2012607879583590</v>
      </c>
      <c r="BT182" s="8" t="s">
        <v>57</v>
      </c>
      <c r="BU182" s="8" t="s">
        <v>27</v>
      </c>
      <c r="BV182" s="8" t="s">
        <v>27</v>
      </c>
      <c r="BW182" s="8" t="s">
        <v>27</v>
      </c>
      <c r="BX182" s="8" t="s">
        <v>27</v>
      </c>
      <c r="BY182" s="8" t="s">
        <v>27</v>
      </c>
      <c r="BZ182" s="8" t="s">
        <v>27</v>
      </c>
      <c r="CA182" s="8" t="s">
        <v>27</v>
      </c>
      <c r="CB182" s="8" t="s">
        <v>27</v>
      </c>
      <c r="CC182" s="8" t="s">
        <v>27</v>
      </c>
      <c r="CD182" s="8" t="s">
        <v>27</v>
      </c>
      <c r="CE182" s="8" t="s">
        <v>27</v>
      </c>
      <c r="CF182" s="8" t="s">
        <v>114</v>
      </c>
      <c r="CG182" s="8" t="s">
        <v>115</v>
      </c>
    </row>
    <row r="183" spans="1:85" ht="15.75" customHeight="1" x14ac:dyDescent="0.35">
      <c r="A183" s="8">
        <v>176</v>
      </c>
      <c r="B183" s="8" t="s">
        <v>305</v>
      </c>
      <c r="C183" s="9">
        <v>5.8E-5</v>
      </c>
      <c r="D183" s="9">
        <v>9.3999999999999994E-5</v>
      </c>
      <c r="E183" s="9">
        <v>6.8999999999999997E-5</v>
      </c>
      <c r="F183" s="9">
        <v>3.8999999999999999E-5</v>
      </c>
      <c r="G183" s="9">
        <v>2.8E-5</v>
      </c>
      <c r="H183" s="9">
        <v>5.0000000000000002E-5</v>
      </c>
      <c r="I183" s="9">
        <v>2.6699999999999998E-4</v>
      </c>
      <c r="J183" s="9">
        <v>1.8599999999999999E-4</v>
      </c>
      <c r="K183" s="9">
        <v>5.5000000000000002E-5</v>
      </c>
      <c r="L183" s="9">
        <v>6.4999999999999994E-5</v>
      </c>
      <c r="M183" s="8"/>
      <c r="N183" s="10">
        <v>5325800</v>
      </c>
      <c r="O183" s="10">
        <v>8649300</v>
      </c>
      <c r="P183" s="10">
        <v>6381400</v>
      </c>
      <c r="Q183" s="10">
        <v>3613840</v>
      </c>
      <c r="R183" s="10">
        <v>2615640</v>
      </c>
      <c r="S183" s="10">
        <v>4659600</v>
      </c>
      <c r="T183" s="10">
        <v>24696600</v>
      </c>
      <c r="U183" s="10">
        <v>17160400</v>
      </c>
      <c r="V183" s="10">
        <v>5102880</v>
      </c>
      <c r="W183" s="10">
        <v>5996280</v>
      </c>
      <c r="X183" s="8"/>
      <c r="Y183" s="12">
        <v>-3323500</v>
      </c>
      <c r="Z183" s="13">
        <v>2267900</v>
      </c>
      <c r="AA183" s="13">
        <v>2767560</v>
      </c>
      <c r="AB183" s="13">
        <v>998200</v>
      </c>
      <c r="AC183" s="12">
        <v>-2043960</v>
      </c>
      <c r="AD183" s="12">
        <v>-20037000</v>
      </c>
      <c r="AE183" s="13">
        <v>7536200</v>
      </c>
      <c r="AF183" s="13">
        <v>12057520</v>
      </c>
      <c r="AG183" s="12">
        <v>-893400</v>
      </c>
      <c r="AH183" s="13">
        <v>5996280</v>
      </c>
      <c r="AI183" s="8"/>
      <c r="AJ183" s="10">
        <v>26039640843</v>
      </c>
      <c r="AK183" s="10">
        <v>49178750810.699997</v>
      </c>
      <c r="AL183" s="10">
        <v>38607470002.050003</v>
      </c>
      <c r="AM183" s="10">
        <v>17933681077.400002</v>
      </c>
      <c r="AN183" s="10">
        <v>9177774630</v>
      </c>
      <c r="AO183" s="10">
        <v>11532510054.4</v>
      </c>
      <c r="AP183" s="10">
        <v>94500865852.399994</v>
      </c>
      <c r="AQ183" s="10">
        <v>62496411181.25</v>
      </c>
      <c r="AR183" s="10">
        <v>20411520017.5</v>
      </c>
      <c r="AS183" s="10">
        <v>17351735299.799999</v>
      </c>
      <c r="AT183" s="8"/>
      <c r="AU183" s="14">
        <v>45838</v>
      </c>
      <c r="AV183" s="14">
        <v>45657</v>
      </c>
      <c r="AW183" s="14">
        <v>45291</v>
      </c>
      <c r="AX183" s="14">
        <v>44926</v>
      </c>
      <c r="AY183" s="14">
        <v>44561</v>
      </c>
      <c r="AZ183" s="14">
        <v>44012</v>
      </c>
      <c r="BA183" s="14">
        <v>43830</v>
      </c>
      <c r="BB183" s="14">
        <v>43465</v>
      </c>
      <c r="BC183" s="14">
        <v>43100</v>
      </c>
      <c r="BD183" s="14">
        <v>42735</v>
      </c>
      <c r="BE183" s="8"/>
      <c r="BF183" s="8" t="s">
        <v>35</v>
      </c>
      <c r="BG183" s="8" t="s">
        <v>35</v>
      </c>
      <c r="BH183" s="8" t="s">
        <v>35</v>
      </c>
      <c r="BI183" s="8" t="s">
        <v>35</v>
      </c>
      <c r="BJ183" s="8" t="s">
        <v>35</v>
      </c>
      <c r="BK183" s="8" t="s">
        <v>35</v>
      </c>
      <c r="BL183" s="8" t="s">
        <v>35</v>
      </c>
      <c r="BM183" s="8" t="s">
        <v>35</v>
      </c>
      <c r="BN183" s="8" t="s">
        <v>35</v>
      </c>
      <c r="BO183" s="8" t="s">
        <v>35</v>
      </c>
      <c r="BP183" s="8"/>
      <c r="BQ183" s="8" t="s">
        <v>31</v>
      </c>
      <c r="BR183" s="8" t="s">
        <v>36</v>
      </c>
      <c r="BS183" s="10">
        <v>492342913561262</v>
      </c>
      <c r="BT183" s="8" t="s">
        <v>101</v>
      </c>
      <c r="BU183" s="8" t="s">
        <v>27</v>
      </c>
      <c r="BV183" s="8" t="s">
        <v>27</v>
      </c>
      <c r="BW183" s="8" t="s">
        <v>27</v>
      </c>
      <c r="BX183" s="8" t="s">
        <v>42</v>
      </c>
      <c r="BY183" s="8"/>
      <c r="BZ183" s="8" t="s">
        <v>27</v>
      </c>
      <c r="CA183" s="8" t="s">
        <v>42</v>
      </c>
      <c r="CB183" s="8" t="s">
        <v>42</v>
      </c>
      <c r="CC183" s="8" t="s">
        <v>42</v>
      </c>
      <c r="CD183" s="8"/>
      <c r="CE183" s="8"/>
      <c r="CF183" s="8" t="s">
        <v>194</v>
      </c>
      <c r="CG183" s="8" t="s">
        <v>195</v>
      </c>
    </row>
    <row r="184" spans="1:85" ht="15.75" customHeight="1" x14ac:dyDescent="0.35">
      <c r="A184" s="8">
        <v>177</v>
      </c>
      <c r="B184" s="8" t="s">
        <v>306</v>
      </c>
      <c r="C184" s="9">
        <v>5.5999999999999999E-5</v>
      </c>
      <c r="D184" s="9">
        <v>2.9E-5</v>
      </c>
      <c r="E184" s="8"/>
      <c r="F184" s="8"/>
      <c r="G184" s="8"/>
      <c r="H184" s="8"/>
      <c r="I184" s="8"/>
      <c r="J184" s="8"/>
      <c r="K184" s="8"/>
      <c r="L184" s="8"/>
      <c r="M184" s="8"/>
      <c r="N184" s="10">
        <v>5200400</v>
      </c>
      <c r="O184" s="10">
        <v>2687300</v>
      </c>
      <c r="P184" s="8"/>
      <c r="Q184" s="8"/>
      <c r="R184" s="8"/>
      <c r="S184" s="8"/>
      <c r="T184" s="8"/>
      <c r="U184" s="8"/>
      <c r="V184" s="8"/>
      <c r="W184" s="8"/>
      <c r="X184" s="8"/>
      <c r="Y184" s="13">
        <v>2513100</v>
      </c>
      <c r="Z184" s="13">
        <v>2687300</v>
      </c>
      <c r="AA184" s="8"/>
      <c r="AB184" s="8"/>
      <c r="AC184" s="8"/>
      <c r="AD184" s="8"/>
      <c r="AE184" s="8"/>
      <c r="AF184" s="8"/>
      <c r="AG184" s="8"/>
      <c r="AH184" s="8"/>
      <c r="AI184" s="8"/>
      <c r="AJ184" s="10">
        <v>22874894880.599998</v>
      </c>
      <c r="AK184" s="10">
        <v>15279624575.6</v>
      </c>
      <c r="AL184" s="8"/>
      <c r="AM184" s="8"/>
      <c r="AN184" s="8"/>
      <c r="AO184" s="8"/>
      <c r="AP184" s="8"/>
      <c r="AQ184" s="8"/>
      <c r="AR184" s="8"/>
      <c r="AS184" s="8"/>
      <c r="AT184" s="8"/>
      <c r="AU184" s="14">
        <v>45930</v>
      </c>
      <c r="AV184" s="14">
        <v>45657</v>
      </c>
      <c r="AW184" s="8"/>
      <c r="AX184" s="8"/>
      <c r="AY184" s="8"/>
      <c r="AZ184" s="8"/>
      <c r="BA184" s="8"/>
      <c r="BB184" s="8"/>
      <c r="BC184" s="8"/>
      <c r="BD184" s="8"/>
      <c r="BE184" s="8"/>
      <c r="BF184" s="8" t="s">
        <v>35</v>
      </c>
      <c r="BG184" s="8" t="s">
        <v>35</v>
      </c>
      <c r="BH184" s="8"/>
      <c r="BI184" s="8"/>
      <c r="BJ184" s="8"/>
      <c r="BK184" s="8"/>
      <c r="BL184" s="8"/>
      <c r="BM184" s="8"/>
      <c r="BN184" s="8"/>
      <c r="BO184" s="8"/>
      <c r="BP184" s="8"/>
      <c r="BQ184" s="8" t="s">
        <v>31</v>
      </c>
      <c r="BR184" s="8" t="s">
        <v>49</v>
      </c>
      <c r="BS184" s="10">
        <v>3965786697582440</v>
      </c>
      <c r="BT184" s="8" t="s">
        <v>91</v>
      </c>
      <c r="BU184" s="8" t="s">
        <v>27</v>
      </c>
      <c r="BV184" s="8" t="s">
        <v>27</v>
      </c>
      <c r="BW184" s="8"/>
      <c r="BX184" s="8"/>
      <c r="BY184" s="8"/>
      <c r="BZ184" s="8"/>
      <c r="CA184" s="8"/>
      <c r="CB184" s="8"/>
      <c r="CC184" s="8"/>
      <c r="CD184" s="8"/>
      <c r="CE184" s="8"/>
      <c r="CF184" s="8" t="s">
        <v>73</v>
      </c>
      <c r="CG184" s="8" t="s">
        <v>39</v>
      </c>
    </row>
    <row r="185" spans="1:85" ht="15.75" customHeight="1" x14ac:dyDescent="0.35">
      <c r="A185" s="8">
        <v>178</v>
      </c>
      <c r="B185" s="8" t="s">
        <v>307</v>
      </c>
      <c r="C185" s="9">
        <v>5.5999999999999999E-5</v>
      </c>
      <c r="D185" s="9">
        <v>2.5000000000000001E-5</v>
      </c>
      <c r="E185" s="9">
        <v>7.9999999999999996E-6</v>
      </c>
      <c r="F185" s="9">
        <v>9.0000000000000002E-6</v>
      </c>
      <c r="G185" s="8"/>
      <c r="H185" s="9">
        <v>7.9999999999999996E-6</v>
      </c>
      <c r="I185" s="9">
        <v>7.9999999999999996E-6</v>
      </c>
      <c r="J185" s="8"/>
      <c r="K185" s="8"/>
      <c r="L185" s="8"/>
      <c r="M185" s="8"/>
      <c r="N185" s="10">
        <v>5164389</v>
      </c>
      <c r="O185" s="10">
        <v>2304923</v>
      </c>
      <c r="P185" s="10">
        <v>755327</v>
      </c>
      <c r="Q185" s="10">
        <v>837322</v>
      </c>
      <c r="R185" s="8"/>
      <c r="S185" s="10">
        <v>712160</v>
      </c>
      <c r="T185" s="10">
        <v>785360</v>
      </c>
      <c r="U185" s="8"/>
      <c r="V185" s="8"/>
      <c r="W185" s="8"/>
      <c r="X185" s="8"/>
      <c r="Y185" s="13">
        <v>2859466</v>
      </c>
      <c r="Z185" s="13">
        <v>1549596</v>
      </c>
      <c r="AA185" s="12">
        <v>-81995</v>
      </c>
      <c r="AB185" s="13">
        <v>837322</v>
      </c>
      <c r="AC185" s="8"/>
      <c r="AD185" s="12">
        <v>-73200</v>
      </c>
      <c r="AE185" s="13">
        <v>785360</v>
      </c>
      <c r="AF185" s="8"/>
      <c r="AG185" s="8"/>
      <c r="AH185" s="8"/>
      <c r="AI185" s="8"/>
      <c r="AJ185" s="10">
        <v>25250447841.900002</v>
      </c>
      <c r="AK185" s="10">
        <v>13105480702.799999</v>
      </c>
      <c r="AL185" s="10">
        <v>4569728332.1000004</v>
      </c>
      <c r="AM185" s="10">
        <v>4155210453.3499999</v>
      </c>
      <c r="AN185" s="8"/>
      <c r="AO185" s="10">
        <v>2590481995.1999998</v>
      </c>
      <c r="AP185" s="10">
        <v>3005158661.1999998</v>
      </c>
      <c r="AQ185" s="8"/>
      <c r="AR185" s="8"/>
      <c r="AS185" s="8"/>
      <c r="AT185" s="8"/>
      <c r="AU185" s="14">
        <v>45838</v>
      </c>
      <c r="AV185" s="14">
        <v>45657</v>
      </c>
      <c r="AW185" s="14">
        <v>45291</v>
      </c>
      <c r="AX185" s="14">
        <v>44926</v>
      </c>
      <c r="AY185" s="8"/>
      <c r="AZ185" s="14">
        <v>43890</v>
      </c>
      <c r="BA185" s="14">
        <v>43830</v>
      </c>
      <c r="BB185" s="8"/>
      <c r="BC185" s="8"/>
      <c r="BD185" s="8"/>
      <c r="BE185" s="8"/>
      <c r="BF185" s="8" t="s">
        <v>35</v>
      </c>
      <c r="BG185" s="8" t="s">
        <v>35</v>
      </c>
      <c r="BH185" s="8" t="s">
        <v>35</v>
      </c>
      <c r="BI185" s="8" t="s">
        <v>35</v>
      </c>
      <c r="BJ185" s="8"/>
      <c r="BK185" s="8" t="s">
        <v>35</v>
      </c>
      <c r="BL185" s="8" t="s">
        <v>35</v>
      </c>
      <c r="BM185" s="8"/>
      <c r="BN185" s="8"/>
      <c r="BO185" s="8"/>
      <c r="BP185" s="8"/>
      <c r="BQ185" s="8" t="s">
        <v>31</v>
      </c>
      <c r="BR185" s="8" t="s">
        <v>36</v>
      </c>
      <c r="BS185" s="10">
        <v>342584676554647</v>
      </c>
      <c r="BT185" s="8" t="s">
        <v>41</v>
      </c>
      <c r="BU185" s="8" t="s">
        <v>42</v>
      </c>
      <c r="BV185" s="8" t="s">
        <v>42</v>
      </c>
      <c r="BW185" s="8" t="s">
        <v>27</v>
      </c>
      <c r="BX185" s="8" t="s">
        <v>42</v>
      </c>
      <c r="BY185" s="8"/>
      <c r="BZ185" s="8" t="s">
        <v>27</v>
      </c>
      <c r="CA185" s="8" t="s">
        <v>42</v>
      </c>
      <c r="CB185" s="8"/>
      <c r="CC185" s="8"/>
      <c r="CD185" s="8"/>
      <c r="CE185" s="8"/>
      <c r="CF185" s="8" t="s">
        <v>145</v>
      </c>
      <c r="CG185" s="8" t="s">
        <v>146</v>
      </c>
    </row>
    <row r="186" spans="1:85" ht="15.75" customHeight="1" x14ac:dyDescent="0.35">
      <c r="A186" s="8">
        <v>179</v>
      </c>
      <c r="B186" s="8" t="s">
        <v>308</v>
      </c>
      <c r="C186" s="9">
        <v>5.3999999999999998E-5</v>
      </c>
      <c r="D186" s="9">
        <v>2.4000000000000001E-5</v>
      </c>
      <c r="E186" s="9">
        <v>3.0000000000000001E-5</v>
      </c>
      <c r="F186" s="9">
        <v>0</v>
      </c>
      <c r="G186" s="9">
        <v>0</v>
      </c>
      <c r="H186" s="8"/>
      <c r="I186" s="8"/>
      <c r="J186" s="8"/>
      <c r="K186" s="8"/>
      <c r="L186" s="8"/>
      <c r="M186" s="8"/>
      <c r="N186" s="10">
        <v>5002377</v>
      </c>
      <c r="O186" s="10">
        <v>2198114</v>
      </c>
      <c r="P186" s="10">
        <v>2810999</v>
      </c>
      <c r="Q186" s="10">
        <v>0</v>
      </c>
      <c r="R186" s="10">
        <v>0</v>
      </c>
      <c r="S186" s="8"/>
      <c r="T186" s="8"/>
      <c r="U186" s="8"/>
      <c r="V186" s="8"/>
      <c r="W186" s="8"/>
      <c r="X186" s="8"/>
      <c r="Y186" s="13">
        <v>2804263</v>
      </c>
      <c r="Z186" s="12">
        <v>-612885</v>
      </c>
      <c r="AA186" s="13">
        <v>2810999</v>
      </c>
      <c r="AB186" s="11">
        <v>0</v>
      </c>
      <c r="AC186" s="11">
        <v>0</v>
      </c>
      <c r="AD186" s="8"/>
      <c r="AE186" s="8"/>
      <c r="AF186" s="8"/>
      <c r="AG186" s="8"/>
      <c r="AH186" s="8"/>
      <c r="AI186" s="8"/>
      <c r="AJ186" s="10">
        <v>24458316237</v>
      </c>
      <c r="AK186" s="10">
        <v>12498179099.200001</v>
      </c>
      <c r="AL186" s="10">
        <v>17006543981.5</v>
      </c>
      <c r="AM186" s="10">
        <v>0</v>
      </c>
      <c r="AN186" s="10">
        <v>0</v>
      </c>
      <c r="AO186" s="8"/>
      <c r="AP186" s="8"/>
      <c r="AQ186" s="8"/>
      <c r="AR186" s="8"/>
      <c r="AS186" s="8"/>
      <c r="AT186" s="8"/>
      <c r="AU186" s="14">
        <v>45838</v>
      </c>
      <c r="AV186" s="14">
        <v>45657</v>
      </c>
      <c r="AW186" s="14">
        <v>45291</v>
      </c>
      <c r="AX186" s="14">
        <v>44651</v>
      </c>
      <c r="AY186" s="14">
        <v>44561</v>
      </c>
      <c r="AZ186" s="8"/>
      <c r="BA186" s="8"/>
      <c r="BB186" s="8"/>
      <c r="BC186" s="8"/>
      <c r="BD186" s="8"/>
      <c r="BE186" s="8"/>
      <c r="BF186" s="8" t="s">
        <v>35</v>
      </c>
      <c r="BG186" s="8" t="s">
        <v>35</v>
      </c>
      <c r="BH186" s="8" t="s">
        <v>35</v>
      </c>
      <c r="BI186" s="8" t="s">
        <v>35</v>
      </c>
      <c r="BJ186" s="8" t="s">
        <v>35</v>
      </c>
      <c r="BK186" s="8"/>
      <c r="BL186" s="8"/>
      <c r="BM186" s="8"/>
      <c r="BN186" s="8"/>
      <c r="BO186" s="8"/>
      <c r="BP186" s="8"/>
      <c r="BQ186" s="8" t="s">
        <v>31</v>
      </c>
      <c r="BR186" s="8" t="s">
        <v>36</v>
      </c>
      <c r="BS186" s="10">
        <v>9651292359164.4004</v>
      </c>
      <c r="BT186" s="8"/>
      <c r="BU186" s="8" t="s">
        <v>27</v>
      </c>
      <c r="BV186" s="8" t="s">
        <v>42</v>
      </c>
      <c r="BW186" s="8" t="s">
        <v>27</v>
      </c>
      <c r="BX186" s="8" t="s">
        <v>42</v>
      </c>
      <c r="BY186" s="8" t="s">
        <v>43</v>
      </c>
      <c r="BZ186" s="8"/>
      <c r="CA186" s="8"/>
      <c r="CB186" s="8"/>
      <c r="CC186" s="8"/>
      <c r="CD186" s="8"/>
      <c r="CE186" s="8"/>
      <c r="CF186" s="8" t="s">
        <v>309</v>
      </c>
      <c r="CG186" s="8" t="s">
        <v>310</v>
      </c>
    </row>
    <row r="187" spans="1:85" ht="15.75" customHeight="1" x14ac:dyDescent="0.35">
      <c r="A187" s="8">
        <v>180</v>
      </c>
      <c r="B187" s="8" t="s">
        <v>311</v>
      </c>
      <c r="C187" s="9">
        <v>5.3000000000000001E-5</v>
      </c>
      <c r="D187" s="9">
        <v>1.157E-3</v>
      </c>
      <c r="E187" s="9">
        <v>1.1529999999999999E-3</v>
      </c>
      <c r="F187" s="9">
        <v>2.2209999999999999E-3</v>
      </c>
      <c r="G187" s="9">
        <v>1.9780000000000002E-3</v>
      </c>
      <c r="H187" s="9">
        <v>3.19E-4</v>
      </c>
      <c r="I187" s="9">
        <v>1.049E-3</v>
      </c>
      <c r="J187" s="9">
        <v>1.2409999999999999E-3</v>
      </c>
      <c r="K187" s="9">
        <v>2.006E-3</v>
      </c>
      <c r="L187" s="9">
        <v>1.41E-3</v>
      </c>
      <c r="M187" s="9">
        <v>8.2200000000000003E-4</v>
      </c>
      <c r="N187" s="10">
        <v>4883697</v>
      </c>
      <c r="O187" s="10">
        <v>106863297</v>
      </c>
      <c r="P187" s="10">
        <v>106499096</v>
      </c>
      <c r="Q187" s="10">
        <v>205184254</v>
      </c>
      <c r="R187" s="10">
        <v>182784682</v>
      </c>
      <c r="S187" s="10">
        <v>29486200</v>
      </c>
      <c r="T187" s="10">
        <v>96943216</v>
      </c>
      <c r="U187" s="10">
        <v>114649998</v>
      </c>
      <c r="V187" s="10">
        <v>185377426</v>
      </c>
      <c r="W187" s="10">
        <v>130284400</v>
      </c>
      <c r="X187" s="10">
        <v>75968000</v>
      </c>
      <c r="Y187" s="12">
        <v>-101979600</v>
      </c>
      <c r="Z187" s="13">
        <v>364201</v>
      </c>
      <c r="AA187" s="12">
        <v>-98685158</v>
      </c>
      <c r="AB187" s="13">
        <v>22399572</v>
      </c>
      <c r="AC187" s="13">
        <v>153298482</v>
      </c>
      <c r="AD187" s="12">
        <v>-67457016</v>
      </c>
      <c r="AE187" s="12">
        <v>-17706782</v>
      </c>
      <c r="AF187" s="12">
        <v>-70727428</v>
      </c>
      <c r="AG187" s="13">
        <v>55093026</v>
      </c>
      <c r="AH187" s="13">
        <v>54316400</v>
      </c>
      <c r="AI187" s="12">
        <v>-2626000</v>
      </c>
      <c r="AJ187" s="10">
        <v>23304873513.599998</v>
      </c>
      <c r="AK187" s="10">
        <v>607610263540.59998</v>
      </c>
      <c r="AL187" s="10">
        <v>644319530312.90002</v>
      </c>
      <c r="AM187" s="10">
        <v>1018226861296.7</v>
      </c>
      <c r="AN187" s="10">
        <v>641356083982.5</v>
      </c>
      <c r="AO187" s="10">
        <v>93250107381.600006</v>
      </c>
      <c r="AP187" s="10">
        <v>370950569874.40002</v>
      </c>
      <c r="AQ187" s="10">
        <v>417543496868.75</v>
      </c>
      <c r="AR187" s="10">
        <v>741509704133.40002</v>
      </c>
      <c r="AS187" s="10">
        <v>377010482730.59998</v>
      </c>
      <c r="AT187" s="10">
        <v>175739743242</v>
      </c>
      <c r="AU187" s="14">
        <v>45900</v>
      </c>
      <c r="AV187" s="14">
        <v>45657</v>
      </c>
      <c r="AW187" s="14">
        <v>45291</v>
      </c>
      <c r="AX187" s="14">
        <v>44926</v>
      </c>
      <c r="AY187" s="14">
        <v>44561</v>
      </c>
      <c r="AZ187" s="14">
        <v>44196</v>
      </c>
      <c r="BA187" s="14">
        <v>43830</v>
      </c>
      <c r="BB187" s="14">
        <v>43465</v>
      </c>
      <c r="BC187" s="14">
        <v>43100</v>
      </c>
      <c r="BD187" s="14">
        <v>42735</v>
      </c>
      <c r="BE187" s="14">
        <v>42369</v>
      </c>
      <c r="BF187" s="8" t="s">
        <v>35</v>
      </c>
      <c r="BG187" s="8" t="s">
        <v>35</v>
      </c>
      <c r="BH187" s="8" t="s">
        <v>35</v>
      </c>
      <c r="BI187" s="8" t="s">
        <v>35</v>
      </c>
      <c r="BJ187" s="8" t="s">
        <v>35</v>
      </c>
      <c r="BK187" s="8" t="s">
        <v>35</v>
      </c>
      <c r="BL187" s="8" t="s">
        <v>35</v>
      </c>
      <c r="BM187" s="8" t="s">
        <v>35</v>
      </c>
      <c r="BN187" s="8" t="s">
        <v>35</v>
      </c>
      <c r="BO187" s="8" t="s">
        <v>35</v>
      </c>
      <c r="BP187" s="8" t="s">
        <v>35</v>
      </c>
      <c r="BQ187" s="8" t="s">
        <v>31</v>
      </c>
      <c r="BR187" s="8" t="s">
        <v>49</v>
      </c>
      <c r="BS187" s="10">
        <v>5867136118082260</v>
      </c>
      <c r="BT187" s="8" t="s">
        <v>41</v>
      </c>
      <c r="BU187" s="8" t="s">
        <v>27</v>
      </c>
      <c r="BV187" s="8" t="s">
        <v>27</v>
      </c>
      <c r="BW187" s="8" t="s">
        <v>27</v>
      </c>
      <c r="BX187" s="8" t="s">
        <v>27</v>
      </c>
      <c r="BY187" s="8" t="s">
        <v>27</v>
      </c>
      <c r="BZ187" s="8" t="s">
        <v>27</v>
      </c>
      <c r="CA187" s="8" t="s">
        <v>27</v>
      </c>
      <c r="CB187" s="8" t="s">
        <v>27</v>
      </c>
      <c r="CC187" s="8" t="s">
        <v>27</v>
      </c>
      <c r="CD187" s="8" t="s">
        <v>27</v>
      </c>
      <c r="CE187" s="8" t="s">
        <v>27</v>
      </c>
      <c r="CF187" s="8" t="s">
        <v>82</v>
      </c>
      <c r="CG187" s="8" t="s">
        <v>39</v>
      </c>
    </row>
    <row r="188" spans="1:85" ht="15.75" customHeight="1" x14ac:dyDescent="0.35">
      <c r="A188" s="8">
        <v>181</v>
      </c>
      <c r="B188" s="8" t="s">
        <v>312</v>
      </c>
      <c r="C188" s="9">
        <v>5.0000000000000002E-5</v>
      </c>
      <c r="D188" s="9">
        <v>1.22E-4</v>
      </c>
      <c r="E188" s="9">
        <v>2.6400000000000002E-4</v>
      </c>
      <c r="F188" s="9">
        <v>4.0299999999999998E-4</v>
      </c>
      <c r="G188" s="9">
        <v>2.3499999999999999E-4</v>
      </c>
      <c r="H188" s="9">
        <v>6.9999999999999999E-6</v>
      </c>
      <c r="I188" s="9">
        <v>3.0000000000000001E-6</v>
      </c>
      <c r="J188" s="8"/>
      <c r="K188" s="8"/>
      <c r="L188" s="8"/>
      <c r="M188" s="8"/>
      <c r="N188" s="10">
        <v>4617200</v>
      </c>
      <c r="O188" s="10">
        <v>11306200</v>
      </c>
      <c r="P188" s="10">
        <v>24428300</v>
      </c>
      <c r="Q188" s="10">
        <v>37262400</v>
      </c>
      <c r="R188" s="10">
        <v>21690800</v>
      </c>
      <c r="S188" s="10">
        <v>665000</v>
      </c>
      <c r="T188" s="10">
        <v>304600</v>
      </c>
      <c r="U188" s="8"/>
      <c r="V188" s="8"/>
      <c r="W188" s="8"/>
      <c r="X188" s="8"/>
      <c r="Y188" s="12">
        <v>-6689000</v>
      </c>
      <c r="Z188" s="12">
        <v>-13122100</v>
      </c>
      <c r="AA188" s="12">
        <v>-12834100</v>
      </c>
      <c r="AB188" s="13">
        <v>15571600</v>
      </c>
      <c r="AC188" s="13">
        <v>21025800</v>
      </c>
      <c r="AD188" s="13">
        <v>360400</v>
      </c>
      <c r="AE188" s="13">
        <v>304600</v>
      </c>
      <c r="AF188" s="8"/>
      <c r="AG188" s="8"/>
      <c r="AH188" s="8"/>
      <c r="AI188" s="8"/>
      <c r="AJ188" s="10">
        <v>22575055365.299999</v>
      </c>
      <c r="AK188" s="10">
        <v>64285525021.5</v>
      </c>
      <c r="AL188" s="10">
        <v>147791214855</v>
      </c>
      <c r="AM188" s="10">
        <v>184914660203.89999</v>
      </c>
      <c r="AN188" s="10">
        <v>76108820505</v>
      </c>
      <c r="AO188" s="10">
        <v>2103062551.2</v>
      </c>
      <c r="AP188" s="10">
        <v>1165543574.4000001</v>
      </c>
      <c r="AQ188" s="8"/>
      <c r="AR188" s="8"/>
      <c r="AS188" s="8"/>
      <c r="AT188" s="8"/>
      <c r="AU188" s="14">
        <v>45838</v>
      </c>
      <c r="AV188" s="14">
        <v>45657</v>
      </c>
      <c r="AW188" s="14">
        <v>45291</v>
      </c>
      <c r="AX188" s="14">
        <v>44926</v>
      </c>
      <c r="AY188" s="14">
        <v>44561</v>
      </c>
      <c r="AZ188" s="14">
        <v>44196</v>
      </c>
      <c r="BA188" s="14">
        <v>43830</v>
      </c>
      <c r="BB188" s="8"/>
      <c r="BC188" s="8"/>
      <c r="BD188" s="8"/>
      <c r="BE188" s="8"/>
      <c r="BF188" s="8" t="s">
        <v>35</v>
      </c>
      <c r="BG188" s="8" t="s">
        <v>35</v>
      </c>
      <c r="BH188" s="8" t="s">
        <v>35</v>
      </c>
      <c r="BI188" s="8" t="s">
        <v>35</v>
      </c>
      <c r="BJ188" s="8" t="s">
        <v>35</v>
      </c>
      <c r="BK188" s="8" t="s">
        <v>35</v>
      </c>
      <c r="BL188" s="8" t="s">
        <v>35</v>
      </c>
      <c r="BM188" s="8"/>
      <c r="BN188" s="8"/>
      <c r="BO188" s="8"/>
      <c r="BP188" s="8"/>
      <c r="BQ188" s="8" t="s">
        <v>31</v>
      </c>
      <c r="BR188" s="8" t="s">
        <v>36</v>
      </c>
      <c r="BS188" s="10">
        <v>12663796610270.4</v>
      </c>
      <c r="BT188" s="8"/>
      <c r="BU188" s="8" t="s">
        <v>27</v>
      </c>
      <c r="BV188" s="8" t="s">
        <v>42</v>
      </c>
      <c r="BW188" s="8" t="s">
        <v>42</v>
      </c>
      <c r="BX188" s="8" t="s">
        <v>42</v>
      </c>
      <c r="BY188" s="8" t="s">
        <v>42</v>
      </c>
      <c r="BZ188" s="8" t="s">
        <v>42</v>
      </c>
      <c r="CA188" s="8" t="s">
        <v>43</v>
      </c>
      <c r="CB188" s="8"/>
      <c r="CC188" s="8"/>
      <c r="CD188" s="8"/>
      <c r="CE188" s="8"/>
      <c r="CF188" s="8" t="s">
        <v>313</v>
      </c>
      <c r="CG188" s="8" t="s">
        <v>39</v>
      </c>
    </row>
    <row r="189" spans="1:85" ht="15.75" customHeight="1" x14ac:dyDescent="0.35">
      <c r="A189" s="8">
        <v>182</v>
      </c>
      <c r="B189" s="8" t="s">
        <v>314</v>
      </c>
      <c r="C189" s="9">
        <v>4.8000000000000001E-5</v>
      </c>
      <c r="D189" s="9">
        <v>4.6E-5</v>
      </c>
      <c r="E189" s="8"/>
      <c r="F189" s="8"/>
      <c r="G189" s="8"/>
      <c r="H189" s="8"/>
      <c r="I189" s="8"/>
      <c r="J189" s="8"/>
      <c r="K189" s="8"/>
      <c r="L189" s="8"/>
      <c r="M189" s="8"/>
      <c r="N189" s="10">
        <v>4417300</v>
      </c>
      <c r="O189" s="10">
        <v>4214100</v>
      </c>
      <c r="P189" s="8"/>
      <c r="Q189" s="8"/>
      <c r="R189" s="8"/>
      <c r="S189" s="8"/>
      <c r="T189" s="8"/>
      <c r="U189" s="8"/>
      <c r="V189" s="8"/>
      <c r="W189" s="8"/>
      <c r="X189" s="8"/>
      <c r="Y189" s="13">
        <v>203200</v>
      </c>
      <c r="Z189" s="13">
        <v>4214100</v>
      </c>
      <c r="AA189" s="8"/>
      <c r="AB189" s="8"/>
      <c r="AC189" s="8"/>
      <c r="AD189" s="8"/>
      <c r="AE189" s="8"/>
      <c r="AF189" s="8"/>
      <c r="AG189" s="8"/>
      <c r="AH189" s="8"/>
      <c r="AI189" s="8"/>
      <c r="AJ189" s="10">
        <v>19430288607.799999</v>
      </c>
      <c r="AK189" s="10">
        <v>23960803063.099998</v>
      </c>
      <c r="AL189" s="8"/>
      <c r="AM189" s="8"/>
      <c r="AN189" s="8"/>
      <c r="AO189" s="8"/>
      <c r="AP189" s="8"/>
      <c r="AQ189" s="8"/>
      <c r="AR189" s="8"/>
      <c r="AS189" s="8"/>
      <c r="AT189" s="8"/>
      <c r="AU189" s="14">
        <v>45930</v>
      </c>
      <c r="AV189" s="14">
        <v>45657</v>
      </c>
      <c r="AW189" s="8"/>
      <c r="AX189" s="8"/>
      <c r="AY189" s="8"/>
      <c r="AZ189" s="8"/>
      <c r="BA189" s="8"/>
      <c r="BB189" s="8"/>
      <c r="BC189" s="8"/>
      <c r="BD189" s="8"/>
      <c r="BE189" s="8"/>
      <c r="BF189" s="8" t="s">
        <v>35</v>
      </c>
      <c r="BG189" s="8" t="s">
        <v>35</v>
      </c>
      <c r="BH189" s="8"/>
      <c r="BI189" s="8"/>
      <c r="BJ189" s="8"/>
      <c r="BK189" s="8"/>
      <c r="BL189" s="8"/>
      <c r="BM189" s="8"/>
      <c r="BN189" s="8"/>
      <c r="BO189" s="8"/>
      <c r="BP189" s="8"/>
      <c r="BQ189" s="8" t="s">
        <v>31</v>
      </c>
      <c r="BR189" s="8" t="s">
        <v>36</v>
      </c>
      <c r="BS189" s="10">
        <v>1428487732080150</v>
      </c>
      <c r="BT189" s="8"/>
      <c r="BU189" s="8" t="s">
        <v>27</v>
      </c>
      <c r="BV189" s="8" t="s">
        <v>42</v>
      </c>
      <c r="BW189" s="8"/>
      <c r="BX189" s="8"/>
      <c r="BY189" s="8"/>
      <c r="BZ189" s="8"/>
      <c r="CA189" s="8"/>
      <c r="CB189" s="8"/>
      <c r="CC189" s="8"/>
      <c r="CD189" s="8"/>
      <c r="CE189" s="8"/>
      <c r="CF189" s="8" t="s">
        <v>73</v>
      </c>
      <c r="CG189" s="8" t="s">
        <v>39</v>
      </c>
    </row>
    <row r="190" spans="1:85" ht="15.75" customHeight="1" x14ac:dyDescent="0.35">
      <c r="A190" s="8">
        <v>183</v>
      </c>
      <c r="B190" s="8" t="s">
        <v>315</v>
      </c>
      <c r="C190" s="9">
        <v>4.8000000000000001E-5</v>
      </c>
      <c r="D190" s="9">
        <v>3.0000000000000001E-6</v>
      </c>
      <c r="E190" s="9">
        <v>5.0000000000000004E-6</v>
      </c>
      <c r="F190" s="9">
        <v>9.9999999999999995E-7</v>
      </c>
      <c r="G190" s="9">
        <v>0</v>
      </c>
      <c r="H190" s="9">
        <v>0</v>
      </c>
      <c r="I190" s="9">
        <v>1.1E-5</v>
      </c>
      <c r="J190" s="8"/>
      <c r="K190" s="8"/>
      <c r="L190" s="9">
        <v>0</v>
      </c>
      <c r="M190" s="9">
        <v>0</v>
      </c>
      <c r="N190" s="10">
        <v>4415600</v>
      </c>
      <c r="O190" s="10">
        <v>266000</v>
      </c>
      <c r="P190" s="10">
        <v>428500</v>
      </c>
      <c r="Q190" s="10">
        <v>96000</v>
      </c>
      <c r="R190" s="10">
        <v>0</v>
      </c>
      <c r="S190" s="10">
        <v>0</v>
      </c>
      <c r="T190" s="10">
        <v>1000000</v>
      </c>
      <c r="U190" s="8"/>
      <c r="V190" s="8"/>
      <c r="W190" s="10">
        <v>0</v>
      </c>
      <c r="X190" s="10">
        <v>0</v>
      </c>
      <c r="Y190" s="13">
        <v>4149600</v>
      </c>
      <c r="Z190" s="12">
        <v>-162500</v>
      </c>
      <c r="AA190" s="13">
        <v>332500</v>
      </c>
      <c r="AB190" s="13">
        <v>96000</v>
      </c>
      <c r="AC190" s="11">
        <v>0</v>
      </c>
      <c r="AD190" s="12">
        <v>-1000000</v>
      </c>
      <c r="AE190" s="13">
        <v>1000000</v>
      </c>
      <c r="AF190" s="8"/>
      <c r="AG190" s="8"/>
      <c r="AH190" s="11">
        <v>0</v>
      </c>
      <c r="AI190" s="11">
        <v>0</v>
      </c>
      <c r="AJ190" s="10">
        <v>19422810933.400002</v>
      </c>
      <c r="AK190" s="10">
        <v>1512440048.4000001</v>
      </c>
      <c r="AL190" s="10">
        <v>2592425014.1999998</v>
      </c>
      <c r="AM190" s="10">
        <v>476399978.44999999</v>
      </c>
      <c r="AN190" s="10">
        <v>0</v>
      </c>
      <c r="AO190" s="10">
        <v>0</v>
      </c>
      <c r="AP190" s="10">
        <v>3826472683.5999999</v>
      </c>
      <c r="AQ190" s="8"/>
      <c r="AR190" s="8"/>
      <c r="AS190" s="10">
        <v>0</v>
      </c>
      <c r="AT190" s="10">
        <v>0</v>
      </c>
      <c r="AU190" s="14">
        <v>45930</v>
      </c>
      <c r="AV190" s="14">
        <v>45657</v>
      </c>
      <c r="AW190" s="14">
        <v>45291</v>
      </c>
      <c r="AX190" s="14">
        <v>44926</v>
      </c>
      <c r="AY190" s="14">
        <v>44104</v>
      </c>
      <c r="AZ190" s="14">
        <v>44104</v>
      </c>
      <c r="BA190" s="14">
        <v>43830</v>
      </c>
      <c r="BB190" s="8"/>
      <c r="BC190" s="8"/>
      <c r="BD190" s="14">
        <v>42277</v>
      </c>
      <c r="BE190" s="14">
        <v>42277</v>
      </c>
      <c r="BF190" s="8" t="s">
        <v>35</v>
      </c>
      <c r="BG190" s="8" t="s">
        <v>35</v>
      </c>
      <c r="BH190" s="8" t="s">
        <v>35</v>
      </c>
      <c r="BI190" s="8" t="s">
        <v>35</v>
      </c>
      <c r="BJ190" s="8" t="s">
        <v>35</v>
      </c>
      <c r="BK190" s="8" t="s">
        <v>35</v>
      </c>
      <c r="BL190" s="8" t="s">
        <v>35</v>
      </c>
      <c r="BM190" s="8"/>
      <c r="BN190" s="8"/>
      <c r="BO190" s="8" t="s">
        <v>35</v>
      </c>
      <c r="BP190" s="8" t="s">
        <v>35</v>
      </c>
      <c r="BQ190" s="8" t="s">
        <v>31</v>
      </c>
      <c r="BR190" s="8" t="s">
        <v>49</v>
      </c>
      <c r="BS190" s="10">
        <v>3503989256419120</v>
      </c>
      <c r="BT190" s="8" t="s">
        <v>316</v>
      </c>
      <c r="BU190" s="8" t="s">
        <v>27</v>
      </c>
      <c r="BV190" s="8" t="s">
        <v>27</v>
      </c>
      <c r="BW190" s="8" t="s">
        <v>27</v>
      </c>
      <c r="BX190" s="8" t="s">
        <v>27</v>
      </c>
      <c r="BY190" s="8" t="s">
        <v>27</v>
      </c>
      <c r="BZ190" s="8" t="s">
        <v>27</v>
      </c>
      <c r="CA190" s="8" t="s">
        <v>27</v>
      </c>
      <c r="CB190" s="8"/>
      <c r="CC190" s="8"/>
      <c r="CD190" s="8" t="s">
        <v>42</v>
      </c>
      <c r="CE190" s="8" t="s">
        <v>27</v>
      </c>
      <c r="CF190" s="8" t="s">
        <v>317</v>
      </c>
      <c r="CG190" s="8" t="s">
        <v>39</v>
      </c>
    </row>
    <row r="191" spans="1:85" ht="15.75" hidden="1" customHeight="1" x14ac:dyDescent="0.35">
      <c r="A191" s="8">
        <v>184</v>
      </c>
      <c r="B191" s="8" t="s">
        <v>318</v>
      </c>
      <c r="C191" s="9">
        <v>4.6E-5</v>
      </c>
      <c r="D191" s="9">
        <v>1.2999999999999999E-5</v>
      </c>
      <c r="E191" s="9">
        <v>1.9999999999999999E-6</v>
      </c>
      <c r="F191" s="8"/>
      <c r="G191" s="8"/>
      <c r="H191" s="8"/>
      <c r="I191" s="8"/>
      <c r="J191" s="8"/>
      <c r="K191" s="8"/>
      <c r="L191" s="8"/>
      <c r="M191" s="8"/>
      <c r="N191" s="10">
        <v>4293600</v>
      </c>
      <c r="O191" s="10">
        <v>1197500</v>
      </c>
      <c r="P191" s="10">
        <v>170000</v>
      </c>
      <c r="Q191" s="8"/>
      <c r="R191" s="8"/>
      <c r="S191" s="8"/>
      <c r="T191" s="8"/>
      <c r="U191" s="8"/>
      <c r="V191" s="8"/>
      <c r="W191" s="8"/>
      <c r="X191" s="8"/>
      <c r="Y191" s="13">
        <v>3096100</v>
      </c>
      <c r="Z191" s="13">
        <v>1027500</v>
      </c>
      <c r="AA191" s="13">
        <v>170000</v>
      </c>
      <c r="AB191" s="8"/>
      <c r="AC191" s="8"/>
      <c r="AD191" s="8"/>
      <c r="AE191" s="8"/>
      <c r="AF191" s="8"/>
      <c r="AG191" s="8"/>
      <c r="AH191" s="8"/>
      <c r="AI191" s="8"/>
      <c r="AJ191" s="10">
        <v>18886171841.599998</v>
      </c>
      <c r="AK191" s="10">
        <v>6808823159.8999996</v>
      </c>
      <c r="AL191" s="10">
        <v>1028499923</v>
      </c>
      <c r="AM191" s="8"/>
      <c r="AN191" s="8"/>
      <c r="AO191" s="8"/>
      <c r="AP191" s="8"/>
      <c r="AQ191" s="8"/>
      <c r="AR191" s="8"/>
      <c r="AS191" s="8"/>
      <c r="AT191" s="8"/>
      <c r="AU191" s="14">
        <v>45930</v>
      </c>
      <c r="AV191" s="14">
        <v>45657</v>
      </c>
      <c r="AW191" s="14">
        <v>45291</v>
      </c>
      <c r="AX191" s="8"/>
      <c r="AY191" s="8"/>
      <c r="AZ191" s="8"/>
      <c r="BA191" s="8"/>
      <c r="BB191" s="8"/>
      <c r="BC191" s="8"/>
      <c r="BD191" s="8"/>
      <c r="BE191" s="8"/>
      <c r="BF191" s="8" t="s">
        <v>201</v>
      </c>
      <c r="BG191" s="8" t="s">
        <v>201</v>
      </c>
      <c r="BH191" s="8" t="s">
        <v>201</v>
      </c>
      <c r="BI191" s="8"/>
      <c r="BJ191" s="8"/>
      <c r="BK191" s="8"/>
      <c r="BL191" s="8"/>
      <c r="BM191" s="8"/>
      <c r="BN191" s="8"/>
      <c r="BO191" s="8"/>
      <c r="BP191" s="8"/>
      <c r="BQ191" s="8" t="s">
        <v>25</v>
      </c>
      <c r="BR191" s="8" t="s">
        <v>202</v>
      </c>
      <c r="BS191" s="10">
        <v>21574922474.400002</v>
      </c>
      <c r="BT191" s="8"/>
      <c r="BU191" s="8" t="s">
        <v>27</v>
      </c>
      <c r="BV191" s="8" t="s">
        <v>43</v>
      </c>
      <c r="BW191" s="8" t="s">
        <v>27</v>
      </c>
      <c r="BX191" s="8"/>
      <c r="BY191" s="8"/>
      <c r="BZ191" s="8"/>
      <c r="CA191" s="8"/>
      <c r="CB191" s="8"/>
      <c r="CC191" s="8"/>
      <c r="CD191" s="8"/>
      <c r="CE191" s="8"/>
      <c r="CF191" s="8"/>
      <c r="CG191" s="8" t="s">
        <v>29</v>
      </c>
    </row>
    <row r="192" spans="1:85" ht="15.75" customHeight="1" x14ac:dyDescent="0.35">
      <c r="A192" s="8">
        <v>185</v>
      </c>
      <c r="B192" s="8" t="s">
        <v>319</v>
      </c>
      <c r="C192" s="9">
        <v>4.6E-5</v>
      </c>
      <c r="D192" s="9">
        <v>4.6E-5</v>
      </c>
      <c r="E192" s="9">
        <v>3.8000000000000002E-5</v>
      </c>
      <c r="F192" s="9">
        <v>4.0000000000000003E-5</v>
      </c>
      <c r="G192" s="8"/>
      <c r="H192" s="8"/>
      <c r="I192" s="8"/>
      <c r="J192" s="8"/>
      <c r="K192" s="8"/>
      <c r="L192" s="8"/>
      <c r="M192" s="8"/>
      <c r="N192" s="10">
        <v>4249900</v>
      </c>
      <c r="O192" s="10">
        <v>4249900</v>
      </c>
      <c r="P192" s="10">
        <v>3525000</v>
      </c>
      <c r="Q192" s="10">
        <v>3740800</v>
      </c>
      <c r="R192" s="8"/>
      <c r="S192" s="8"/>
      <c r="T192" s="8"/>
      <c r="U192" s="8"/>
      <c r="V192" s="8"/>
      <c r="W192" s="8"/>
      <c r="X192" s="8"/>
      <c r="Y192" s="11">
        <v>0</v>
      </c>
      <c r="Z192" s="13">
        <v>724900</v>
      </c>
      <c r="AA192" s="12">
        <v>-215800</v>
      </c>
      <c r="AB192" s="13">
        <v>3740800</v>
      </c>
      <c r="AC192" s="8"/>
      <c r="AD192" s="8"/>
      <c r="AE192" s="8"/>
      <c r="AF192" s="8"/>
      <c r="AG192" s="8"/>
      <c r="AH192" s="8"/>
      <c r="AI192" s="8"/>
      <c r="AJ192" s="10">
        <v>30811775034.5</v>
      </c>
      <c r="AK192" s="10">
        <v>30811775034.5</v>
      </c>
      <c r="AL192" s="10">
        <v>21326249970.049999</v>
      </c>
      <c r="AM192" s="10">
        <v>18563720057.849998</v>
      </c>
      <c r="AN192" s="8"/>
      <c r="AO192" s="8"/>
      <c r="AP192" s="8"/>
      <c r="AQ192" s="8"/>
      <c r="AR192" s="8"/>
      <c r="AS192" s="8"/>
      <c r="AT192" s="8"/>
      <c r="AU192" s="14">
        <v>45382</v>
      </c>
      <c r="AV192" s="14">
        <v>45382</v>
      </c>
      <c r="AW192" s="14">
        <v>45291</v>
      </c>
      <c r="AX192" s="14">
        <v>44926</v>
      </c>
      <c r="AY192" s="8"/>
      <c r="AZ192" s="8"/>
      <c r="BA192" s="8"/>
      <c r="BB192" s="8"/>
      <c r="BC192" s="8"/>
      <c r="BD192" s="8"/>
      <c r="BE192" s="8"/>
      <c r="BF192" s="8" t="s">
        <v>35</v>
      </c>
      <c r="BG192" s="8" t="s">
        <v>35</v>
      </c>
      <c r="BH192" s="8" t="s">
        <v>35</v>
      </c>
      <c r="BI192" s="8" t="s">
        <v>35</v>
      </c>
      <c r="BJ192" s="8"/>
      <c r="BK192" s="8"/>
      <c r="BL192" s="8"/>
      <c r="BM192" s="8"/>
      <c r="BN192" s="8"/>
      <c r="BO192" s="8"/>
      <c r="BP192" s="8"/>
      <c r="BQ192" s="8" t="s">
        <v>31</v>
      </c>
      <c r="BR192" s="8" t="s">
        <v>36</v>
      </c>
      <c r="BS192" s="10">
        <v>114073965433201</v>
      </c>
      <c r="BT192" s="8" t="s">
        <v>41</v>
      </c>
      <c r="BU192" s="8" t="s">
        <v>42</v>
      </c>
      <c r="BV192" s="8" t="s">
        <v>42</v>
      </c>
      <c r="BW192" s="8" t="s">
        <v>27</v>
      </c>
      <c r="BX192" s="8" t="s">
        <v>27</v>
      </c>
      <c r="BY192" s="8"/>
      <c r="BZ192" s="8"/>
      <c r="CA192" s="8"/>
      <c r="CB192" s="8"/>
      <c r="CC192" s="8"/>
      <c r="CD192" s="8"/>
      <c r="CE192" s="8"/>
      <c r="CF192" s="8" t="s">
        <v>320</v>
      </c>
      <c r="CG192" s="8" t="s">
        <v>39</v>
      </c>
    </row>
    <row r="193" spans="1:85" ht="15.75" hidden="1" customHeight="1" x14ac:dyDescent="0.35">
      <c r="A193" s="8">
        <v>186</v>
      </c>
      <c r="B193" s="8" t="s">
        <v>321</v>
      </c>
      <c r="C193" s="9">
        <v>4.6E-5</v>
      </c>
      <c r="D193" s="9">
        <v>2.9E-5</v>
      </c>
      <c r="E193" s="9">
        <v>1.4E-5</v>
      </c>
      <c r="F193" s="9">
        <v>3.9999999999999998E-6</v>
      </c>
      <c r="G193" s="8"/>
      <c r="H193" s="8"/>
      <c r="I193" s="8"/>
      <c r="J193" s="8"/>
      <c r="K193" s="8"/>
      <c r="L193" s="8"/>
      <c r="M193" s="8"/>
      <c r="N193" s="10">
        <v>4244800</v>
      </c>
      <c r="O193" s="10">
        <v>2673600</v>
      </c>
      <c r="P193" s="10">
        <v>1261100</v>
      </c>
      <c r="Q193" s="10">
        <v>349800</v>
      </c>
      <c r="R193" s="8"/>
      <c r="S193" s="8"/>
      <c r="T193" s="8"/>
      <c r="U193" s="8"/>
      <c r="V193" s="8"/>
      <c r="W193" s="8"/>
      <c r="X193" s="8"/>
      <c r="Y193" s="13">
        <v>1571200</v>
      </c>
      <c r="Z193" s="13">
        <v>1412500</v>
      </c>
      <c r="AA193" s="13">
        <v>911300</v>
      </c>
      <c r="AB193" s="13">
        <v>349800</v>
      </c>
      <c r="AC193" s="8"/>
      <c r="AD193" s="8"/>
      <c r="AE193" s="8"/>
      <c r="AF193" s="8"/>
      <c r="AG193" s="8"/>
      <c r="AH193" s="8"/>
      <c r="AI193" s="8"/>
      <c r="AJ193" s="10">
        <v>18671516404.799999</v>
      </c>
      <c r="AK193" s="10">
        <v>15201728219.5</v>
      </c>
      <c r="AL193" s="10">
        <v>7629655004.75</v>
      </c>
      <c r="AM193" s="10">
        <v>1735882578.0999999</v>
      </c>
      <c r="AN193" s="8"/>
      <c r="AO193" s="8"/>
      <c r="AP193" s="8"/>
      <c r="AQ193" s="8"/>
      <c r="AR193" s="8"/>
      <c r="AS193" s="8"/>
      <c r="AT193" s="8"/>
      <c r="AU193" s="14">
        <v>45930</v>
      </c>
      <c r="AV193" s="14">
        <v>45657</v>
      </c>
      <c r="AW193" s="14">
        <v>45291</v>
      </c>
      <c r="AX193" s="14">
        <v>44926</v>
      </c>
      <c r="AY193" s="8"/>
      <c r="AZ193" s="8"/>
      <c r="BA193" s="8"/>
      <c r="BB193" s="8"/>
      <c r="BC193" s="8"/>
      <c r="BD193" s="8"/>
      <c r="BE193" s="8"/>
      <c r="BF193" s="8" t="s">
        <v>201</v>
      </c>
      <c r="BG193" s="8" t="s">
        <v>201</v>
      </c>
      <c r="BH193" s="8" t="s">
        <v>201</v>
      </c>
      <c r="BI193" s="8" t="s">
        <v>201</v>
      </c>
      <c r="BJ193" s="8"/>
      <c r="BK193" s="8"/>
      <c r="BL193" s="8"/>
      <c r="BM193" s="8"/>
      <c r="BN193" s="8"/>
      <c r="BO193" s="8"/>
      <c r="BP193" s="8"/>
      <c r="BQ193" s="8" t="s">
        <v>25</v>
      </c>
      <c r="BR193" s="8" t="s">
        <v>202</v>
      </c>
      <c r="BS193" s="10">
        <v>21329707292.400002</v>
      </c>
      <c r="BT193" s="8"/>
      <c r="BU193" s="8" t="s">
        <v>27</v>
      </c>
      <c r="BV193" s="8" t="s">
        <v>42</v>
      </c>
      <c r="BW193" s="8" t="s">
        <v>42</v>
      </c>
      <c r="BX193" s="8" t="s">
        <v>27</v>
      </c>
      <c r="BY193" s="8"/>
      <c r="BZ193" s="8"/>
      <c r="CA193" s="8"/>
      <c r="CB193" s="8"/>
      <c r="CC193" s="8"/>
      <c r="CD193" s="8"/>
      <c r="CE193" s="8"/>
      <c r="CF193" s="8"/>
      <c r="CG193" s="8" t="s">
        <v>29</v>
      </c>
    </row>
    <row r="194" spans="1:85" ht="15.75" customHeight="1" x14ac:dyDescent="0.35">
      <c r="A194" s="8">
        <v>187</v>
      </c>
      <c r="B194" s="8" t="s">
        <v>322</v>
      </c>
      <c r="C194" s="9">
        <v>4.6E-5</v>
      </c>
      <c r="D194" s="9">
        <v>4.6E-5</v>
      </c>
      <c r="E194" s="9">
        <v>2.4000000000000001E-5</v>
      </c>
      <c r="F194" s="9">
        <v>2.4000000000000001E-5</v>
      </c>
      <c r="G194" s="9">
        <v>7.2000000000000002E-5</v>
      </c>
      <c r="H194" s="8"/>
      <c r="I194" s="8"/>
      <c r="J194" s="9">
        <v>3.1999999999999999E-5</v>
      </c>
      <c r="K194" s="9">
        <v>3.1999999999999999E-5</v>
      </c>
      <c r="L194" s="9">
        <v>1.5E-5</v>
      </c>
      <c r="M194" s="8"/>
      <c r="N194" s="10">
        <v>4240000</v>
      </c>
      <c r="O194" s="10">
        <v>4240000</v>
      </c>
      <c r="P194" s="10">
        <v>2240000</v>
      </c>
      <c r="Q194" s="10">
        <v>2240000</v>
      </c>
      <c r="R194" s="10">
        <v>6640000</v>
      </c>
      <c r="S194" s="8"/>
      <c r="T194" s="8"/>
      <c r="U194" s="10">
        <v>3000000</v>
      </c>
      <c r="V194" s="10">
        <v>3000000</v>
      </c>
      <c r="W194" s="10">
        <v>1400000</v>
      </c>
      <c r="X194" s="8"/>
      <c r="Y194" s="11">
        <v>0</v>
      </c>
      <c r="Z194" s="13">
        <v>2000000</v>
      </c>
      <c r="AA194" s="11">
        <v>0</v>
      </c>
      <c r="AB194" s="12">
        <v>-4400000</v>
      </c>
      <c r="AC194" s="13">
        <v>6640000</v>
      </c>
      <c r="AD194" s="8"/>
      <c r="AE194" s="8"/>
      <c r="AF194" s="11">
        <v>0</v>
      </c>
      <c r="AG194" s="13">
        <v>1600000</v>
      </c>
      <c r="AH194" s="13">
        <v>1400000</v>
      </c>
      <c r="AI194" s="8"/>
      <c r="AJ194" s="10">
        <v>18650402687</v>
      </c>
      <c r="AK194" s="10">
        <v>24108066949</v>
      </c>
      <c r="AL194" s="10">
        <v>13552000044.950001</v>
      </c>
      <c r="AM194" s="10">
        <v>11116000016</v>
      </c>
      <c r="AN194" s="10">
        <v>23298475260</v>
      </c>
      <c r="AO194" s="8"/>
      <c r="AP194" s="8"/>
      <c r="AQ194" s="10">
        <v>9449999990.2000008</v>
      </c>
      <c r="AR194" s="10">
        <v>9449999990.2000008</v>
      </c>
      <c r="AS194" s="10">
        <v>3674999970.5</v>
      </c>
      <c r="AT194" s="8"/>
      <c r="AU194" s="14">
        <v>45930</v>
      </c>
      <c r="AV194" s="14">
        <v>45657</v>
      </c>
      <c r="AW194" s="14">
        <v>45291</v>
      </c>
      <c r="AX194" s="14">
        <v>44926</v>
      </c>
      <c r="AY194" s="14">
        <v>44561</v>
      </c>
      <c r="AZ194" s="8"/>
      <c r="BA194" s="8"/>
      <c r="BB194" s="14">
        <v>42886</v>
      </c>
      <c r="BC194" s="14">
        <v>42886</v>
      </c>
      <c r="BD194" s="14">
        <v>42704</v>
      </c>
      <c r="BE194" s="8"/>
      <c r="BF194" s="8" t="s">
        <v>35</v>
      </c>
      <c r="BG194" s="8" t="s">
        <v>35</v>
      </c>
      <c r="BH194" s="8" t="s">
        <v>35</v>
      </c>
      <c r="BI194" s="8" t="s">
        <v>35</v>
      </c>
      <c r="BJ194" s="8" t="s">
        <v>35</v>
      </c>
      <c r="BK194" s="8"/>
      <c r="BL194" s="8"/>
      <c r="BM194" s="8" t="s">
        <v>35</v>
      </c>
      <c r="BN194" s="8" t="s">
        <v>35</v>
      </c>
      <c r="BO194" s="8" t="s">
        <v>35</v>
      </c>
      <c r="BP194" s="8"/>
      <c r="BQ194" s="8" t="s">
        <v>31</v>
      </c>
      <c r="BR194" s="8" t="s">
        <v>160</v>
      </c>
      <c r="BS194" s="10">
        <v>214917029601565</v>
      </c>
      <c r="BT194" s="8" t="s">
        <v>41</v>
      </c>
      <c r="BU194" s="8" t="s">
        <v>27</v>
      </c>
      <c r="BV194" s="8" t="s">
        <v>27</v>
      </c>
      <c r="BW194" s="8" t="s">
        <v>27</v>
      </c>
      <c r="BX194" s="8" t="s">
        <v>27</v>
      </c>
      <c r="BY194" s="8" t="s">
        <v>42</v>
      </c>
      <c r="BZ194" s="8"/>
      <c r="CA194" s="8"/>
      <c r="CB194" s="8" t="s">
        <v>27</v>
      </c>
      <c r="CC194" s="8" t="s">
        <v>42</v>
      </c>
      <c r="CD194" s="8" t="s">
        <v>42</v>
      </c>
      <c r="CE194" s="8"/>
      <c r="CF194" s="8" t="s">
        <v>323</v>
      </c>
      <c r="CG194" s="8" t="s">
        <v>99</v>
      </c>
    </row>
    <row r="195" spans="1:85" ht="15.75" customHeight="1" x14ac:dyDescent="0.35">
      <c r="A195" s="8">
        <v>188</v>
      </c>
      <c r="B195" s="8" t="s">
        <v>324</v>
      </c>
      <c r="C195" s="9">
        <v>4.5000000000000003E-5</v>
      </c>
      <c r="D195" s="9">
        <v>7.2000000000000002E-5</v>
      </c>
      <c r="E195" s="9">
        <v>4.1E-5</v>
      </c>
      <c r="F195" s="9">
        <v>1.5999999999999999E-5</v>
      </c>
      <c r="G195" s="9">
        <v>0</v>
      </c>
      <c r="H195" s="9">
        <v>4.1999999999999998E-5</v>
      </c>
      <c r="I195" s="8"/>
      <c r="J195" s="8"/>
      <c r="K195" s="8"/>
      <c r="L195" s="8"/>
      <c r="M195" s="8"/>
      <c r="N195" s="10">
        <v>4199600</v>
      </c>
      <c r="O195" s="10">
        <v>6649400</v>
      </c>
      <c r="P195" s="10">
        <v>3823600</v>
      </c>
      <c r="Q195" s="10">
        <v>1449400</v>
      </c>
      <c r="R195" s="10">
        <v>0</v>
      </c>
      <c r="S195" s="10">
        <v>3919400</v>
      </c>
      <c r="T195" s="8"/>
      <c r="U195" s="8"/>
      <c r="V195" s="8"/>
      <c r="W195" s="8"/>
      <c r="X195" s="8"/>
      <c r="Y195" s="12">
        <v>-2449800</v>
      </c>
      <c r="Z195" s="13">
        <v>2825800</v>
      </c>
      <c r="AA195" s="13">
        <v>2374200</v>
      </c>
      <c r="AB195" s="13">
        <v>1449400</v>
      </c>
      <c r="AC195" s="12">
        <v>-3919400</v>
      </c>
      <c r="AD195" s="13">
        <v>3919400</v>
      </c>
      <c r="AE195" s="8"/>
      <c r="AF195" s="8"/>
      <c r="AG195" s="8"/>
      <c r="AH195" s="8"/>
      <c r="AI195" s="8"/>
      <c r="AJ195" s="10">
        <v>20533267481.700001</v>
      </c>
      <c r="AK195" s="10">
        <v>37807589647.300003</v>
      </c>
      <c r="AL195" s="10">
        <v>23132779939.849998</v>
      </c>
      <c r="AM195" s="10">
        <v>7645585050.3000002</v>
      </c>
      <c r="AN195" s="10">
        <v>0</v>
      </c>
      <c r="AO195" s="10">
        <v>12395102522.4</v>
      </c>
      <c r="AP195" s="8"/>
      <c r="AQ195" s="8"/>
      <c r="AR195" s="8"/>
      <c r="AS195" s="8"/>
      <c r="AT195" s="8"/>
      <c r="AU195" s="14">
        <v>45838</v>
      </c>
      <c r="AV195" s="14">
        <v>45657</v>
      </c>
      <c r="AW195" s="14">
        <v>45291</v>
      </c>
      <c r="AX195" s="14">
        <v>44865</v>
      </c>
      <c r="AY195" s="14">
        <v>44469</v>
      </c>
      <c r="AZ195" s="14">
        <v>44196</v>
      </c>
      <c r="BA195" s="8"/>
      <c r="BB195" s="8"/>
      <c r="BC195" s="8"/>
      <c r="BD195" s="8"/>
      <c r="BE195" s="8"/>
      <c r="BF195" s="8" t="s">
        <v>35</v>
      </c>
      <c r="BG195" s="8" t="s">
        <v>35</v>
      </c>
      <c r="BH195" s="8" t="s">
        <v>35</v>
      </c>
      <c r="BI195" s="8" t="s">
        <v>35</v>
      </c>
      <c r="BJ195" s="8" t="s">
        <v>35</v>
      </c>
      <c r="BK195" s="8" t="s">
        <v>35</v>
      </c>
      <c r="BL195" s="8"/>
      <c r="BM195" s="8"/>
      <c r="BN195" s="8"/>
      <c r="BO195" s="8"/>
      <c r="BP195" s="8"/>
      <c r="BQ195" s="8" t="s">
        <v>31</v>
      </c>
      <c r="BR195" s="8" t="s">
        <v>36</v>
      </c>
      <c r="BS195" s="10">
        <v>45500309464150.797</v>
      </c>
      <c r="BT195" s="8" t="s">
        <v>37</v>
      </c>
      <c r="BU195" s="8" t="s">
        <v>27</v>
      </c>
      <c r="BV195" s="8" t="s">
        <v>27</v>
      </c>
      <c r="BW195" s="8" t="s">
        <v>42</v>
      </c>
      <c r="BX195" s="8" t="s">
        <v>27</v>
      </c>
      <c r="BY195" s="8" t="s">
        <v>42</v>
      </c>
      <c r="BZ195" s="8" t="s">
        <v>42</v>
      </c>
      <c r="CA195" s="8"/>
      <c r="CB195" s="8"/>
      <c r="CC195" s="8"/>
      <c r="CD195" s="8"/>
      <c r="CE195" s="8"/>
      <c r="CF195" s="8" t="s">
        <v>325</v>
      </c>
      <c r="CG195" s="8" t="s">
        <v>51</v>
      </c>
    </row>
    <row r="196" spans="1:85" ht="15.75" customHeight="1" x14ac:dyDescent="0.35">
      <c r="A196" s="8">
        <v>189</v>
      </c>
      <c r="B196" s="8" t="s">
        <v>326</v>
      </c>
      <c r="C196" s="9">
        <v>4.5000000000000003E-5</v>
      </c>
      <c r="D196" s="9">
        <v>2.0999999999999999E-5</v>
      </c>
      <c r="E196" s="9">
        <v>1.8100000000000001E-4</v>
      </c>
      <c r="F196" s="9">
        <v>3.0000000000000001E-5</v>
      </c>
      <c r="G196" s="9">
        <v>3.0000000000000001E-5</v>
      </c>
      <c r="H196" s="9">
        <v>3.3000000000000003E-5</v>
      </c>
      <c r="I196" s="9">
        <v>7.6000000000000004E-5</v>
      </c>
      <c r="J196" s="9">
        <v>4.8000000000000001E-5</v>
      </c>
      <c r="K196" s="9">
        <v>7.2000000000000002E-5</v>
      </c>
      <c r="L196" s="9">
        <v>4.6999999999999997E-5</v>
      </c>
      <c r="M196" s="9">
        <v>9.2E-5</v>
      </c>
      <c r="N196" s="10">
        <v>4151400</v>
      </c>
      <c r="O196" s="10">
        <v>1901100</v>
      </c>
      <c r="P196" s="10">
        <v>16732000</v>
      </c>
      <c r="Q196" s="10">
        <v>2739400</v>
      </c>
      <c r="R196" s="10">
        <v>2739400</v>
      </c>
      <c r="S196" s="10">
        <v>3019000</v>
      </c>
      <c r="T196" s="10">
        <v>7068000</v>
      </c>
      <c r="U196" s="10">
        <v>4478620</v>
      </c>
      <c r="V196" s="10">
        <v>6624420</v>
      </c>
      <c r="W196" s="10">
        <v>4346620</v>
      </c>
      <c r="X196" s="10">
        <v>8521820</v>
      </c>
      <c r="Y196" s="13">
        <v>2250300</v>
      </c>
      <c r="Z196" s="12">
        <v>-14830900</v>
      </c>
      <c r="AA196" s="13">
        <v>13992600</v>
      </c>
      <c r="AB196" s="11">
        <v>0</v>
      </c>
      <c r="AC196" s="12">
        <v>-279600</v>
      </c>
      <c r="AD196" s="12">
        <v>-4049000</v>
      </c>
      <c r="AE196" s="13">
        <v>2589380</v>
      </c>
      <c r="AF196" s="12">
        <v>-2145800</v>
      </c>
      <c r="AG196" s="13">
        <v>2277800</v>
      </c>
      <c r="AH196" s="12">
        <v>-4175200</v>
      </c>
      <c r="AI196" s="12">
        <v>-980800</v>
      </c>
      <c r="AJ196" s="10">
        <v>18797088303</v>
      </c>
      <c r="AK196" s="10">
        <v>10809397638.700001</v>
      </c>
      <c r="AL196" s="10">
        <v>101228599983.05</v>
      </c>
      <c r="AM196" s="10">
        <v>8218200009.5</v>
      </c>
      <c r="AN196" s="10">
        <v>8218200009.5</v>
      </c>
      <c r="AO196" s="10">
        <v>9547587459.6000004</v>
      </c>
      <c r="AP196" s="10">
        <v>24649650033</v>
      </c>
      <c r="AQ196" s="10">
        <v>16310673243.75</v>
      </c>
      <c r="AR196" s="10">
        <v>26497680004.799999</v>
      </c>
      <c r="AS196" s="10">
        <v>12578031686.4</v>
      </c>
      <c r="AT196" s="10">
        <v>19713859299.299999</v>
      </c>
      <c r="AU196" s="14">
        <v>45869</v>
      </c>
      <c r="AV196" s="14">
        <v>45657</v>
      </c>
      <c r="AW196" s="14">
        <v>45291</v>
      </c>
      <c r="AX196" s="14">
        <v>44347</v>
      </c>
      <c r="AY196" s="14">
        <v>44347</v>
      </c>
      <c r="AZ196" s="14">
        <v>44165</v>
      </c>
      <c r="BA196" s="14">
        <v>43799</v>
      </c>
      <c r="BB196" s="14">
        <v>43465</v>
      </c>
      <c r="BC196" s="14">
        <v>43100</v>
      </c>
      <c r="BD196" s="14">
        <v>42735</v>
      </c>
      <c r="BE196" s="14">
        <v>42369</v>
      </c>
      <c r="BF196" s="8" t="s">
        <v>35</v>
      </c>
      <c r="BG196" s="8" t="s">
        <v>35</v>
      </c>
      <c r="BH196" s="8" t="s">
        <v>35</v>
      </c>
      <c r="BI196" s="8" t="s">
        <v>35</v>
      </c>
      <c r="BJ196" s="8" t="s">
        <v>35</v>
      </c>
      <c r="BK196" s="8" t="s">
        <v>35</v>
      </c>
      <c r="BL196" s="8" t="s">
        <v>35</v>
      </c>
      <c r="BM196" s="8" t="s">
        <v>35</v>
      </c>
      <c r="BN196" s="8" t="s">
        <v>35</v>
      </c>
      <c r="BO196" s="8" t="s">
        <v>35</v>
      </c>
      <c r="BP196" s="8" t="s">
        <v>35</v>
      </c>
      <c r="BQ196" s="8" t="s">
        <v>31</v>
      </c>
      <c r="BR196" s="8" t="s">
        <v>36</v>
      </c>
      <c r="BS196" s="10">
        <v>36108820678870.797</v>
      </c>
      <c r="BT196" s="8" t="s">
        <v>57</v>
      </c>
      <c r="BU196" s="8" t="s">
        <v>27</v>
      </c>
      <c r="BV196" s="8" t="s">
        <v>43</v>
      </c>
      <c r="BW196" s="8" t="s">
        <v>43</v>
      </c>
      <c r="BX196" s="8" t="s">
        <v>27</v>
      </c>
      <c r="BY196" s="8" t="s">
        <v>27</v>
      </c>
      <c r="BZ196" s="8" t="s">
        <v>42</v>
      </c>
      <c r="CA196" s="8" t="s">
        <v>42</v>
      </c>
      <c r="CB196" s="8" t="s">
        <v>42</v>
      </c>
      <c r="CC196" s="8" t="s">
        <v>42</v>
      </c>
      <c r="CD196" s="8" t="s">
        <v>27</v>
      </c>
      <c r="CE196" s="8" t="s">
        <v>42</v>
      </c>
      <c r="CF196" s="8" t="s">
        <v>58</v>
      </c>
      <c r="CG196" s="8" t="s">
        <v>59</v>
      </c>
    </row>
    <row r="197" spans="1:85" ht="15.75" customHeight="1" x14ac:dyDescent="0.35">
      <c r="A197" s="8">
        <v>190</v>
      </c>
      <c r="B197" s="8" t="s">
        <v>327</v>
      </c>
      <c r="C197" s="9">
        <v>4.5000000000000003E-5</v>
      </c>
      <c r="D197" s="9">
        <v>7.4999999999999993E-5</v>
      </c>
      <c r="E197" s="9">
        <v>7.4999999999999993E-5</v>
      </c>
      <c r="F197" s="9">
        <v>5.3000000000000001E-5</v>
      </c>
      <c r="G197" s="9">
        <v>5.3000000000000001E-5</v>
      </c>
      <c r="H197" s="8"/>
      <c r="I197" s="9">
        <v>3.8000000000000002E-5</v>
      </c>
      <c r="J197" s="9">
        <v>3.8000000000000002E-5</v>
      </c>
      <c r="K197" s="9">
        <v>2.6999999999999999E-5</v>
      </c>
      <c r="L197" s="9">
        <v>1.8E-5</v>
      </c>
      <c r="M197" s="8"/>
      <c r="N197" s="10">
        <v>4140000</v>
      </c>
      <c r="O197" s="10">
        <v>6908000</v>
      </c>
      <c r="P197" s="10">
        <v>6908000</v>
      </c>
      <c r="Q197" s="10">
        <v>4908000</v>
      </c>
      <c r="R197" s="10">
        <v>4908000</v>
      </c>
      <c r="S197" s="8"/>
      <c r="T197" s="10">
        <v>3472000</v>
      </c>
      <c r="U197" s="10">
        <v>3472000</v>
      </c>
      <c r="V197" s="10">
        <v>2472000</v>
      </c>
      <c r="W197" s="10">
        <v>1672000</v>
      </c>
      <c r="X197" s="8"/>
      <c r="Y197" s="12">
        <v>-2768000</v>
      </c>
      <c r="Z197" s="11">
        <v>0</v>
      </c>
      <c r="AA197" s="13">
        <v>2000000</v>
      </c>
      <c r="AB197" s="11">
        <v>0</v>
      </c>
      <c r="AC197" s="13">
        <v>4908000</v>
      </c>
      <c r="AD197" s="8"/>
      <c r="AE197" s="11">
        <v>0</v>
      </c>
      <c r="AF197" s="13">
        <v>1000000</v>
      </c>
      <c r="AG197" s="13">
        <v>800000</v>
      </c>
      <c r="AH197" s="13">
        <v>1672000</v>
      </c>
      <c r="AI197" s="8"/>
      <c r="AJ197" s="10">
        <v>18745470341.5</v>
      </c>
      <c r="AK197" s="10">
        <v>42484200101.699997</v>
      </c>
      <c r="AL197" s="10">
        <v>39548300112</v>
      </c>
      <c r="AM197" s="10">
        <v>24355949968.349998</v>
      </c>
      <c r="AN197" s="10">
        <v>17221222470</v>
      </c>
      <c r="AO197" s="8"/>
      <c r="AP197" s="10">
        <v>12644666731.25</v>
      </c>
      <c r="AQ197" s="10">
        <v>12644666731.25</v>
      </c>
      <c r="AR197" s="10">
        <v>9888000019.3999996</v>
      </c>
      <c r="AS197" s="10">
        <v>4838350049.6999998</v>
      </c>
      <c r="AT197" s="8"/>
      <c r="AU197" s="14">
        <v>45869</v>
      </c>
      <c r="AV197" s="14">
        <v>45473</v>
      </c>
      <c r="AW197" s="14">
        <v>45138</v>
      </c>
      <c r="AX197" s="14">
        <v>44926</v>
      </c>
      <c r="AY197" s="14">
        <v>44561</v>
      </c>
      <c r="AZ197" s="8"/>
      <c r="BA197" s="14">
        <v>43465</v>
      </c>
      <c r="BB197" s="14">
        <v>43465</v>
      </c>
      <c r="BC197" s="14">
        <v>43100</v>
      </c>
      <c r="BD197" s="14">
        <v>42735</v>
      </c>
      <c r="BE197" s="8"/>
      <c r="BF197" s="8" t="s">
        <v>35</v>
      </c>
      <c r="BG197" s="8" t="s">
        <v>35</v>
      </c>
      <c r="BH197" s="8" t="s">
        <v>35</v>
      </c>
      <c r="BI197" s="8" t="s">
        <v>35</v>
      </c>
      <c r="BJ197" s="8" t="s">
        <v>35</v>
      </c>
      <c r="BK197" s="8"/>
      <c r="BL197" s="8" t="s">
        <v>35</v>
      </c>
      <c r="BM197" s="8" t="s">
        <v>35</v>
      </c>
      <c r="BN197" s="8" t="s">
        <v>35</v>
      </c>
      <c r="BO197" s="8" t="s">
        <v>35</v>
      </c>
      <c r="BP197" s="8"/>
      <c r="BQ197" s="8" t="s">
        <v>31</v>
      </c>
      <c r="BR197" s="8" t="s">
        <v>160</v>
      </c>
      <c r="BS197" s="10">
        <v>61720535898318</v>
      </c>
      <c r="BT197" s="8"/>
      <c r="BU197" s="8" t="s">
        <v>42</v>
      </c>
      <c r="BV197" s="8" t="s">
        <v>42</v>
      </c>
      <c r="BW197" s="8" t="s">
        <v>27</v>
      </c>
      <c r="BX197" s="8" t="s">
        <v>27</v>
      </c>
      <c r="BY197" s="8" t="s">
        <v>27</v>
      </c>
      <c r="BZ197" s="8"/>
      <c r="CA197" s="8" t="s">
        <v>27</v>
      </c>
      <c r="CB197" s="8" t="s">
        <v>27</v>
      </c>
      <c r="CC197" s="8" t="s">
        <v>27</v>
      </c>
      <c r="CD197" s="8" t="s">
        <v>42</v>
      </c>
      <c r="CE197" s="8"/>
      <c r="CF197" s="8" t="s">
        <v>65</v>
      </c>
      <c r="CG197" s="8" t="s">
        <v>65</v>
      </c>
    </row>
    <row r="198" spans="1:85" ht="15.75" customHeight="1" x14ac:dyDescent="0.35">
      <c r="A198" s="8">
        <v>191</v>
      </c>
      <c r="B198" s="8" t="s">
        <v>328</v>
      </c>
      <c r="C198" s="9">
        <v>4.5000000000000003E-5</v>
      </c>
      <c r="D198" s="9">
        <v>1.4200000000000001E-4</v>
      </c>
      <c r="E198" s="9">
        <v>1.54E-4</v>
      </c>
      <c r="F198" s="8"/>
      <c r="G198" s="9">
        <v>0</v>
      </c>
      <c r="H198" s="9">
        <v>0</v>
      </c>
      <c r="I198" s="8"/>
      <c r="J198" s="8"/>
      <c r="K198" s="8"/>
      <c r="L198" s="8"/>
      <c r="M198" s="8"/>
      <c r="N198" s="10">
        <v>4133200</v>
      </c>
      <c r="O198" s="10">
        <v>13089600</v>
      </c>
      <c r="P198" s="10">
        <v>14253500</v>
      </c>
      <c r="Q198" s="8"/>
      <c r="R198" s="10">
        <v>0</v>
      </c>
      <c r="S198" s="10">
        <v>0</v>
      </c>
      <c r="T198" s="8"/>
      <c r="U198" s="8"/>
      <c r="V198" s="8"/>
      <c r="W198" s="8"/>
      <c r="X198" s="8"/>
      <c r="Y198" s="12">
        <v>-8956400</v>
      </c>
      <c r="Z198" s="12">
        <v>-1163900</v>
      </c>
      <c r="AA198" s="13">
        <v>14253500</v>
      </c>
      <c r="AB198" s="8"/>
      <c r="AC198" s="11">
        <v>0</v>
      </c>
      <c r="AD198" s="11">
        <v>0</v>
      </c>
      <c r="AE198" s="8"/>
      <c r="AF198" s="8"/>
      <c r="AG198" s="8"/>
      <c r="AH198" s="8"/>
      <c r="AI198" s="8"/>
      <c r="AJ198" s="10">
        <v>18180623673.799999</v>
      </c>
      <c r="AK198" s="10">
        <v>74425696439</v>
      </c>
      <c r="AL198" s="10">
        <v>86233674928.399994</v>
      </c>
      <c r="AM198" s="8"/>
      <c r="AN198" s="10">
        <v>0</v>
      </c>
      <c r="AO198" s="10">
        <v>0</v>
      </c>
      <c r="AP198" s="8"/>
      <c r="AQ198" s="8"/>
      <c r="AR198" s="8"/>
      <c r="AS198" s="8"/>
      <c r="AT198" s="8"/>
      <c r="AU198" s="14">
        <v>45930</v>
      </c>
      <c r="AV198" s="14">
        <v>45657</v>
      </c>
      <c r="AW198" s="14">
        <v>45291</v>
      </c>
      <c r="AX198" s="8"/>
      <c r="AY198" s="14">
        <v>44104</v>
      </c>
      <c r="AZ198" s="14">
        <v>44104</v>
      </c>
      <c r="BA198" s="8"/>
      <c r="BB198" s="8"/>
      <c r="BC198" s="8"/>
      <c r="BD198" s="8"/>
      <c r="BE198" s="8"/>
      <c r="BF198" s="8" t="s">
        <v>35</v>
      </c>
      <c r="BG198" s="8" t="s">
        <v>35</v>
      </c>
      <c r="BH198" s="8" t="s">
        <v>35</v>
      </c>
      <c r="BI198" s="8"/>
      <c r="BJ198" s="8" t="s">
        <v>35</v>
      </c>
      <c r="BK198" s="8" t="s">
        <v>35</v>
      </c>
      <c r="BL198" s="8"/>
      <c r="BM198" s="8"/>
      <c r="BN198" s="8"/>
      <c r="BO198" s="8"/>
      <c r="BP198" s="8"/>
      <c r="BQ198" s="8" t="s">
        <v>31</v>
      </c>
      <c r="BR198" s="8" t="s">
        <v>49</v>
      </c>
      <c r="BS198" s="10">
        <v>108440142813703</v>
      </c>
      <c r="BT198" s="8" t="s">
        <v>57</v>
      </c>
      <c r="BU198" s="8" t="s">
        <v>27</v>
      </c>
      <c r="BV198" s="8" t="s">
        <v>27</v>
      </c>
      <c r="BW198" s="8" t="s">
        <v>27</v>
      </c>
      <c r="BX198" s="8"/>
      <c r="BY198" s="8" t="s">
        <v>27</v>
      </c>
      <c r="BZ198" s="8" t="s">
        <v>27</v>
      </c>
      <c r="CA198" s="8"/>
      <c r="CB198" s="8"/>
      <c r="CC198" s="8"/>
      <c r="CD198" s="8"/>
      <c r="CE198" s="8"/>
      <c r="CF198" s="8" t="s">
        <v>98</v>
      </c>
      <c r="CG198" s="8" t="s">
        <v>99</v>
      </c>
    </row>
    <row r="199" spans="1:85" ht="15.75" customHeight="1" x14ac:dyDescent="0.35">
      <c r="A199" s="8">
        <v>192</v>
      </c>
      <c r="B199" s="8" t="s">
        <v>329</v>
      </c>
      <c r="C199" s="9">
        <v>4.3000000000000002E-5</v>
      </c>
      <c r="D199" s="9">
        <v>4.3000000000000002E-5</v>
      </c>
      <c r="E199" s="9">
        <v>6.4999999999999994E-5</v>
      </c>
      <c r="F199" s="9">
        <v>1.2899999999999999E-4</v>
      </c>
      <c r="G199" s="9">
        <v>8.0000000000000007E-5</v>
      </c>
      <c r="H199" s="9">
        <v>1.8599999999999999E-4</v>
      </c>
      <c r="I199" s="9">
        <v>2.5599999999999999E-4</v>
      </c>
      <c r="J199" s="9">
        <v>2.23E-4</v>
      </c>
      <c r="K199" s="9">
        <v>2.7900000000000001E-4</v>
      </c>
      <c r="L199" s="9">
        <v>3.01E-4</v>
      </c>
      <c r="M199" s="9">
        <v>4.66E-4</v>
      </c>
      <c r="N199" s="10">
        <v>3998000</v>
      </c>
      <c r="O199" s="10">
        <v>3998000</v>
      </c>
      <c r="P199" s="10">
        <v>6024400</v>
      </c>
      <c r="Q199" s="10">
        <v>11951600</v>
      </c>
      <c r="R199" s="10">
        <v>7397600</v>
      </c>
      <c r="S199" s="10">
        <v>17212000</v>
      </c>
      <c r="T199" s="10">
        <v>23610000</v>
      </c>
      <c r="U199" s="10">
        <v>20607792</v>
      </c>
      <c r="V199" s="10">
        <v>25771200</v>
      </c>
      <c r="W199" s="10">
        <v>27837200</v>
      </c>
      <c r="X199" s="10">
        <v>43019200</v>
      </c>
      <c r="Y199" s="11">
        <v>0</v>
      </c>
      <c r="Z199" s="12">
        <v>-2026400</v>
      </c>
      <c r="AA199" s="12">
        <v>-5927200</v>
      </c>
      <c r="AB199" s="13">
        <v>4554000</v>
      </c>
      <c r="AC199" s="12">
        <v>-9814400</v>
      </c>
      <c r="AD199" s="12">
        <v>-6398000</v>
      </c>
      <c r="AE199" s="13">
        <v>3002208</v>
      </c>
      <c r="AF199" s="12">
        <v>-5163408</v>
      </c>
      <c r="AG199" s="12">
        <v>-2066000</v>
      </c>
      <c r="AH199" s="12">
        <v>-15182000</v>
      </c>
      <c r="AI199" s="12">
        <v>-13449600</v>
      </c>
      <c r="AJ199" s="10">
        <v>19078350798.150002</v>
      </c>
      <c r="AK199" s="10">
        <v>22732087638.700001</v>
      </c>
      <c r="AL199" s="10">
        <v>36447620009.800003</v>
      </c>
      <c r="AM199" s="10">
        <v>59309815036.449997</v>
      </c>
      <c r="AN199" s="10">
        <v>25956747067.5</v>
      </c>
      <c r="AO199" s="10">
        <v>54432949989.599998</v>
      </c>
      <c r="AP199" s="10">
        <v>90343020522</v>
      </c>
      <c r="AQ199" s="10">
        <v>75051458268.75</v>
      </c>
      <c r="AR199" s="10">
        <v>103084800081.35001</v>
      </c>
      <c r="AS199" s="10">
        <v>80553897590.699997</v>
      </c>
      <c r="AT199" s="10">
        <v>99517996600.649994</v>
      </c>
      <c r="AU199" s="14">
        <v>45900</v>
      </c>
      <c r="AV199" s="14">
        <v>45657</v>
      </c>
      <c r="AW199" s="14">
        <v>45291</v>
      </c>
      <c r="AX199" s="14">
        <v>44926</v>
      </c>
      <c r="AY199" s="14">
        <v>44561</v>
      </c>
      <c r="AZ199" s="14">
        <v>44196</v>
      </c>
      <c r="BA199" s="14">
        <v>43830</v>
      </c>
      <c r="BB199" s="14">
        <v>43465</v>
      </c>
      <c r="BC199" s="14">
        <v>43100</v>
      </c>
      <c r="BD199" s="14">
        <v>42735</v>
      </c>
      <c r="BE199" s="14">
        <v>42369</v>
      </c>
      <c r="BF199" s="8" t="s">
        <v>35</v>
      </c>
      <c r="BG199" s="8" t="s">
        <v>35</v>
      </c>
      <c r="BH199" s="8" t="s">
        <v>35</v>
      </c>
      <c r="BI199" s="8" t="s">
        <v>35</v>
      </c>
      <c r="BJ199" s="8" t="s">
        <v>35</v>
      </c>
      <c r="BK199" s="8" t="s">
        <v>35</v>
      </c>
      <c r="BL199" s="8" t="s">
        <v>35</v>
      </c>
      <c r="BM199" s="8" t="s">
        <v>35</v>
      </c>
      <c r="BN199" s="8" t="s">
        <v>35</v>
      </c>
      <c r="BO199" s="8" t="s">
        <v>35</v>
      </c>
      <c r="BP199" s="8" t="s">
        <v>35</v>
      </c>
      <c r="BQ199" s="8" t="s">
        <v>31</v>
      </c>
      <c r="BR199" s="8" t="s">
        <v>36</v>
      </c>
      <c r="BS199" s="10">
        <v>5878025726406300</v>
      </c>
      <c r="BT199" s="8" t="s">
        <v>67</v>
      </c>
      <c r="BU199" s="8" t="s">
        <v>27</v>
      </c>
      <c r="BV199" s="8" t="s">
        <v>27</v>
      </c>
      <c r="BW199" s="8" t="s">
        <v>27</v>
      </c>
      <c r="BX199" s="8" t="s">
        <v>27</v>
      </c>
      <c r="BY199" s="8" t="s">
        <v>27</v>
      </c>
      <c r="BZ199" s="8" t="s">
        <v>27</v>
      </c>
      <c r="CA199" s="8" t="s">
        <v>27</v>
      </c>
      <c r="CB199" s="8" t="s">
        <v>27</v>
      </c>
      <c r="CC199" s="8" t="s">
        <v>27</v>
      </c>
      <c r="CD199" s="8" t="s">
        <v>27</v>
      </c>
      <c r="CE199" s="8" t="s">
        <v>27</v>
      </c>
      <c r="CF199" s="8" t="s">
        <v>330</v>
      </c>
      <c r="CG199" s="8" t="s">
        <v>39</v>
      </c>
    </row>
    <row r="200" spans="1:85" ht="15.75" customHeight="1" x14ac:dyDescent="0.35">
      <c r="A200" s="8">
        <v>193</v>
      </c>
      <c r="B200" s="8" t="s">
        <v>331</v>
      </c>
      <c r="C200" s="9">
        <v>4.3000000000000002E-5</v>
      </c>
      <c r="D200" s="9">
        <v>4.3000000000000002E-5</v>
      </c>
      <c r="E200" s="9">
        <v>6.7000000000000002E-5</v>
      </c>
      <c r="F200" s="9">
        <v>9.9999999999999995E-7</v>
      </c>
      <c r="G200" s="8"/>
      <c r="H200" s="8"/>
      <c r="I200" s="8"/>
      <c r="J200" s="8"/>
      <c r="K200" s="8"/>
      <c r="L200" s="8"/>
      <c r="M200" s="8"/>
      <c r="N200" s="10">
        <v>3950500</v>
      </c>
      <c r="O200" s="10">
        <v>3977900</v>
      </c>
      <c r="P200" s="10">
        <v>6192498</v>
      </c>
      <c r="Q200" s="10">
        <v>62620</v>
      </c>
      <c r="R200" s="8"/>
      <c r="S200" s="8"/>
      <c r="T200" s="8"/>
      <c r="U200" s="8"/>
      <c r="V200" s="8"/>
      <c r="W200" s="8"/>
      <c r="X200" s="8"/>
      <c r="Y200" s="12">
        <v>-27400</v>
      </c>
      <c r="Z200" s="12">
        <v>-2214598</v>
      </c>
      <c r="AA200" s="13">
        <v>6129878</v>
      </c>
      <c r="AB200" s="13">
        <v>62620</v>
      </c>
      <c r="AC200" s="8"/>
      <c r="AD200" s="8"/>
      <c r="AE200" s="8"/>
      <c r="AF200" s="8"/>
      <c r="AG200" s="8"/>
      <c r="AH200" s="8"/>
      <c r="AI200" s="8"/>
      <c r="AJ200" s="10">
        <v>18851682048.150002</v>
      </c>
      <c r="AK200" s="10">
        <v>22617801816.799999</v>
      </c>
      <c r="AL200" s="10">
        <v>37464612940.050003</v>
      </c>
      <c r="AM200" s="10">
        <v>310751800.69999999</v>
      </c>
      <c r="AN200" s="8"/>
      <c r="AO200" s="8"/>
      <c r="AP200" s="8"/>
      <c r="AQ200" s="8"/>
      <c r="AR200" s="8"/>
      <c r="AS200" s="8"/>
      <c r="AT200" s="8"/>
      <c r="AU200" s="14">
        <v>45900</v>
      </c>
      <c r="AV200" s="14">
        <v>45657</v>
      </c>
      <c r="AW200" s="14">
        <v>45291</v>
      </c>
      <c r="AX200" s="14">
        <v>44926</v>
      </c>
      <c r="AY200" s="8"/>
      <c r="AZ200" s="8"/>
      <c r="BA200" s="8"/>
      <c r="BB200" s="8"/>
      <c r="BC200" s="8"/>
      <c r="BD200" s="8"/>
      <c r="BE200" s="8"/>
      <c r="BF200" s="8" t="s">
        <v>35</v>
      </c>
      <c r="BG200" s="8" t="s">
        <v>35</v>
      </c>
      <c r="BH200" s="8" t="s">
        <v>35</v>
      </c>
      <c r="BI200" s="8" t="s">
        <v>35</v>
      </c>
      <c r="BJ200" s="8"/>
      <c r="BK200" s="8"/>
      <c r="BL200" s="8"/>
      <c r="BM200" s="8"/>
      <c r="BN200" s="8"/>
      <c r="BO200" s="8"/>
      <c r="BP200" s="8"/>
      <c r="BQ200" s="8" t="s">
        <v>31</v>
      </c>
      <c r="BR200" s="8" t="s">
        <v>36</v>
      </c>
      <c r="BS200" s="10">
        <v>127798739977169</v>
      </c>
      <c r="BT200" s="8" t="s">
        <v>57</v>
      </c>
      <c r="BU200" s="8" t="s">
        <v>27</v>
      </c>
      <c r="BV200" s="8" t="s">
        <v>27</v>
      </c>
      <c r="BW200" s="8" t="s">
        <v>43</v>
      </c>
      <c r="BX200" s="8" t="s">
        <v>27</v>
      </c>
      <c r="BY200" s="8"/>
      <c r="BZ200" s="8"/>
      <c r="CA200" s="8"/>
      <c r="CB200" s="8"/>
      <c r="CC200" s="8"/>
      <c r="CD200" s="8"/>
      <c r="CE200" s="8"/>
      <c r="CF200" s="8" t="s">
        <v>131</v>
      </c>
      <c r="CG200" s="8" t="s">
        <v>132</v>
      </c>
    </row>
    <row r="201" spans="1:85" ht="15.75" customHeight="1" x14ac:dyDescent="0.35">
      <c r="A201" s="8">
        <v>194</v>
      </c>
      <c r="B201" s="8" t="s">
        <v>332</v>
      </c>
      <c r="C201" s="9">
        <v>4.3000000000000002E-5</v>
      </c>
      <c r="D201" s="9">
        <v>4.3000000000000002E-5</v>
      </c>
      <c r="E201" s="8"/>
      <c r="F201" s="8"/>
      <c r="G201" s="8"/>
      <c r="H201" s="8"/>
      <c r="I201" s="8"/>
      <c r="J201" s="9">
        <v>0</v>
      </c>
      <c r="K201" s="9">
        <v>0</v>
      </c>
      <c r="L201" s="9">
        <v>7.9999999999999996E-6</v>
      </c>
      <c r="M201" s="9">
        <v>3.7800000000000003E-4</v>
      </c>
      <c r="N201" s="10">
        <v>3928200</v>
      </c>
      <c r="O201" s="10">
        <v>3928200</v>
      </c>
      <c r="P201" s="8"/>
      <c r="Q201" s="8"/>
      <c r="R201" s="8"/>
      <c r="S201" s="8"/>
      <c r="T201" s="8"/>
      <c r="U201" s="10">
        <v>0</v>
      </c>
      <c r="V201" s="10">
        <v>0</v>
      </c>
      <c r="W201" s="10">
        <v>782800</v>
      </c>
      <c r="X201" s="10">
        <v>34972772</v>
      </c>
      <c r="Y201" s="11">
        <v>0</v>
      </c>
      <c r="Z201" s="13">
        <v>3928200</v>
      </c>
      <c r="AA201" s="8"/>
      <c r="AB201" s="8"/>
      <c r="AC201" s="8"/>
      <c r="AD201" s="8"/>
      <c r="AE201" s="8"/>
      <c r="AF201" s="11">
        <v>0</v>
      </c>
      <c r="AG201" s="12">
        <v>-782800</v>
      </c>
      <c r="AH201" s="12">
        <v>-34189972</v>
      </c>
      <c r="AI201" s="12">
        <v>-35292</v>
      </c>
      <c r="AJ201" s="10">
        <v>27202784942.849998</v>
      </c>
      <c r="AK201" s="10">
        <v>27202784942.849998</v>
      </c>
      <c r="AL201" s="8"/>
      <c r="AM201" s="8"/>
      <c r="AN201" s="8"/>
      <c r="AO201" s="8"/>
      <c r="AP201" s="8"/>
      <c r="AQ201" s="10">
        <v>0</v>
      </c>
      <c r="AR201" s="10">
        <v>0</v>
      </c>
      <c r="AS201" s="10">
        <v>2265227539.8000002</v>
      </c>
      <c r="AT201" s="10">
        <v>80903880201.899994</v>
      </c>
      <c r="AU201" s="14">
        <v>45565</v>
      </c>
      <c r="AV201" s="14">
        <v>45565</v>
      </c>
      <c r="AW201" s="8"/>
      <c r="AX201" s="8"/>
      <c r="AY201" s="8"/>
      <c r="AZ201" s="8"/>
      <c r="BA201" s="8"/>
      <c r="BB201" s="14">
        <v>42855</v>
      </c>
      <c r="BC201" s="14">
        <v>42855</v>
      </c>
      <c r="BD201" s="14">
        <v>42735</v>
      </c>
      <c r="BE201" s="14">
        <v>42369</v>
      </c>
      <c r="BF201" s="8" t="s">
        <v>35</v>
      </c>
      <c r="BG201" s="8" t="s">
        <v>35</v>
      </c>
      <c r="BH201" s="8"/>
      <c r="BI201" s="8"/>
      <c r="BJ201" s="8"/>
      <c r="BK201" s="8"/>
      <c r="BL201" s="8"/>
      <c r="BM201" s="8" t="s">
        <v>35</v>
      </c>
      <c r="BN201" s="8" t="s">
        <v>35</v>
      </c>
      <c r="BO201" s="8" t="s">
        <v>35</v>
      </c>
      <c r="BP201" s="8" t="s">
        <v>35</v>
      </c>
      <c r="BQ201" s="8" t="s">
        <v>31</v>
      </c>
      <c r="BR201" s="8" t="s">
        <v>49</v>
      </c>
      <c r="BS201" s="10">
        <v>898753770179191</v>
      </c>
      <c r="BT201" s="8" t="s">
        <v>41</v>
      </c>
      <c r="BU201" s="8" t="s">
        <v>42</v>
      </c>
      <c r="BV201" s="8" t="s">
        <v>42</v>
      </c>
      <c r="BW201" s="8"/>
      <c r="BX201" s="8"/>
      <c r="BY201" s="8"/>
      <c r="BZ201" s="8"/>
      <c r="CA201" s="8"/>
      <c r="CB201" s="8" t="s">
        <v>42</v>
      </c>
      <c r="CC201" s="8" t="s">
        <v>42</v>
      </c>
      <c r="CD201" s="8" t="s">
        <v>42</v>
      </c>
      <c r="CE201" s="8" t="s">
        <v>42</v>
      </c>
      <c r="CF201" s="8" t="s">
        <v>145</v>
      </c>
      <c r="CG201" s="8" t="s">
        <v>146</v>
      </c>
    </row>
    <row r="202" spans="1:85" ht="15.75" customHeight="1" x14ac:dyDescent="0.35">
      <c r="A202" s="8">
        <v>195</v>
      </c>
      <c r="B202" s="8" t="s">
        <v>333</v>
      </c>
      <c r="C202" s="9">
        <v>4.1999999999999998E-5</v>
      </c>
      <c r="D202" s="9">
        <v>2.0999999999999999E-5</v>
      </c>
      <c r="E202" s="8"/>
      <c r="F202" s="8"/>
      <c r="G202" s="8"/>
      <c r="H202" s="8"/>
      <c r="I202" s="8"/>
      <c r="J202" s="8"/>
      <c r="K202" s="8"/>
      <c r="L202" s="8"/>
      <c r="M202" s="8"/>
      <c r="N202" s="10">
        <v>3922900</v>
      </c>
      <c r="O202" s="10">
        <v>1949600</v>
      </c>
      <c r="P202" s="8"/>
      <c r="Q202" s="8"/>
      <c r="R202" s="8"/>
      <c r="S202" s="8"/>
      <c r="T202" s="8"/>
      <c r="U202" s="8"/>
      <c r="V202" s="8"/>
      <c r="W202" s="8"/>
      <c r="X202" s="8"/>
      <c r="Y202" s="13">
        <v>1973300</v>
      </c>
      <c r="Z202" s="13">
        <v>1949600</v>
      </c>
      <c r="AA202" s="8"/>
      <c r="AB202" s="8"/>
      <c r="AC202" s="8"/>
      <c r="AD202" s="8"/>
      <c r="AE202" s="8"/>
      <c r="AF202" s="8"/>
      <c r="AG202" s="8"/>
      <c r="AH202" s="8"/>
      <c r="AI202" s="8"/>
      <c r="AJ202" s="10">
        <v>17762465059.5</v>
      </c>
      <c r="AK202" s="10">
        <v>11085162057</v>
      </c>
      <c r="AL202" s="8"/>
      <c r="AM202" s="8"/>
      <c r="AN202" s="8"/>
      <c r="AO202" s="8"/>
      <c r="AP202" s="8"/>
      <c r="AQ202" s="8"/>
      <c r="AR202" s="8"/>
      <c r="AS202" s="8"/>
      <c r="AT202" s="8"/>
      <c r="AU202" s="14">
        <v>45869</v>
      </c>
      <c r="AV202" s="14">
        <v>45657</v>
      </c>
      <c r="AW202" s="8"/>
      <c r="AX202" s="8"/>
      <c r="AY202" s="8"/>
      <c r="AZ202" s="8"/>
      <c r="BA202" s="8"/>
      <c r="BB202" s="8"/>
      <c r="BC202" s="8"/>
      <c r="BD202" s="8"/>
      <c r="BE202" s="8"/>
      <c r="BF202" s="8" t="s">
        <v>35</v>
      </c>
      <c r="BG202" s="8" t="s">
        <v>35</v>
      </c>
      <c r="BH202" s="8"/>
      <c r="BI202" s="8"/>
      <c r="BJ202" s="8"/>
      <c r="BK202" s="8"/>
      <c r="BL202" s="8"/>
      <c r="BM202" s="8"/>
      <c r="BN202" s="8"/>
      <c r="BO202" s="8"/>
      <c r="BP202" s="8"/>
      <c r="BQ202" s="8" t="s">
        <v>31</v>
      </c>
      <c r="BR202" s="8" t="s">
        <v>36</v>
      </c>
      <c r="BS202" s="10">
        <v>31290050405032.801</v>
      </c>
      <c r="BT202" s="8" t="s">
        <v>57</v>
      </c>
      <c r="BU202" s="8" t="s">
        <v>27</v>
      </c>
      <c r="BV202" s="8" t="s">
        <v>42</v>
      </c>
      <c r="BW202" s="8"/>
      <c r="BX202" s="8"/>
      <c r="BY202" s="8"/>
      <c r="BZ202" s="8"/>
      <c r="CA202" s="8"/>
      <c r="CB202" s="8"/>
      <c r="CC202" s="8"/>
      <c r="CD202" s="8"/>
      <c r="CE202" s="8"/>
      <c r="CF202" s="8" t="s">
        <v>65</v>
      </c>
      <c r="CG202" s="8" t="s">
        <v>65</v>
      </c>
    </row>
    <row r="203" spans="1:85" ht="15.75" customHeight="1" x14ac:dyDescent="0.35">
      <c r="A203" s="8">
        <v>196</v>
      </c>
      <c r="B203" s="8" t="s">
        <v>334</v>
      </c>
      <c r="C203" s="9">
        <v>4.1999999999999998E-5</v>
      </c>
      <c r="D203" s="9">
        <v>1.1E-5</v>
      </c>
      <c r="E203" s="9">
        <v>1.0000000000000001E-5</v>
      </c>
      <c r="F203" s="9">
        <v>1.1E-5</v>
      </c>
      <c r="G203" s="9">
        <v>3.0000000000000001E-6</v>
      </c>
      <c r="H203" s="9">
        <v>3.0000000000000001E-6</v>
      </c>
      <c r="I203" s="9">
        <v>3.9999999999999998E-6</v>
      </c>
      <c r="J203" s="9">
        <v>3.9999999999999998E-6</v>
      </c>
      <c r="K203" s="9">
        <v>5.0000000000000004E-6</v>
      </c>
      <c r="L203" s="9">
        <v>3.9999999999999998E-6</v>
      </c>
      <c r="M203" s="9">
        <v>5.0000000000000004E-6</v>
      </c>
      <c r="N203" s="10">
        <v>3910136</v>
      </c>
      <c r="O203" s="10">
        <v>1008136</v>
      </c>
      <c r="P203" s="10">
        <v>928436</v>
      </c>
      <c r="Q203" s="10">
        <v>1050610</v>
      </c>
      <c r="R203" s="10">
        <v>295278</v>
      </c>
      <c r="S203" s="10">
        <v>266946</v>
      </c>
      <c r="T203" s="10">
        <v>327846</v>
      </c>
      <c r="U203" s="10">
        <v>327846</v>
      </c>
      <c r="V203" s="10">
        <v>450280</v>
      </c>
      <c r="W203" s="10">
        <v>364280</v>
      </c>
      <c r="X203" s="10">
        <v>438120</v>
      </c>
      <c r="Y203" s="13">
        <v>2902000</v>
      </c>
      <c r="Z203" s="13">
        <v>79700</v>
      </c>
      <c r="AA203" s="12">
        <v>-122174</v>
      </c>
      <c r="AB203" s="13">
        <v>755332</v>
      </c>
      <c r="AC203" s="13">
        <v>28332</v>
      </c>
      <c r="AD203" s="12">
        <v>-60900</v>
      </c>
      <c r="AE203" s="11">
        <v>0</v>
      </c>
      <c r="AF203" s="12">
        <v>-122434</v>
      </c>
      <c r="AG203" s="13">
        <v>86000</v>
      </c>
      <c r="AH203" s="12">
        <v>-73840</v>
      </c>
      <c r="AI203" s="11">
        <v>0</v>
      </c>
      <c r="AJ203" s="10">
        <v>19117979833.200001</v>
      </c>
      <c r="AK203" s="10">
        <v>5732125090.1000004</v>
      </c>
      <c r="AL203" s="10">
        <v>5617037866.1000004</v>
      </c>
      <c r="AM203" s="10">
        <v>5213652088.6999998</v>
      </c>
      <c r="AN203" s="10">
        <v>1036073325</v>
      </c>
      <c r="AO203" s="10">
        <v>844216776</v>
      </c>
      <c r="AP203" s="10">
        <v>1254493832</v>
      </c>
      <c r="AQ203" s="10">
        <v>1102382162</v>
      </c>
      <c r="AR203" s="10">
        <v>1801120005</v>
      </c>
      <c r="AS203" s="10">
        <v>1054135260</v>
      </c>
      <c r="AT203" s="10">
        <v>1013520069</v>
      </c>
      <c r="AU203" s="14">
        <v>45838</v>
      </c>
      <c r="AV203" s="14">
        <v>45657</v>
      </c>
      <c r="AW203" s="14">
        <v>45291</v>
      </c>
      <c r="AX203" s="14">
        <v>44926</v>
      </c>
      <c r="AY203" s="14">
        <v>44561</v>
      </c>
      <c r="AZ203" s="14">
        <v>44196</v>
      </c>
      <c r="BA203" s="14">
        <v>43830</v>
      </c>
      <c r="BB203" s="14">
        <v>43373</v>
      </c>
      <c r="BC203" s="14">
        <v>43100</v>
      </c>
      <c r="BD203" s="14">
        <v>42735</v>
      </c>
      <c r="BE203" s="14">
        <v>42369</v>
      </c>
      <c r="BF203" s="8" t="s">
        <v>35</v>
      </c>
      <c r="BG203" s="8" t="s">
        <v>35</v>
      </c>
      <c r="BH203" s="8" t="s">
        <v>35</v>
      </c>
      <c r="BI203" s="8" t="s">
        <v>35</v>
      </c>
      <c r="BJ203" s="8" t="s">
        <v>35</v>
      </c>
      <c r="BK203" s="8" t="s">
        <v>35</v>
      </c>
      <c r="BL203" s="8" t="s">
        <v>35</v>
      </c>
      <c r="BM203" s="8" t="s">
        <v>35</v>
      </c>
      <c r="BN203" s="8" t="s">
        <v>35</v>
      </c>
      <c r="BO203" s="8" t="s">
        <v>35</v>
      </c>
      <c r="BP203" s="8" t="s">
        <v>35</v>
      </c>
      <c r="BQ203" s="8" t="s">
        <v>31</v>
      </c>
      <c r="BR203" s="8" t="s">
        <v>49</v>
      </c>
      <c r="BS203" s="10">
        <v>205166476493945</v>
      </c>
      <c r="BT203" s="8" t="s">
        <v>61</v>
      </c>
      <c r="BU203" s="8" t="s">
        <v>27</v>
      </c>
      <c r="BV203" s="8" t="s">
        <v>27</v>
      </c>
      <c r="BW203" s="8" t="s">
        <v>42</v>
      </c>
      <c r="BX203" s="8" t="s">
        <v>27</v>
      </c>
      <c r="BY203" s="8" t="s">
        <v>27</v>
      </c>
      <c r="BZ203" s="8" t="s">
        <v>27</v>
      </c>
      <c r="CA203" s="8" t="s">
        <v>27</v>
      </c>
      <c r="CB203" s="8" t="s">
        <v>27</v>
      </c>
      <c r="CC203" s="8" t="s">
        <v>43</v>
      </c>
      <c r="CD203" s="8" t="s">
        <v>42</v>
      </c>
      <c r="CE203" s="8" t="s">
        <v>27</v>
      </c>
      <c r="CF203" s="8" t="s">
        <v>335</v>
      </c>
      <c r="CG203" s="8" t="s">
        <v>118</v>
      </c>
    </row>
    <row r="204" spans="1:85" ht="15.75" customHeight="1" x14ac:dyDescent="0.35">
      <c r="A204" s="8">
        <v>197</v>
      </c>
      <c r="B204" s="8" t="s">
        <v>336</v>
      </c>
      <c r="C204" s="9">
        <v>4.1999999999999998E-5</v>
      </c>
      <c r="D204" s="9">
        <v>3.8000000000000002E-5</v>
      </c>
      <c r="E204" s="9">
        <v>3.1999999999999999E-5</v>
      </c>
      <c r="F204" s="9">
        <v>4.8999999999999998E-5</v>
      </c>
      <c r="G204" s="9">
        <v>4.3000000000000002E-5</v>
      </c>
      <c r="H204" s="9">
        <v>5.7000000000000003E-5</v>
      </c>
      <c r="I204" s="9">
        <v>6.2000000000000003E-5</v>
      </c>
      <c r="J204" s="8"/>
      <c r="K204" s="8"/>
      <c r="L204" s="8"/>
      <c r="M204" s="8"/>
      <c r="N204" s="10">
        <v>3842218</v>
      </c>
      <c r="O204" s="10">
        <v>3473100</v>
      </c>
      <c r="P204" s="10">
        <v>2952800</v>
      </c>
      <c r="Q204" s="10">
        <v>4565318</v>
      </c>
      <c r="R204" s="10">
        <v>3938918</v>
      </c>
      <c r="S204" s="10">
        <v>5260318</v>
      </c>
      <c r="T204" s="10">
        <v>5742600</v>
      </c>
      <c r="U204" s="8"/>
      <c r="V204" s="8"/>
      <c r="W204" s="8"/>
      <c r="X204" s="8"/>
      <c r="Y204" s="13">
        <v>369118</v>
      </c>
      <c r="Z204" s="13">
        <v>520300</v>
      </c>
      <c r="AA204" s="12">
        <v>-1612518</v>
      </c>
      <c r="AB204" s="13">
        <v>626400</v>
      </c>
      <c r="AC204" s="12">
        <v>-1321400</v>
      </c>
      <c r="AD204" s="12">
        <v>-482282</v>
      </c>
      <c r="AE204" s="13">
        <v>5742600</v>
      </c>
      <c r="AF204" s="8"/>
      <c r="AG204" s="8"/>
      <c r="AH204" s="8"/>
      <c r="AI204" s="8"/>
      <c r="AJ204" s="10">
        <v>16900687020</v>
      </c>
      <c r="AK204" s="10">
        <v>19747577191</v>
      </c>
      <c r="AL204" s="10">
        <v>17864440055.349998</v>
      </c>
      <c r="AM204" s="10">
        <v>17062876024.799999</v>
      </c>
      <c r="AN204" s="10">
        <v>13786212978.4</v>
      </c>
      <c r="AO204" s="10">
        <v>16635755635.200001</v>
      </c>
      <c r="AP204" s="10">
        <v>21973902140.799999</v>
      </c>
      <c r="AQ204" s="8"/>
      <c r="AR204" s="8"/>
      <c r="AS204" s="8"/>
      <c r="AT204" s="8"/>
      <c r="AU204" s="14">
        <v>45930</v>
      </c>
      <c r="AV204" s="14">
        <v>45657</v>
      </c>
      <c r="AW204" s="14">
        <v>45291</v>
      </c>
      <c r="AX204" s="14">
        <v>44592</v>
      </c>
      <c r="AY204" s="14">
        <v>44530</v>
      </c>
      <c r="AZ204" s="14">
        <v>44196</v>
      </c>
      <c r="BA204" s="14">
        <v>43830</v>
      </c>
      <c r="BB204" s="8"/>
      <c r="BC204" s="8"/>
      <c r="BD204" s="8"/>
      <c r="BE204" s="8"/>
      <c r="BF204" s="8" t="s">
        <v>35</v>
      </c>
      <c r="BG204" s="8" t="s">
        <v>35</v>
      </c>
      <c r="BH204" s="8" t="s">
        <v>35</v>
      </c>
      <c r="BI204" s="8" t="s">
        <v>35</v>
      </c>
      <c r="BJ204" s="8" t="s">
        <v>35</v>
      </c>
      <c r="BK204" s="8" t="s">
        <v>35</v>
      </c>
      <c r="BL204" s="8" t="s">
        <v>35</v>
      </c>
      <c r="BM204" s="8"/>
      <c r="BN204" s="8"/>
      <c r="BO204" s="8"/>
      <c r="BP204" s="8"/>
      <c r="BQ204" s="8" t="s">
        <v>31</v>
      </c>
      <c r="BR204" s="8" t="s">
        <v>36</v>
      </c>
      <c r="BS204" s="10">
        <v>740599180693630</v>
      </c>
      <c r="BT204" s="8"/>
      <c r="BU204" s="8" t="s">
        <v>27</v>
      </c>
      <c r="BV204" s="8" t="s">
        <v>27</v>
      </c>
      <c r="BW204" s="8" t="s">
        <v>27</v>
      </c>
      <c r="BX204" s="8" t="s">
        <v>27</v>
      </c>
      <c r="BY204" s="8" t="s">
        <v>27</v>
      </c>
      <c r="BZ204" s="8" t="s">
        <v>27</v>
      </c>
      <c r="CA204" s="8" t="s">
        <v>27</v>
      </c>
      <c r="CB204" s="8"/>
      <c r="CC204" s="8"/>
      <c r="CD204" s="8"/>
      <c r="CE204" s="8"/>
      <c r="CF204" s="8" t="s">
        <v>98</v>
      </c>
      <c r="CG204" s="8" t="s">
        <v>99</v>
      </c>
    </row>
    <row r="205" spans="1:85" ht="15.75" customHeight="1" x14ac:dyDescent="0.35">
      <c r="A205" s="8">
        <v>198</v>
      </c>
      <c r="B205" s="8" t="s">
        <v>337</v>
      </c>
      <c r="C205" s="9">
        <v>4.1E-5</v>
      </c>
      <c r="D205" s="9">
        <v>0</v>
      </c>
      <c r="E205" s="9">
        <v>0</v>
      </c>
      <c r="F205" s="9">
        <v>2.6999999999999999E-5</v>
      </c>
      <c r="G205" s="9">
        <v>5.1E-5</v>
      </c>
      <c r="H205" s="9">
        <v>4.5000000000000003E-5</v>
      </c>
      <c r="I205" s="9">
        <v>3.4E-5</v>
      </c>
      <c r="J205" s="9">
        <v>3.8000000000000002E-5</v>
      </c>
      <c r="K205" s="9">
        <v>2.9E-5</v>
      </c>
      <c r="L205" s="9">
        <v>6.9999999999999999E-6</v>
      </c>
      <c r="M205" s="8"/>
      <c r="N205" s="10">
        <v>3820772</v>
      </c>
      <c r="O205" s="10">
        <v>0</v>
      </c>
      <c r="P205" s="10">
        <v>0</v>
      </c>
      <c r="Q205" s="10">
        <v>2480338</v>
      </c>
      <c r="R205" s="10">
        <v>4706622</v>
      </c>
      <c r="S205" s="10">
        <v>4185072</v>
      </c>
      <c r="T205" s="10">
        <v>3108808</v>
      </c>
      <c r="U205" s="10">
        <v>3471800</v>
      </c>
      <c r="V205" s="10">
        <v>2677218</v>
      </c>
      <c r="W205" s="10">
        <v>607908</v>
      </c>
      <c r="X205" s="8"/>
      <c r="Y205" s="13">
        <v>3820772</v>
      </c>
      <c r="Z205" s="11">
        <v>0</v>
      </c>
      <c r="AA205" s="12">
        <v>-2480338</v>
      </c>
      <c r="AB205" s="12">
        <v>-2226284</v>
      </c>
      <c r="AC205" s="13">
        <v>521550</v>
      </c>
      <c r="AD205" s="13">
        <v>1076264</v>
      </c>
      <c r="AE205" s="12">
        <v>-362992</v>
      </c>
      <c r="AF205" s="13">
        <v>794582</v>
      </c>
      <c r="AG205" s="13">
        <v>2069310</v>
      </c>
      <c r="AH205" s="13">
        <v>607908</v>
      </c>
      <c r="AI205" s="8"/>
      <c r="AJ205" s="10">
        <v>18232623480.75</v>
      </c>
      <c r="AK205" s="10">
        <v>0</v>
      </c>
      <c r="AL205" s="10">
        <v>0</v>
      </c>
      <c r="AM205" s="10">
        <v>12308677324.35</v>
      </c>
      <c r="AN205" s="10">
        <v>16514625960</v>
      </c>
      <c r="AO205" s="10">
        <v>13235290239.6</v>
      </c>
      <c r="AP205" s="10">
        <v>11895768915.6</v>
      </c>
      <c r="AQ205" s="10">
        <v>12643938350</v>
      </c>
      <c r="AR205" s="10">
        <v>10708872022.450001</v>
      </c>
      <c r="AS205" s="10">
        <v>1595758568</v>
      </c>
      <c r="AT205" s="8"/>
      <c r="AU205" s="14">
        <v>45900</v>
      </c>
      <c r="AV205" s="14">
        <v>45107</v>
      </c>
      <c r="AW205" s="14">
        <v>45107</v>
      </c>
      <c r="AX205" s="14">
        <v>44926</v>
      </c>
      <c r="AY205" s="14">
        <v>44561</v>
      </c>
      <c r="AZ205" s="14">
        <v>44196</v>
      </c>
      <c r="BA205" s="14">
        <v>43830</v>
      </c>
      <c r="BB205" s="14">
        <v>43465</v>
      </c>
      <c r="BC205" s="14">
        <v>43100</v>
      </c>
      <c r="BD205" s="14">
        <v>42704</v>
      </c>
      <c r="BE205" s="8"/>
      <c r="BF205" s="8" t="s">
        <v>35</v>
      </c>
      <c r="BG205" s="8" t="s">
        <v>35</v>
      </c>
      <c r="BH205" s="8" t="s">
        <v>35</v>
      </c>
      <c r="BI205" s="8" t="s">
        <v>35</v>
      </c>
      <c r="BJ205" s="8" t="s">
        <v>35</v>
      </c>
      <c r="BK205" s="8" t="s">
        <v>35</v>
      </c>
      <c r="BL205" s="8" t="s">
        <v>35</v>
      </c>
      <c r="BM205" s="8" t="s">
        <v>35</v>
      </c>
      <c r="BN205" s="8" t="s">
        <v>35</v>
      </c>
      <c r="BO205" s="8" t="s">
        <v>35</v>
      </c>
      <c r="BP205" s="8"/>
      <c r="BQ205" s="8" t="s">
        <v>31</v>
      </c>
      <c r="BR205" s="8" t="s">
        <v>36</v>
      </c>
      <c r="BS205" s="10">
        <v>510165466452593</v>
      </c>
      <c r="BT205" s="8" t="s">
        <v>316</v>
      </c>
      <c r="BU205" s="8" t="s">
        <v>27</v>
      </c>
      <c r="BV205" s="8" t="s">
        <v>27</v>
      </c>
      <c r="BW205" s="8" t="s">
        <v>27</v>
      </c>
      <c r="BX205" s="8" t="s">
        <v>42</v>
      </c>
      <c r="BY205" s="8" t="s">
        <v>27</v>
      </c>
      <c r="BZ205" s="8" t="s">
        <v>42</v>
      </c>
      <c r="CA205" s="8" t="s">
        <v>43</v>
      </c>
      <c r="CB205" s="8" t="s">
        <v>27</v>
      </c>
      <c r="CC205" s="8" t="s">
        <v>42</v>
      </c>
      <c r="CD205" s="8" t="s">
        <v>42</v>
      </c>
      <c r="CE205" s="8"/>
      <c r="CF205" s="8" t="s">
        <v>221</v>
      </c>
      <c r="CG205" s="8" t="s">
        <v>55</v>
      </c>
    </row>
    <row r="206" spans="1:85" ht="15.75" customHeight="1" x14ac:dyDescent="0.35">
      <c r="A206" s="8">
        <v>199</v>
      </c>
      <c r="B206" s="8" t="s">
        <v>338</v>
      </c>
      <c r="C206" s="9">
        <v>4.1E-5</v>
      </c>
      <c r="D206" s="9">
        <v>1.0399999999999999E-4</v>
      </c>
      <c r="E206" s="9">
        <v>1.0399999999999999E-4</v>
      </c>
      <c r="F206" s="9">
        <v>6.7999999999999999E-5</v>
      </c>
      <c r="G206" s="9">
        <v>5.5999999999999999E-5</v>
      </c>
      <c r="H206" s="9">
        <v>3.1000000000000001E-5</v>
      </c>
      <c r="I206" s="9">
        <v>1.5999999999999999E-5</v>
      </c>
      <c r="J206" s="8"/>
      <c r="K206" s="8"/>
      <c r="L206" s="8"/>
      <c r="M206" s="8"/>
      <c r="N206" s="10">
        <v>3757500</v>
      </c>
      <c r="O206" s="10">
        <v>9576300</v>
      </c>
      <c r="P206" s="10">
        <v>9585400</v>
      </c>
      <c r="Q206" s="10">
        <v>6254200</v>
      </c>
      <c r="R206" s="10">
        <v>5136800</v>
      </c>
      <c r="S206" s="10">
        <v>2865954</v>
      </c>
      <c r="T206" s="10">
        <v>1463992</v>
      </c>
      <c r="U206" s="8"/>
      <c r="V206" s="8"/>
      <c r="W206" s="8"/>
      <c r="X206" s="8"/>
      <c r="Y206" s="12">
        <v>-5818800</v>
      </c>
      <c r="Z206" s="12">
        <v>-9100</v>
      </c>
      <c r="AA206" s="13">
        <v>3331200</v>
      </c>
      <c r="AB206" s="13">
        <v>1117400</v>
      </c>
      <c r="AC206" s="13">
        <v>2270846</v>
      </c>
      <c r="AD206" s="13">
        <v>1401962</v>
      </c>
      <c r="AE206" s="13">
        <v>1463992</v>
      </c>
      <c r="AF206" s="8"/>
      <c r="AG206" s="8"/>
      <c r="AH206" s="8"/>
      <c r="AI206" s="8"/>
      <c r="AJ206" s="10">
        <v>16528039638.6</v>
      </c>
      <c r="AK206" s="10">
        <v>54449547443.300003</v>
      </c>
      <c r="AL206" s="10">
        <v>57991669972.599998</v>
      </c>
      <c r="AM206" s="10">
        <v>31036467580.25</v>
      </c>
      <c r="AN206" s="10">
        <v>18024037402.5</v>
      </c>
      <c r="AO206" s="10">
        <v>9063579564</v>
      </c>
      <c r="AP206" s="10">
        <v>5105672040</v>
      </c>
      <c r="AQ206" s="8"/>
      <c r="AR206" s="8"/>
      <c r="AS206" s="8"/>
      <c r="AT206" s="8"/>
      <c r="AU206" s="14">
        <v>45930</v>
      </c>
      <c r="AV206" s="14">
        <v>45657</v>
      </c>
      <c r="AW206" s="14">
        <v>45291</v>
      </c>
      <c r="AX206" s="14">
        <v>44926</v>
      </c>
      <c r="AY206" s="14">
        <v>44561</v>
      </c>
      <c r="AZ206" s="14">
        <v>44196</v>
      </c>
      <c r="BA206" s="14">
        <v>43799</v>
      </c>
      <c r="BB206" s="8"/>
      <c r="BC206" s="8"/>
      <c r="BD206" s="8"/>
      <c r="BE206" s="8"/>
      <c r="BF206" s="8" t="s">
        <v>35</v>
      </c>
      <c r="BG206" s="8" t="s">
        <v>35</v>
      </c>
      <c r="BH206" s="8" t="s">
        <v>35</v>
      </c>
      <c r="BI206" s="8" t="s">
        <v>35</v>
      </c>
      <c r="BJ206" s="8" t="s">
        <v>35</v>
      </c>
      <c r="BK206" s="8" t="s">
        <v>35</v>
      </c>
      <c r="BL206" s="8" t="s">
        <v>35</v>
      </c>
      <c r="BM206" s="8"/>
      <c r="BN206" s="8"/>
      <c r="BO206" s="8"/>
      <c r="BP206" s="8"/>
      <c r="BQ206" s="8" t="s">
        <v>31</v>
      </c>
      <c r="BR206" s="8" t="s">
        <v>36</v>
      </c>
      <c r="BS206" s="10">
        <v>433268974117640</v>
      </c>
      <c r="BT206" s="8" t="s">
        <v>61</v>
      </c>
      <c r="BU206" s="8" t="s">
        <v>27</v>
      </c>
      <c r="BV206" s="8" t="s">
        <v>27</v>
      </c>
      <c r="BW206" s="8" t="s">
        <v>27</v>
      </c>
      <c r="BX206" s="8" t="s">
        <v>27</v>
      </c>
      <c r="BY206" s="8" t="s">
        <v>27</v>
      </c>
      <c r="BZ206" s="8" t="s">
        <v>42</v>
      </c>
      <c r="CA206" s="8" t="s">
        <v>27</v>
      </c>
      <c r="CB206" s="8"/>
      <c r="CC206" s="8"/>
      <c r="CD206" s="8"/>
      <c r="CE206" s="8"/>
      <c r="CF206" s="8" t="s">
        <v>194</v>
      </c>
      <c r="CG206" s="8" t="s">
        <v>195</v>
      </c>
    </row>
    <row r="207" spans="1:85" ht="15.75" customHeight="1" x14ac:dyDescent="0.35">
      <c r="A207" s="8">
        <v>200</v>
      </c>
      <c r="B207" s="8" t="s">
        <v>339</v>
      </c>
      <c r="C207" s="9">
        <v>4.0000000000000003E-5</v>
      </c>
      <c r="D207" s="9">
        <v>3.8999999999999999E-5</v>
      </c>
      <c r="E207" s="9">
        <v>4.5000000000000003E-5</v>
      </c>
      <c r="F207" s="9">
        <v>4.5000000000000003E-5</v>
      </c>
      <c r="G207" s="9">
        <v>4.6E-5</v>
      </c>
      <c r="H207" s="8"/>
      <c r="I207" s="8"/>
      <c r="J207" s="8"/>
      <c r="K207" s="9">
        <v>0</v>
      </c>
      <c r="L207" s="9">
        <v>0</v>
      </c>
      <c r="M207" s="9">
        <v>4.7800000000000002E-4</v>
      </c>
      <c r="N207" s="10">
        <v>3738200</v>
      </c>
      <c r="O207" s="10">
        <v>3580400</v>
      </c>
      <c r="P207" s="10">
        <v>4168000</v>
      </c>
      <c r="Q207" s="10">
        <v>4168000</v>
      </c>
      <c r="R207" s="10">
        <v>4246400</v>
      </c>
      <c r="S207" s="8"/>
      <c r="T207" s="8"/>
      <c r="U207" s="8"/>
      <c r="V207" s="10">
        <v>0</v>
      </c>
      <c r="W207" s="10">
        <v>0</v>
      </c>
      <c r="X207" s="10">
        <v>44140000</v>
      </c>
      <c r="Y207" s="13">
        <v>157800</v>
      </c>
      <c r="Z207" s="12">
        <v>-587600</v>
      </c>
      <c r="AA207" s="11">
        <v>0</v>
      </c>
      <c r="AB207" s="12">
        <v>-78400</v>
      </c>
      <c r="AC207" s="13">
        <v>4246400</v>
      </c>
      <c r="AD207" s="8"/>
      <c r="AE207" s="8"/>
      <c r="AF207" s="8"/>
      <c r="AG207" s="11">
        <v>0</v>
      </c>
      <c r="AH207" s="12">
        <v>-44140000</v>
      </c>
      <c r="AI207" s="11">
        <v>0</v>
      </c>
      <c r="AJ207" s="10">
        <v>16926163509.5</v>
      </c>
      <c r="AK207" s="10">
        <v>21984761779.200001</v>
      </c>
      <c r="AL207" s="10">
        <v>25216400050.099998</v>
      </c>
      <c r="AM207" s="10">
        <v>21934099973.5</v>
      </c>
      <c r="AN207" s="10">
        <v>14899796010</v>
      </c>
      <c r="AO207" s="8"/>
      <c r="AP207" s="8"/>
      <c r="AQ207" s="8"/>
      <c r="AR207" s="10">
        <v>0</v>
      </c>
      <c r="AS207" s="10">
        <v>0</v>
      </c>
      <c r="AT207" s="10">
        <v>102110786923.64999</v>
      </c>
      <c r="AU207" s="14">
        <v>45869</v>
      </c>
      <c r="AV207" s="14">
        <v>45626</v>
      </c>
      <c r="AW207" s="14">
        <v>45291</v>
      </c>
      <c r="AX207" s="14">
        <v>44895</v>
      </c>
      <c r="AY207" s="14">
        <v>44561</v>
      </c>
      <c r="AZ207" s="8"/>
      <c r="BA207" s="8"/>
      <c r="BB207" s="8"/>
      <c r="BC207" s="14">
        <v>42490</v>
      </c>
      <c r="BD207" s="14">
        <v>42490</v>
      </c>
      <c r="BE207" s="14">
        <v>42369</v>
      </c>
      <c r="BF207" s="8" t="s">
        <v>35</v>
      </c>
      <c r="BG207" s="8" t="s">
        <v>35</v>
      </c>
      <c r="BH207" s="8" t="s">
        <v>35</v>
      </c>
      <c r="BI207" s="8" t="s">
        <v>35</v>
      </c>
      <c r="BJ207" s="8" t="s">
        <v>35</v>
      </c>
      <c r="BK207" s="8"/>
      <c r="BL207" s="8"/>
      <c r="BM207" s="8"/>
      <c r="BN207" s="8" t="s">
        <v>35</v>
      </c>
      <c r="BO207" s="8" t="s">
        <v>35</v>
      </c>
      <c r="BP207" s="8" t="s">
        <v>35</v>
      </c>
      <c r="BQ207" s="8" t="s">
        <v>31</v>
      </c>
      <c r="BR207" s="8" t="s">
        <v>36</v>
      </c>
      <c r="BS207" s="10">
        <v>483534478716278</v>
      </c>
      <c r="BT207" s="8"/>
      <c r="BU207" s="8" t="s">
        <v>27</v>
      </c>
      <c r="BV207" s="8" t="s">
        <v>42</v>
      </c>
      <c r="BW207" s="8" t="s">
        <v>27</v>
      </c>
      <c r="BX207" s="8" t="s">
        <v>27</v>
      </c>
      <c r="BY207" s="8" t="s">
        <v>27</v>
      </c>
      <c r="BZ207" s="8"/>
      <c r="CA207" s="8"/>
      <c r="CB207" s="8"/>
      <c r="CC207" s="8" t="s">
        <v>42</v>
      </c>
      <c r="CD207" s="8" t="s">
        <v>27</v>
      </c>
      <c r="CE207" s="8" t="s">
        <v>27</v>
      </c>
      <c r="CF207" s="8" t="s">
        <v>95</v>
      </c>
      <c r="CG207" s="8" t="s">
        <v>96</v>
      </c>
    </row>
    <row r="208" spans="1:85" ht="15.75" customHeight="1" x14ac:dyDescent="0.35">
      <c r="A208" s="8">
        <v>201</v>
      </c>
      <c r="B208" s="8" t="s">
        <v>340</v>
      </c>
      <c r="C208" s="9">
        <v>3.8999999999999999E-5</v>
      </c>
      <c r="D208" s="9">
        <v>3.1000000000000001E-5</v>
      </c>
      <c r="E208" s="9">
        <v>2.5000000000000001E-5</v>
      </c>
      <c r="F208" s="9">
        <v>2.5399999999999999E-4</v>
      </c>
      <c r="G208" s="9">
        <v>1.4E-5</v>
      </c>
      <c r="H208" s="9">
        <v>1.2E-5</v>
      </c>
      <c r="I208" s="9">
        <v>3.77E-4</v>
      </c>
      <c r="J208" s="9">
        <v>2.81E-4</v>
      </c>
      <c r="K208" s="8"/>
      <c r="L208" s="9">
        <v>0</v>
      </c>
      <c r="M208" s="9">
        <v>0</v>
      </c>
      <c r="N208" s="10">
        <v>3566214</v>
      </c>
      <c r="O208" s="10">
        <v>2909214</v>
      </c>
      <c r="P208" s="10">
        <v>2301514</v>
      </c>
      <c r="Q208" s="10">
        <v>23489712</v>
      </c>
      <c r="R208" s="10">
        <v>1262376</v>
      </c>
      <c r="S208" s="10">
        <v>1092278</v>
      </c>
      <c r="T208" s="10">
        <v>34836286</v>
      </c>
      <c r="U208" s="10">
        <v>25924000</v>
      </c>
      <c r="V208" s="8"/>
      <c r="W208" s="10">
        <v>0</v>
      </c>
      <c r="X208" s="10">
        <v>0</v>
      </c>
      <c r="Y208" s="13">
        <v>657000</v>
      </c>
      <c r="Z208" s="13">
        <v>607700</v>
      </c>
      <c r="AA208" s="12">
        <v>-21188198</v>
      </c>
      <c r="AB208" s="13">
        <v>22227336</v>
      </c>
      <c r="AC208" s="13">
        <v>170098</v>
      </c>
      <c r="AD208" s="12">
        <v>-33744008</v>
      </c>
      <c r="AE208" s="13">
        <v>8912286</v>
      </c>
      <c r="AF208" s="13">
        <v>25924000</v>
      </c>
      <c r="AG208" s="8"/>
      <c r="AH208" s="11">
        <v>0</v>
      </c>
      <c r="AI208" s="11">
        <v>0</v>
      </c>
      <c r="AJ208" s="10">
        <v>17017879273.5</v>
      </c>
      <c r="AK208" s="10">
        <v>16541397548.6</v>
      </c>
      <c r="AL208" s="10">
        <v>13924159698.65</v>
      </c>
      <c r="AM208" s="10">
        <v>116567695967.25</v>
      </c>
      <c r="AN208" s="10">
        <v>4429433092.5</v>
      </c>
      <c r="AO208" s="10">
        <v>3454329153.5999999</v>
      </c>
      <c r="AP208" s="10">
        <v>133300097469.60001</v>
      </c>
      <c r="AQ208" s="10">
        <v>94412540868.75</v>
      </c>
      <c r="AR208" s="8"/>
      <c r="AS208" s="10">
        <v>0</v>
      </c>
      <c r="AT208" s="10">
        <v>0</v>
      </c>
      <c r="AU208" s="14">
        <v>45900</v>
      </c>
      <c r="AV208" s="14">
        <v>45657</v>
      </c>
      <c r="AW208" s="14">
        <v>45291</v>
      </c>
      <c r="AX208" s="14">
        <v>44926</v>
      </c>
      <c r="AY208" s="14">
        <v>44561</v>
      </c>
      <c r="AZ208" s="14">
        <v>44196</v>
      </c>
      <c r="BA208" s="14">
        <v>43830</v>
      </c>
      <c r="BB208" s="14">
        <v>43465</v>
      </c>
      <c r="BC208" s="8"/>
      <c r="BD208" s="14">
        <v>42338</v>
      </c>
      <c r="BE208" s="14">
        <v>42338</v>
      </c>
      <c r="BF208" s="8" t="s">
        <v>35</v>
      </c>
      <c r="BG208" s="8" t="s">
        <v>35</v>
      </c>
      <c r="BH208" s="8" t="s">
        <v>35</v>
      </c>
      <c r="BI208" s="8" t="s">
        <v>35</v>
      </c>
      <c r="BJ208" s="8" t="s">
        <v>35</v>
      </c>
      <c r="BK208" s="8" t="s">
        <v>35</v>
      </c>
      <c r="BL208" s="8" t="s">
        <v>35</v>
      </c>
      <c r="BM208" s="8" t="s">
        <v>35</v>
      </c>
      <c r="BN208" s="8"/>
      <c r="BO208" s="8" t="s">
        <v>35</v>
      </c>
      <c r="BP208" s="8" t="s">
        <v>35</v>
      </c>
      <c r="BQ208" s="8" t="s">
        <v>31</v>
      </c>
      <c r="BR208" s="8" t="s">
        <v>49</v>
      </c>
      <c r="BS208" s="10">
        <v>865882798509794</v>
      </c>
      <c r="BT208" s="8" t="s">
        <v>37</v>
      </c>
      <c r="BU208" s="8" t="s">
        <v>27</v>
      </c>
      <c r="BV208" s="8" t="s">
        <v>27</v>
      </c>
      <c r="BW208" s="8" t="s">
        <v>42</v>
      </c>
      <c r="BX208" s="8" t="s">
        <v>27</v>
      </c>
      <c r="BY208" s="8" t="s">
        <v>42</v>
      </c>
      <c r="BZ208" s="8" t="s">
        <v>42</v>
      </c>
      <c r="CA208" s="8" t="s">
        <v>42</v>
      </c>
      <c r="CB208" s="8" t="s">
        <v>27</v>
      </c>
      <c r="CC208" s="8"/>
      <c r="CD208" s="8" t="s">
        <v>27</v>
      </c>
      <c r="CE208" s="8" t="s">
        <v>42</v>
      </c>
      <c r="CF208" s="8" t="s">
        <v>62</v>
      </c>
      <c r="CG208" s="8" t="s">
        <v>63</v>
      </c>
    </row>
    <row r="209" spans="1:85" ht="15.75" customHeight="1" x14ac:dyDescent="0.35">
      <c r="A209" s="8">
        <v>202</v>
      </c>
      <c r="B209" s="8" t="s">
        <v>341</v>
      </c>
      <c r="C209" s="9">
        <v>3.8999999999999999E-5</v>
      </c>
      <c r="D209" s="9">
        <v>3.8999999999999999E-5</v>
      </c>
      <c r="E209" s="9">
        <v>5.3999999999999998E-5</v>
      </c>
      <c r="F209" s="9">
        <v>5.3999999999999998E-5</v>
      </c>
      <c r="G209" s="9">
        <v>1.1900000000000001E-4</v>
      </c>
      <c r="H209" s="9">
        <v>2.1599999999999999E-4</v>
      </c>
      <c r="I209" s="9">
        <v>0</v>
      </c>
      <c r="J209" s="9">
        <v>9.7E-5</v>
      </c>
      <c r="K209" s="8"/>
      <c r="L209" s="8"/>
      <c r="M209" s="8"/>
      <c r="N209" s="10">
        <v>3560000</v>
      </c>
      <c r="O209" s="10">
        <v>3560000</v>
      </c>
      <c r="P209" s="10">
        <v>5000000</v>
      </c>
      <c r="Q209" s="10">
        <v>5000000</v>
      </c>
      <c r="R209" s="10">
        <v>11000000</v>
      </c>
      <c r="S209" s="10">
        <v>20000000</v>
      </c>
      <c r="T209" s="10">
        <v>0</v>
      </c>
      <c r="U209" s="10">
        <v>9000000</v>
      </c>
      <c r="V209" s="8"/>
      <c r="W209" s="8"/>
      <c r="X209" s="8"/>
      <c r="Y209" s="11">
        <v>0</v>
      </c>
      <c r="Z209" s="12">
        <v>-1440000</v>
      </c>
      <c r="AA209" s="11">
        <v>0</v>
      </c>
      <c r="AB209" s="12">
        <v>-6000000</v>
      </c>
      <c r="AC209" s="12">
        <v>-9000000</v>
      </c>
      <c r="AD209" s="13">
        <v>20000000</v>
      </c>
      <c r="AE209" s="12">
        <v>-9000000</v>
      </c>
      <c r="AF209" s="13">
        <v>9000000</v>
      </c>
      <c r="AG209" s="8"/>
      <c r="AH209" s="8"/>
      <c r="AI209" s="8"/>
      <c r="AJ209" s="10">
        <v>25810000044.5</v>
      </c>
      <c r="AK209" s="10">
        <v>25810000044.5</v>
      </c>
      <c r="AL209" s="10">
        <v>29998791457.5</v>
      </c>
      <c r="AM209" s="10">
        <v>23562500036.25</v>
      </c>
      <c r="AN209" s="10">
        <v>33825000054.599998</v>
      </c>
      <c r="AO209" s="10">
        <v>49600000010.400002</v>
      </c>
      <c r="AP209" s="10">
        <v>0</v>
      </c>
      <c r="AQ209" s="10">
        <v>30262500023</v>
      </c>
      <c r="AR209" s="8"/>
      <c r="AS209" s="8"/>
      <c r="AT209" s="8"/>
      <c r="AU209" s="14">
        <v>45382</v>
      </c>
      <c r="AV209" s="14">
        <v>45382</v>
      </c>
      <c r="AW209" s="14">
        <v>45199</v>
      </c>
      <c r="AX209" s="14">
        <v>44834</v>
      </c>
      <c r="AY209" s="14">
        <v>44469</v>
      </c>
      <c r="AZ209" s="14">
        <v>44104</v>
      </c>
      <c r="BA209" s="14">
        <v>43555</v>
      </c>
      <c r="BB209" s="14">
        <v>43373</v>
      </c>
      <c r="BC209" s="8"/>
      <c r="BD209" s="8"/>
      <c r="BE209" s="8"/>
      <c r="BF209" s="8" t="s">
        <v>35</v>
      </c>
      <c r="BG209" s="8" t="s">
        <v>35</v>
      </c>
      <c r="BH209" s="8" t="s">
        <v>35</v>
      </c>
      <c r="BI209" s="8" t="s">
        <v>35</v>
      </c>
      <c r="BJ209" s="8" t="s">
        <v>35</v>
      </c>
      <c r="BK209" s="8" t="s">
        <v>35</v>
      </c>
      <c r="BL209" s="8" t="s">
        <v>35</v>
      </c>
      <c r="BM209" s="8" t="s">
        <v>35</v>
      </c>
      <c r="BN209" s="8"/>
      <c r="BO209" s="8"/>
      <c r="BP209" s="8"/>
      <c r="BQ209" s="8" t="s">
        <v>31</v>
      </c>
      <c r="BR209" s="8" t="s">
        <v>36</v>
      </c>
      <c r="BS209" s="10">
        <v>1115322556642.8</v>
      </c>
      <c r="BT209" s="8" t="s">
        <v>37</v>
      </c>
      <c r="BU209" s="8"/>
      <c r="BV209" s="8" t="s">
        <v>27</v>
      </c>
      <c r="BW209" s="8" t="s">
        <v>27</v>
      </c>
      <c r="BX209" s="8" t="s">
        <v>27</v>
      </c>
      <c r="BY209" s="8" t="s">
        <v>27</v>
      </c>
      <c r="BZ209" s="8" t="s">
        <v>42</v>
      </c>
      <c r="CA209" s="8" t="s">
        <v>27</v>
      </c>
      <c r="CB209" s="8" t="s">
        <v>27</v>
      </c>
      <c r="CC209" s="8"/>
      <c r="CD209" s="8"/>
      <c r="CE209" s="8"/>
      <c r="CF209" s="8" t="s">
        <v>212</v>
      </c>
      <c r="CG209" s="8" t="s">
        <v>213</v>
      </c>
    </row>
    <row r="210" spans="1:85" ht="15.75" hidden="1" customHeight="1" x14ac:dyDescent="0.35">
      <c r="A210" s="8">
        <v>203</v>
      </c>
      <c r="B210" s="8" t="s">
        <v>342</v>
      </c>
      <c r="C210" s="9">
        <v>3.6999999999999998E-5</v>
      </c>
      <c r="D210" s="9">
        <v>3.6999999999999998E-5</v>
      </c>
      <c r="E210" s="9">
        <v>2.1999999999999999E-5</v>
      </c>
      <c r="F210" s="9">
        <v>1.2E-5</v>
      </c>
      <c r="G210" s="9">
        <v>6.9999999999999999E-6</v>
      </c>
      <c r="H210" s="9">
        <v>3.0000000000000001E-6</v>
      </c>
      <c r="I210" s="8"/>
      <c r="J210" s="8"/>
      <c r="K210" s="8"/>
      <c r="L210" s="8"/>
      <c r="M210" s="8"/>
      <c r="N210" s="10">
        <v>3430200</v>
      </c>
      <c r="O210" s="10">
        <v>3430200</v>
      </c>
      <c r="P210" s="10">
        <v>2017700</v>
      </c>
      <c r="Q210" s="10">
        <v>1106400</v>
      </c>
      <c r="R210" s="10">
        <v>667600</v>
      </c>
      <c r="S210" s="10">
        <v>257800</v>
      </c>
      <c r="T210" s="8"/>
      <c r="U210" s="8"/>
      <c r="V210" s="8"/>
      <c r="W210" s="8"/>
      <c r="X210" s="8"/>
      <c r="Y210" s="11">
        <v>0</v>
      </c>
      <c r="Z210" s="13">
        <v>1412500</v>
      </c>
      <c r="AA210" s="13">
        <v>911300</v>
      </c>
      <c r="AB210" s="13">
        <v>438800</v>
      </c>
      <c r="AC210" s="13">
        <v>409800</v>
      </c>
      <c r="AD210" s="13">
        <v>257800</v>
      </c>
      <c r="AE210" s="8"/>
      <c r="AF210" s="8"/>
      <c r="AG210" s="8"/>
      <c r="AH210" s="8"/>
      <c r="AI210" s="8"/>
      <c r="AJ210" s="10">
        <v>19503653595.5</v>
      </c>
      <c r="AK210" s="10">
        <v>19503653595.5</v>
      </c>
      <c r="AL210" s="10">
        <v>12207084993.5</v>
      </c>
      <c r="AM210" s="10">
        <v>5490510012.3500004</v>
      </c>
      <c r="AN210" s="10">
        <v>2342479267.5</v>
      </c>
      <c r="AO210" s="10">
        <v>815292550.79999995</v>
      </c>
      <c r="AP210" s="8"/>
      <c r="AQ210" s="8"/>
      <c r="AR210" s="8"/>
      <c r="AS210" s="8"/>
      <c r="AT210" s="8"/>
      <c r="AU210" s="14">
        <v>45657</v>
      </c>
      <c r="AV210" s="14">
        <v>45657</v>
      </c>
      <c r="AW210" s="14">
        <v>45291</v>
      </c>
      <c r="AX210" s="14">
        <v>44926</v>
      </c>
      <c r="AY210" s="14">
        <v>44561</v>
      </c>
      <c r="AZ210" s="14">
        <v>44196</v>
      </c>
      <c r="BA210" s="8"/>
      <c r="BB210" s="8"/>
      <c r="BC210" s="8"/>
      <c r="BD210" s="8"/>
      <c r="BE210" s="8"/>
      <c r="BF210" s="8" t="s">
        <v>201</v>
      </c>
      <c r="BG210" s="8" t="s">
        <v>201</v>
      </c>
      <c r="BH210" s="8" t="s">
        <v>201</v>
      </c>
      <c r="BI210" s="8" t="s">
        <v>201</v>
      </c>
      <c r="BJ210" s="8" t="s">
        <v>201</v>
      </c>
      <c r="BK210" s="8" t="s">
        <v>201</v>
      </c>
      <c r="BL210" s="8"/>
      <c r="BM210" s="8"/>
      <c r="BN210" s="8"/>
      <c r="BO210" s="8"/>
      <c r="BP210" s="8"/>
      <c r="BQ210" s="8" t="s">
        <v>25</v>
      </c>
      <c r="BR210" s="8" t="s">
        <v>202</v>
      </c>
      <c r="BS210" s="10">
        <v>20218827966</v>
      </c>
      <c r="BT210" s="8"/>
      <c r="BU210" s="8" t="s">
        <v>27</v>
      </c>
      <c r="BV210" s="8" t="s">
        <v>27</v>
      </c>
      <c r="BW210" s="8" t="s">
        <v>27</v>
      </c>
      <c r="BX210" s="8" t="s">
        <v>27</v>
      </c>
      <c r="BY210" s="8" t="s">
        <v>27</v>
      </c>
      <c r="BZ210" s="8" t="s">
        <v>27</v>
      </c>
      <c r="CA210" s="8"/>
      <c r="CB210" s="8"/>
      <c r="CC210" s="8"/>
      <c r="CD210" s="8"/>
      <c r="CE210" s="8"/>
      <c r="CF210" s="8"/>
      <c r="CG210" s="8" t="s">
        <v>29</v>
      </c>
    </row>
    <row r="211" spans="1:85" ht="15.75" customHeight="1" x14ac:dyDescent="0.35">
      <c r="A211" s="8">
        <v>204</v>
      </c>
      <c r="B211" s="8" t="s">
        <v>343</v>
      </c>
      <c r="C211" s="9">
        <v>3.6999999999999998E-5</v>
      </c>
      <c r="D211" s="9">
        <v>4.5000000000000003E-5</v>
      </c>
      <c r="E211" s="9">
        <v>3.4E-5</v>
      </c>
      <c r="F211" s="9">
        <v>3.8999999999999999E-5</v>
      </c>
      <c r="G211" s="9">
        <v>0</v>
      </c>
      <c r="H211" s="9">
        <v>0</v>
      </c>
      <c r="I211" s="8"/>
      <c r="J211" s="8"/>
      <c r="K211" s="8"/>
      <c r="L211" s="8"/>
      <c r="M211" s="8"/>
      <c r="N211" s="10">
        <v>3405000</v>
      </c>
      <c r="O211" s="10">
        <v>4155096</v>
      </c>
      <c r="P211" s="10">
        <v>3121786</v>
      </c>
      <c r="Q211" s="10">
        <v>3597648</v>
      </c>
      <c r="R211" s="10">
        <v>0</v>
      </c>
      <c r="S211" s="10">
        <v>0</v>
      </c>
      <c r="T211" s="8"/>
      <c r="U211" s="8"/>
      <c r="V211" s="8"/>
      <c r="W211" s="8"/>
      <c r="X211" s="8"/>
      <c r="Y211" s="12">
        <v>-750096</v>
      </c>
      <c r="Z211" s="13">
        <v>1033310</v>
      </c>
      <c r="AA211" s="12">
        <v>-475862</v>
      </c>
      <c r="AB211" s="13">
        <v>3597648</v>
      </c>
      <c r="AC211" s="11">
        <v>0</v>
      </c>
      <c r="AD211" s="11">
        <v>0</v>
      </c>
      <c r="AE211" s="8"/>
      <c r="AF211" s="8"/>
      <c r="AG211" s="8"/>
      <c r="AH211" s="8"/>
      <c r="AI211" s="8"/>
      <c r="AJ211" s="10">
        <v>17684635225.950001</v>
      </c>
      <c r="AK211" s="10">
        <v>23625314334.700001</v>
      </c>
      <c r="AL211" s="10">
        <v>18886805224.799999</v>
      </c>
      <c r="AM211" s="10">
        <v>17853328165.75</v>
      </c>
      <c r="AN211" s="10">
        <v>0</v>
      </c>
      <c r="AO211" s="10">
        <v>0</v>
      </c>
      <c r="AP211" s="8"/>
      <c r="AQ211" s="8"/>
      <c r="AR211" s="8"/>
      <c r="AS211" s="8"/>
      <c r="AT211" s="8"/>
      <c r="AU211" s="14">
        <v>45747</v>
      </c>
      <c r="AV211" s="14">
        <v>45657</v>
      </c>
      <c r="AW211" s="14">
        <v>45291</v>
      </c>
      <c r="AX211" s="14">
        <v>44926</v>
      </c>
      <c r="AY211" s="14">
        <v>44196</v>
      </c>
      <c r="AZ211" s="14">
        <v>44196</v>
      </c>
      <c r="BA211" s="8"/>
      <c r="BB211" s="8"/>
      <c r="BC211" s="8"/>
      <c r="BD211" s="8"/>
      <c r="BE211" s="8"/>
      <c r="BF211" s="8" t="s">
        <v>35</v>
      </c>
      <c r="BG211" s="8" t="s">
        <v>35</v>
      </c>
      <c r="BH211" s="8" t="s">
        <v>35</v>
      </c>
      <c r="BI211" s="8" t="s">
        <v>35</v>
      </c>
      <c r="BJ211" s="8" t="s">
        <v>35</v>
      </c>
      <c r="BK211" s="8" t="s">
        <v>35</v>
      </c>
      <c r="BL211" s="8"/>
      <c r="BM211" s="8"/>
      <c r="BN211" s="8"/>
      <c r="BO211" s="8"/>
      <c r="BP211" s="8"/>
      <c r="BQ211" s="8" t="s">
        <v>31</v>
      </c>
      <c r="BR211" s="8" t="s">
        <v>36</v>
      </c>
      <c r="BS211" s="10">
        <v>10841391743283.6</v>
      </c>
      <c r="BT211" s="8" t="s">
        <v>61</v>
      </c>
      <c r="BU211" s="8" t="s">
        <v>27</v>
      </c>
      <c r="BV211" s="8" t="s">
        <v>27</v>
      </c>
      <c r="BW211" s="8" t="s">
        <v>43</v>
      </c>
      <c r="BX211" s="8" t="s">
        <v>43</v>
      </c>
      <c r="BY211" s="8" t="s">
        <v>27</v>
      </c>
      <c r="BZ211" s="8" t="s">
        <v>43</v>
      </c>
      <c r="CA211" s="8"/>
      <c r="CB211" s="8"/>
      <c r="CC211" s="8"/>
      <c r="CD211" s="8"/>
      <c r="CE211" s="8"/>
      <c r="CF211" s="8" t="s">
        <v>344</v>
      </c>
      <c r="CG211" s="8" t="s">
        <v>302</v>
      </c>
    </row>
    <row r="212" spans="1:85" ht="15.75" customHeight="1" x14ac:dyDescent="0.35">
      <c r="A212" s="8">
        <v>205</v>
      </c>
      <c r="B212" s="8" t="s">
        <v>345</v>
      </c>
      <c r="C212" s="9">
        <v>3.6000000000000001E-5</v>
      </c>
      <c r="D212" s="9">
        <v>2.6999999999999999E-5</v>
      </c>
      <c r="E212" s="9">
        <v>3.0000000000000001E-5</v>
      </c>
      <c r="F212" s="9">
        <v>2.8E-5</v>
      </c>
      <c r="G212" s="9">
        <v>3.8999999999999999E-5</v>
      </c>
      <c r="H212" s="9">
        <v>3.1999999999999999E-5</v>
      </c>
      <c r="I212" s="9">
        <v>4.3000000000000002E-5</v>
      </c>
      <c r="J212" s="9">
        <v>4.6E-5</v>
      </c>
      <c r="K212" s="9">
        <v>3.1000000000000001E-5</v>
      </c>
      <c r="L212" s="9">
        <v>3.0000000000000001E-5</v>
      </c>
      <c r="M212" s="9">
        <v>4.1E-5</v>
      </c>
      <c r="N212" s="10">
        <v>3336190</v>
      </c>
      <c r="O212" s="10">
        <v>2503289</v>
      </c>
      <c r="P212" s="10">
        <v>2804607</v>
      </c>
      <c r="Q212" s="10">
        <v>2586962</v>
      </c>
      <c r="R212" s="10">
        <v>3612742</v>
      </c>
      <c r="S212" s="10">
        <v>2916948</v>
      </c>
      <c r="T212" s="10">
        <v>3936536</v>
      </c>
      <c r="U212" s="10">
        <v>4218360</v>
      </c>
      <c r="V212" s="10">
        <v>2890106</v>
      </c>
      <c r="W212" s="10">
        <v>2796712</v>
      </c>
      <c r="X212" s="10">
        <v>3787788</v>
      </c>
      <c r="Y212" s="13">
        <v>832901</v>
      </c>
      <c r="Z212" s="12">
        <v>-301318</v>
      </c>
      <c r="AA212" s="13">
        <v>217645</v>
      </c>
      <c r="AB212" s="12">
        <v>-1025780</v>
      </c>
      <c r="AC212" s="13">
        <v>695794</v>
      </c>
      <c r="AD212" s="12">
        <v>-1019588</v>
      </c>
      <c r="AE212" s="12">
        <v>-281824</v>
      </c>
      <c r="AF212" s="13">
        <v>1328254</v>
      </c>
      <c r="AG212" s="13">
        <v>93394</v>
      </c>
      <c r="AH212" s="12">
        <v>-991076</v>
      </c>
      <c r="AI212" s="13">
        <v>664604</v>
      </c>
      <c r="AJ212" s="10">
        <v>14674831885</v>
      </c>
      <c r="AK212" s="10">
        <v>14233362993.4</v>
      </c>
      <c r="AL212" s="10">
        <v>16967872357.299999</v>
      </c>
      <c r="AM212" s="10">
        <v>12837798915.15</v>
      </c>
      <c r="AN212" s="10">
        <v>12676412685</v>
      </c>
      <c r="AO212" s="10">
        <v>9224848058.3999996</v>
      </c>
      <c r="AP212" s="10">
        <v>15063047503.6</v>
      </c>
      <c r="AQ212" s="10">
        <v>15362833181.25</v>
      </c>
      <c r="AR212" s="10">
        <v>11560423986</v>
      </c>
      <c r="AS212" s="10">
        <v>8092985323.8000002</v>
      </c>
      <c r="AT212" s="10">
        <v>8762438007</v>
      </c>
      <c r="AU212" s="14">
        <v>45930</v>
      </c>
      <c r="AV212" s="14">
        <v>45657</v>
      </c>
      <c r="AW212" s="14">
        <v>45291</v>
      </c>
      <c r="AX212" s="14">
        <v>44926</v>
      </c>
      <c r="AY212" s="14">
        <v>44561</v>
      </c>
      <c r="AZ212" s="14">
        <v>44196</v>
      </c>
      <c r="BA212" s="14">
        <v>43830</v>
      </c>
      <c r="BB212" s="14">
        <v>43465</v>
      </c>
      <c r="BC212" s="14">
        <v>43100</v>
      </c>
      <c r="BD212" s="14">
        <v>42735</v>
      </c>
      <c r="BE212" s="14">
        <v>42369</v>
      </c>
      <c r="BF212" s="8" t="s">
        <v>35</v>
      </c>
      <c r="BG212" s="8" t="s">
        <v>35</v>
      </c>
      <c r="BH212" s="8" t="s">
        <v>35</v>
      </c>
      <c r="BI212" s="8" t="s">
        <v>35</v>
      </c>
      <c r="BJ212" s="8" t="s">
        <v>35</v>
      </c>
      <c r="BK212" s="8" t="s">
        <v>35</v>
      </c>
      <c r="BL212" s="8" t="s">
        <v>35</v>
      </c>
      <c r="BM212" s="8" t="s">
        <v>35</v>
      </c>
      <c r="BN212" s="8" t="s">
        <v>35</v>
      </c>
      <c r="BO212" s="8" t="s">
        <v>35</v>
      </c>
      <c r="BP212" s="8" t="s">
        <v>35</v>
      </c>
      <c r="BQ212" s="8" t="s">
        <v>31</v>
      </c>
      <c r="BR212" s="8" t="s">
        <v>49</v>
      </c>
      <c r="BS212" s="10">
        <v>799600828014617</v>
      </c>
      <c r="BT212" s="8" t="s">
        <v>61</v>
      </c>
      <c r="BU212" s="8" t="s">
        <v>27</v>
      </c>
      <c r="BV212" s="8" t="s">
        <v>42</v>
      </c>
      <c r="BW212" s="8" t="s">
        <v>27</v>
      </c>
      <c r="BX212" s="8" t="s">
        <v>42</v>
      </c>
      <c r="BY212" s="8" t="s">
        <v>42</v>
      </c>
      <c r="BZ212" s="8" t="s">
        <v>42</v>
      </c>
      <c r="CA212" s="8" t="s">
        <v>43</v>
      </c>
      <c r="CB212" s="8" t="s">
        <v>42</v>
      </c>
      <c r="CC212" s="8" t="s">
        <v>43</v>
      </c>
      <c r="CD212" s="8" t="s">
        <v>42</v>
      </c>
      <c r="CE212" s="8" t="s">
        <v>42</v>
      </c>
      <c r="CF212" s="8" t="s">
        <v>346</v>
      </c>
      <c r="CG212" s="8" t="s">
        <v>347</v>
      </c>
    </row>
    <row r="213" spans="1:85" ht="15.75" customHeight="1" x14ac:dyDescent="0.35">
      <c r="A213" s="8">
        <v>206</v>
      </c>
      <c r="B213" s="8" t="s">
        <v>348</v>
      </c>
      <c r="C213" s="9">
        <v>3.4E-5</v>
      </c>
      <c r="D213" s="9">
        <v>3.4E-5</v>
      </c>
      <c r="E213" s="8"/>
      <c r="F213" s="8"/>
      <c r="G213" s="8"/>
      <c r="H213" s="8"/>
      <c r="I213" s="8"/>
      <c r="J213" s="8"/>
      <c r="K213" s="8"/>
      <c r="L213" s="8"/>
      <c r="M213" s="8"/>
      <c r="N213" s="10">
        <v>3146700</v>
      </c>
      <c r="O213" s="10">
        <v>3146700</v>
      </c>
      <c r="P213" s="8"/>
      <c r="Q213" s="8"/>
      <c r="R213" s="8"/>
      <c r="S213" s="8"/>
      <c r="T213" s="8"/>
      <c r="U213" s="8"/>
      <c r="V213" s="8"/>
      <c r="W213" s="8"/>
      <c r="X213" s="8"/>
      <c r="Y213" s="11">
        <v>0</v>
      </c>
      <c r="Z213" s="13">
        <v>3146700</v>
      </c>
      <c r="AA213" s="8"/>
      <c r="AB213" s="8"/>
      <c r="AC213" s="8"/>
      <c r="AD213" s="8"/>
      <c r="AE213" s="8"/>
      <c r="AF213" s="8"/>
      <c r="AG213" s="8"/>
      <c r="AH213" s="8"/>
      <c r="AI213" s="8"/>
      <c r="AJ213" s="10">
        <v>20138879972.400002</v>
      </c>
      <c r="AK213" s="10">
        <v>20138879972.400002</v>
      </c>
      <c r="AL213" s="8"/>
      <c r="AM213" s="8"/>
      <c r="AN213" s="8"/>
      <c r="AO213" s="8"/>
      <c r="AP213" s="8"/>
      <c r="AQ213" s="8"/>
      <c r="AR213" s="8"/>
      <c r="AS213" s="8"/>
      <c r="AT213" s="8"/>
      <c r="AU213" s="14">
        <v>45504</v>
      </c>
      <c r="AV213" s="14">
        <v>45504</v>
      </c>
      <c r="AW213" s="8"/>
      <c r="AX213" s="8"/>
      <c r="AY213" s="8"/>
      <c r="AZ213" s="8"/>
      <c r="BA213" s="8"/>
      <c r="BB213" s="8"/>
      <c r="BC213" s="8"/>
      <c r="BD213" s="8"/>
      <c r="BE213" s="8"/>
      <c r="BF213" s="8" t="s">
        <v>35</v>
      </c>
      <c r="BG213" s="8" t="s">
        <v>35</v>
      </c>
      <c r="BH213" s="8"/>
      <c r="BI213" s="8"/>
      <c r="BJ213" s="8"/>
      <c r="BK213" s="8"/>
      <c r="BL213" s="8"/>
      <c r="BM213" s="8"/>
      <c r="BN213" s="8"/>
      <c r="BO213" s="8"/>
      <c r="BP213" s="8"/>
      <c r="BQ213" s="8" t="s">
        <v>31</v>
      </c>
      <c r="BR213" s="8" t="s">
        <v>36</v>
      </c>
      <c r="BS213" s="10">
        <v>443108609308961</v>
      </c>
      <c r="BT213" s="8"/>
      <c r="BU213" s="8" t="s">
        <v>27</v>
      </c>
      <c r="BV213" s="8" t="s">
        <v>27</v>
      </c>
      <c r="BW213" s="8"/>
      <c r="BX213" s="8"/>
      <c r="BY213" s="8"/>
      <c r="BZ213" s="8"/>
      <c r="CA213" s="8"/>
      <c r="CB213" s="8"/>
      <c r="CC213" s="8"/>
      <c r="CD213" s="8"/>
      <c r="CE213" s="8"/>
      <c r="CF213" s="8" t="s">
        <v>65</v>
      </c>
      <c r="CG213" s="8" t="s">
        <v>65</v>
      </c>
    </row>
    <row r="214" spans="1:85" ht="15.75" hidden="1" customHeight="1" x14ac:dyDescent="0.35">
      <c r="A214" s="8">
        <v>207</v>
      </c>
      <c r="B214" s="8" t="s">
        <v>349</v>
      </c>
      <c r="C214" s="9">
        <v>3.4E-5</v>
      </c>
      <c r="D214" s="9">
        <v>3.4E-5</v>
      </c>
      <c r="E214" s="9">
        <v>1.8E-5</v>
      </c>
      <c r="F214" s="9">
        <v>9.0000000000000002E-6</v>
      </c>
      <c r="G214" s="9">
        <v>3.9999999999999998E-6</v>
      </c>
      <c r="H214" s="9">
        <v>0</v>
      </c>
      <c r="I214" s="8"/>
      <c r="J214" s="8"/>
      <c r="K214" s="8"/>
      <c r="L214" s="8"/>
      <c r="M214" s="8"/>
      <c r="N214" s="10">
        <v>3116400</v>
      </c>
      <c r="O214" s="10">
        <v>3116400</v>
      </c>
      <c r="P214" s="10">
        <v>1703900</v>
      </c>
      <c r="Q214" s="10">
        <v>792600</v>
      </c>
      <c r="R214" s="10">
        <v>353800</v>
      </c>
      <c r="S214" s="10">
        <v>0</v>
      </c>
      <c r="T214" s="8"/>
      <c r="U214" s="8"/>
      <c r="V214" s="8"/>
      <c r="W214" s="8"/>
      <c r="X214" s="8"/>
      <c r="Y214" s="11">
        <v>0</v>
      </c>
      <c r="Z214" s="13">
        <v>1412500</v>
      </c>
      <c r="AA214" s="13">
        <v>911300</v>
      </c>
      <c r="AB214" s="13">
        <v>438800</v>
      </c>
      <c r="AC214" s="13">
        <v>353800</v>
      </c>
      <c r="AD214" s="11">
        <v>0</v>
      </c>
      <c r="AE214" s="8"/>
      <c r="AF214" s="8"/>
      <c r="AG214" s="8"/>
      <c r="AH214" s="8"/>
      <c r="AI214" s="8"/>
      <c r="AJ214" s="10">
        <v>17719429151.200001</v>
      </c>
      <c r="AK214" s="10">
        <v>17719429151.200001</v>
      </c>
      <c r="AL214" s="10">
        <v>10308594992.549999</v>
      </c>
      <c r="AM214" s="10">
        <v>3933277523.4499998</v>
      </c>
      <c r="AN214" s="10">
        <v>1241415682.5</v>
      </c>
      <c r="AO214" s="10">
        <v>0</v>
      </c>
      <c r="AP214" s="8"/>
      <c r="AQ214" s="8"/>
      <c r="AR214" s="8"/>
      <c r="AS214" s="8"/>
      <c r="AT214" s="8"/>
      <c r="AU214" s="14">
        <v>45657</v>
      </c>
      <c r="AV214" s="14">
        <v>45657</v>
      </c>
      <c r="AW214" s="14">
        <v>45291</v>
      </c>
      <c r="AX214" s="14">
        <v>44926</v>
      </c>
      <c r="AY214" s="14">
        <v>44561</v>
      </c>
      <c r="AZ214" s="14">
        <v>44012</v>
      </c>
      <c r="BA214" s="8"/>
      <c r="BB214" s="8"/>
      <c r="BC214" s="8"/>
      <c r="BD214" s="8"/>
      <c r="BE214" s="8"/>
      <c r="BF214" s="8" t="s">
        <v>201</v>
      </c>
      <c r="BG214" s="8" t="s">
        <v>201</v>
      </c>
      <c r="BH214" s="8" t="s">
        <v>201</v>
      </c>
      <c r="BI214" s="8" t="s">
        <v>201</v>
      </c>
      <c r="BJ214" s="8" t="s">
        <v>201</v>
      </c>
      <c r="BK214" s="8" t="s">
        <v>201</v>
      </c>
      <c r="BL214" s="8"/>
      <c r="BM214" s="8"/>
      <c r="BN214" s="8"/>
      <c r="BO214" s="8"/>
      <c r="BP214" s="8"/>
      <c r="BQ214" s="8" t="s">
        <v>25</v>
      </c>
      <c r="BR214" s="8" t="s">
        <v>202</v>
      </c>
      <c r="BS214" s="10">
        <v>18369178262.400002</v>
      </c>
      <c r="BT214" s="8"/>
      <c r="BU214" s="8" t="s">
        <v>27</v>
      </c>
      <c r="BV214" s="8" t="s">
        <v>27</v>
      </c>
      <c r="BW214" s="8" t="s">
        <v>27</v>
      </c>
      <c r="BX214" s="8" t="s">
        <v>27</v>
      </c>
      <c r="BY214" s="8" t="s">
        <v>27</v>
      </c>
      <c r="BZ214" s="8" t="s">
        <v>43</v>
      </c>
      <c r="CA214" s="8"/>
      <c r="CB214" s="8"/>
      <c r="CC214" s="8"/>
      <c r="CD214" s="8"/>
      <c r="CE214" s="8"/>
      <c r="CF214" s="8"/>
      <c r="CG214" s="8" t="s">
        <v>29</v>
      </c>
    </row>
    <row r="215" spans="1:85" ht="15.75" hidden="1" customHeight="1" x14ac:dyDescent="0.35">
      <c r="A215" s="8">
        <v>208</v>
      </c>
      <c r="B215" s="8" t="s">
        <v>350</v>
      </c>
      <c r="C215" s="9">
        <v>3.4E-5</v>
      </c>
      <c r="D215" s="9">
        <v>3.4E-5</v>
      </c>
      <c r="E215" s="9">
        <v>1.8E-5</v>
      </c>
      <c r="F215" s="9">
        <v>9.0000000000000002E-6</v>
      </c>
      <c r="G215" s="9">
        <v>3.9999999999999998E-6</v>
      </c>
      <c r="H215" s="8"/>
      <c r="I215" s="8"/>
      <c r="J215" s="8"/>
      <c r="K215" s="8"/>
      <c r="L215" s="8"/>
      <c r="M215" s="8"/>
      <c r="N215" s="10">
        <v>3116400</v>
      </c>
      <c r="O215" s="10">
        <v>3116400</v>
      </c>
      <c r="P215" s="10">
        <v>1703900</v>
      </c>
      <c r="Q215" s="10">
        <v>792600</v>
      </c>
      <c r="R215" s="10">
        <v>353800</v>
      </c>
      <c r="S215" s="8"/>
      <c r="T215" s="8"/>
      <c r="U215" s="8"/>
      <c r="V215" s="8"/>
      <c r="W215" s="8"/>
      <c r="X215" s="8"/>
      <c r="Y215" s="11">
        <v>0</v>
      </c>
      <c r="Z215" s="13">
        <v>1412500</v>
      </c>
      <c r="AA215" s="13">
        <v>911300</v>
      </c>
      <c r="AB215" s="13">
        <v>438800</v>
      </c>
      <c r="AC215" s="13">
        <v>353800</v>
      </c>
      <c r="AD215" s="8"/>
      <c r="AE215" s="8"/>
      <c r="AF215" s="8"/>
      <c r="AG215" s="8"/>
      <c r="AH215" s="8"/>
      <c r="AI215" s="8"/>
      <c r="AJ215" s="10">
        <v>17719429151.200001</v>
      </c>
      <c r="AK215" s="10">
        <v>17719429151.200001</v>
      </c>
      <c r="AL215" s="10">
        <v>10308594992.549999</v>
      </c>
      <c r="AM215" s="10">
        <v>3933277523.4499998</v>
      </c>
      <c r="AN215" s="10">
        <v>1241415682.5</v>
      </c>
      <c r="AO215" s="8"/>
      <c r="AP215" s="8"/>
      <c r="AQ215" s="8"/>
      <c r="AR215" s="8"/>
      <c r="AS215" s="8"/>
      <c r="AT215" s="8"/>
      <c r="AU215" s="14">
        <v>45657</v>
      </c>
      <c r="AV215" s="14">
        <v>45657</v>
      </c>
      <c r="AW215" s="14">
        <v>45291</v>
      </c>
      <c r="AX215" s="14">
        <v>44926</v>
      </c>
      <c r="AY215" s="14">
        <v>44561</v>
      </c>
      <c r="AZ215" s="8"/>
      <c r="BA215" s="8"/>
      <c r="BB215" s="8"/>
      <c r="BC215" s="8"/>
      <c r="BD215" s="8"/>
      <c r="BE215" s="8"/>
      <c r="BF215" s="8" t="s">
        <v>201</v>
      </c>
      <c r="BG215" s="8" t="s">
        <v>201</v>
      </c>
      <c r="BH215" s="8" t="s">
        <v>201</v>
      </c>
      <c r="BI215" s="8" t="s">
        <v>201</v>
      </c>
      <c r="BJ215" s="8" t="s">
        <v>201</v>
      </c>
      <c r="BK215" s="8"/>
      <c r="BL215" s="8"/>
      <c r="BM215" s="8"/>
      <c r="BN215" s="8"/>
      <c r="BO215" s="8"/>
      <c r="BP215" s="8"/>
      <c r="BQ215" s="8" t="s">
        <v>25</v>
      </c>
      <c r="BR215" s="8" t="s">
        <v>202</v>
      </c>
      <c r="BS215" s="10">
        <v>18369178262.400002</v>
      </c>
      <c r="BT215" s="8"/>
      <c r="BU215" s="8" t="s">
        <v>27</v>
      </c>
      <c r="BV215" s="8" t="s">
        <v>27</v>
      </c>
      <c r="BW215" s="8" t="s">
        <v>27</v>
      </c>
      <c r="BX215" s="8" t="s">
        <v>27</v>
      </c>
      <c r="BY215" s="8" t="s">
        <v>27</v>
      </c>
      <c r="BZ215" s="8"/>
      <c r="CA215" s="8"/>
      <c r="CB215" s="8"/>
      <c r="CC215" s="8"/>
      <c r="CD215" s="8"/>
      <c r="CE215" s="8"/>
      <c r="CF215" s="8"/>
      <c r="CG215" s="8" t="s">
        <v>29</v>
      </c>
    </row>
    <row r="216" spans="1:85" ht="15.75" customHeight="1" x14ac:dyDescent="0.35">
      <c r="A216" s="8">
        <v>209</v>
      </c>
      <c r="B216" s="8" t="s">
        <v>351</v>
      </c>
      <c r="C216" s="9">
        <v>3.4E-5</v>
      </c>
      <c r="D216" s="9">
        <v>4.8999999999999998E-5</v>
      </c>
      <c r="E216" s="9">
        <v>6.0999999999999999E-5</v>
      </c>
      <c r="F216" s="9">
        <v>8.0000000000000007E-5</v>
      </c>
      <c r="G216" s="9">
        <v>1.22E-4</v>
      </c>
      <c r="H216" s="9">
        <v>1.05E-4</v>
      </c>
      <c r="I216" s="9">
        <v>9.8999999999999994E-5</v>
      </c>
      <c r="J216" s="9">
        <v>1.9000000000000001E-4</v>
      </c>
      <c r="K216" s="9">
        <v>1.9599999999999999E-4</v>
      </c>
      <c r="L216" s="9">
        <v>1.3300000000000001E-4</v>
      </c>
      <c r="M216" s="9">
        <v>1.13E-4</v>
      </c>
      <c r="N216" s="10">
        <v>3114454</v>
      </c>
      <c r="O216" s="10">
        <v>4561061</v>
      </c>
      <c r="P216" s="10">
        <v>5664988</v>
      </c>
      <c r="Q216" s="10">
        <v>7434144</v>
      </c>
      <c r="R216" s="10">
        <v>11313396</v>
      </c>
      <c r="S216" s="10">
        <v>9724794</v>
      </c>
      <c r="T216" s="10">
        <v>9174588</v>
      </c>
      <c r="U216" s="10">
        <v>17555128</v>
      </c>
      <c r="V216" s="10">
        <v>18092388</v>
      </c>
      <c r="W216" s="10">
        <v>12248000</v>
      </c>
      <c r="X216" s="10">
        <v>10474800</v>
      </c>
      <c r="Y216" s="12">
        <v>-1446607</v>
      </c>
      <c r="Z216" s="12">
        <v>-1103927</v>
      </c>
      <c r="AA216" s="12">
        <v>-1769156</v>
      </c>
      <c r="AB216" s="12">
        <v>-3879252</v>
      </c>
      <c r="AC216" s="13">
        <v>1588602</v>
      </c>
      <c r="AD216" s="13">
        <v>550206</v>
      </c>
      <c r="AE216" s="12">
        <v>-8380540</v>
      </c>
      <c r="AF216" s="12">
        <v>-537260</v>
      </c>
      <c r="AG216" s="13">
        <v>5844388</v>
      </c>
      <c r="AH216" s="13">
        <v>1773200</v>
      </c>
      <c r="AI216" s="13">
        <v>118000</v>
      </c>
      <c r="AJ216" s="10">
        <v>14862092467.950001</v>
      </c>
      <c r="AK216" s="10">
        <v>25933576402.5</v>
      </c>
      <c r="AL216" s="10">
        <v>34273177404.950001</v>
      </c>
      <c r="AM216" s="10">
        <v>36891939642.25</v>
      </c>
      <c r="AN216" s="10">
        <v>39696517695</v>
      </c>
      <c r="AO216" s="10">
        <v>30754660996.799999</v>
      </c>
      <c r="AP216" s="10">
        <v>35106310489.199997</v>
      </c>
      <c r="AQ216" s="10">
        <v>60126313504</v>
      </c>
      <c r="AR216" s="10">
        <v>72369551997.300003</v>
      </c>
      <c r="AS216" s="10">
        <v>35136449976.389999</v>
      </c>
      <c r="AT216" s="10">
        <v>24231764159.549999</v>
      </c>
      <c r="AU216" s="14">
        <v>45900</v>
      </c>
      <c r="AV216" s="14">
        <v>45657</v>
      </c>
      <c r="AW216" s="14">
        <v>45291</v>
      </c>
      <c r="AX216" s="14">
        <v>44926</v>
      </c>
      <c r="AY216" s="14">
        <v>44561</v>
      </c>
      <c r="AZ216" s="14">
        <v>44196</v>
      </c>
      <c r="BA216" s="14">
        <v>43830</v>
      </c>
      <c r="BB216" s="14">
        <v>43404</v>
      </c>
      <c r="BC216" s="14">
        <v>43100</v>
      </c>
      <c r="BD216" s="14">
        <v>42674</v>
      </c>
      <c r="BE216" s="14">
        <v>42369</v>
      </c>
      <c r="BF216" s="8" t="s">
        <v>35</v>
      </c>
      <c r="BG216" s="8" t="s">
        <v>35</v>
      </c>
      <c r="BH216" s="8" t="s">
        <v>35</v>
      </c>
      <c r="BI216" s="8" t="s">
        <v>35</v>
      </c>
      <c r="BJ216" s="8" t="s">
        <v>35</v>
      </c>
      <c r="BK216" s="8" t="s">
        <v>35</v>
      </c>
      <c r="BL216" s="8" t="s">
        <v>35</v>
      </c>
      <c r="BM216" s="8" t="s">
        <v>35</v>
      </c>
      <c r="BN216" s="8" t="s">
        <v>35</v>
      </c>
      <c r="BO216" s="8" t="s">
        <v>35</v>
      </c>
      <c r="BP216" s="8" t="s">
        <v>35</v>
      </c>
      <c r="BQ216" s="8" t="s">
        <v>31</v>
      </c>
      <c r="BR216" s="8" t="s">
        <v>36</v>
      </c>
      <c r="BS216" s="10">
        <v>5516415196661250</v>
      </c>
      <c r="BT216" s="8" t="s">
        <v>41</v>
      </c>
      <c r="BU216" s="8" t="s">
        <v>27</v>
      </c>
      <c r="BV216" s="8" t="s">
        <v>27</v>
      </c>
      <c r="BW216" s="8" t="s">
        <v>27</v>
      </c>
      <c r="BX216" s="8" t="s">
        <v>27</v>
      </c>
      <c r="BY216" s="8" t="s">
        <v>27</v>
      </c>
      <c r="BZ216" s="8" t="s">
        <v>43</v>
      </c>
      <c r="CA216" s="8" t="s">
        <v>27</v>
      </c>
      <c r="CB216" s="8" t="s">
        <v>27</v>
      </c>
      <c r="CC216" s="8" t="s">
        <v>27</v>
      </c>
      <c r="CD216" s="8" t="s">
        <v>27</v>
      </c>
      <c r="CE216" s="8" t="s">
        <v>27</v>
      </c>
      <c r="CF216" s="8" t="s">
        <v>352</v>
      </c>
      <c r="CG216" s="8" t="s">
        <v>181</v>
      </c>
    </row>
    <row r="217" spans="1:85" ht="15.75" customHeight="1" x14ac:dyDescent="0.35">
      <c r="A217" s="8">
        <v>210</v>
      </c>
      <c r="B217" s="8" t="s">
        <v>353</v>
      </c>
      <c r="C217" s="9">
        <v>3.1999999999999999E-5</v>
      </c>
      <c r="D217" s="9">
        <v>0</v>
      </c>
      <c r="E217" s="9">
        <v>9.7E-5</v>
      </c>
      <c r="F217" s="9">
        <v>3.2699999999999998E-4</v>
      </c>
      <c r="G217" s="9">
        <v>2.2599999999999999E-4</v>
      </c>
      <c r="H217" s="8"/>
      <c r="I217" s="8"/>
      <c r="J217" s="8"/>
      <c r="K217" s="8"/>
      <c r="L217" s="8"/>
      <c r="M217" s="8"/>
      <c r="N217" s="10">
        <v>2944900</v>
      </c>
      <c r="O217" s="10">
        <v>0</v>
      </c>
      <c r="P217" s="10">
        <v>8984100</v>
      </c>
      <c r="Q217" s="10">
        <v>30244600</v>
      </c>
      <c r="R217" s="10">
        <v>20882800</v>
      </c>
      <c r="S217" s="8"/>
      <c r="T217" s="8"/>
      <c r="U217" s="8"/>
      <c r="V217" s="8"/>
      <c r="W217" s="8"/>
      <c r="X217" s="8"/>
      <c r="Y217" s="13">
        <v>2944900</v>
      </c>
      <c r="Z217" s="12">
        <v>-8984100</v>
      </c>
      <c r="AA217" s="12">
        <v>-21260500</v>
      </c>
      <c r="AB217" s="13">
        <v>9361800</v>
      </c>
      <c r="AC217" s="13">
        <v>20882800</v>
      </c>
      <c r="AD217" s="8"/>
      <c r="AE217" s="8"/>
      <c r="AF217" s="8"/>
      <c r="AG217" s="8"/>
      <c r="AH217" s="8"/>
      <c r="AI217" s="8"/>
      <c r="AJ217" s="10">
        <v>12953672291</v>
      </c>
      <c r="AK217" s="10">
        <v>0</v>
      </c>
      <c r="AL217" s="10">
        <v>54353804993.199997</v>
      </c>
      <c r="AM217" s="10">
        <v>150088827689.35001</v>
      </c>
      <c r="AN217" s="10">
        <v>73273704772.5</v>
      </c>
      <c r="AO217" s="8"/>
      <c r="AP217" s="8"/>
      <c r="AQ217" s="8"/>
      <c r="AR217" s="8"/>
      <c r="AS217" s="8"/>
      <c r="AT217" s="8"/>
      <c r="AU217" s="14">
        <v>45930</v>
      </c>
      <c r="AV217" s="14">
        <v>45565</v>
      </c>
      <c r="AW217" s="14">
        <v>45291</v>
      </c>
      <c r="AX217" s="14">
        <v>44926</v>
      </c>
      <c r="AY217" s="14">
        <v>44561</v>
      </c>
      <c r="AZ217" s="8"/>
      <c r="BA217" s="8"/>
      <c r="BB217" s="8"/>
      <c r="BC217" s="8"/>
      <c r="BD217" s="8"/>
      <c r="BE217" s="8"/>
      <c r="BF217" s="8" t="s">
        <v>35</v>
      </c>
      <c r="BG217" s="8" t="s">
        <v>35</v>
      </c>
      <c r="BH217" s="8" t="s">
        <v>35</v>
      </c>
      <c r="BI217" s="8" t="s">
        <v>35</v>
      </c>
      <c r="BJ217" s="8" t="s">
        <v>35</v>
      </c>
      <c r="BK217" s="8"/>
      <c r="BL217" s="8"/>
      <c r="BM217" s="8"/>
      <c r="BN217" s="8"/>
      <c r="BO217" s="8"/>
      <c r="BP217" s="8"/>
      <c r="BQ217" s="8" t="s">
        <v>31</v>
      </c>
      <c r="BR217" s="8" t="s">
        <v>49</v>
      </c>
      <c r="BS217" s="10">
        <v>324817685097266</v>
      </c>
      <c r="BT217" s="8" t="s">
        <v>61</v>
      </c>
      <c r="BU217" s="8" t="s">
        <v>42</v>
      </c>
      <c r="BV217" s="8" t="s">
        <v>42</v>
      </c>
      <c r="BW217" s="8" t="s">
        <v>42</v>
      </c>
      <c r="BX217" s="8" t="s">
        <v>42</v>
      </c>
      <c r="BY217" s="8" t="s">
        <v>42</v>
      </c>
      <c r="BZ217" s="8"/>
      <c r="CA217" s="8"/>
      <c r="CB217" s="8"/>
      <c r="CC217" s="8"/>
      <c r="CD217" s="8"/>
      <c r="CE217" s="8"/>
      <c r="CF217" s="8" t="s">
        <v>284</v>
      </c>
      <c r="CG217" s="8" t="s">
        <v>198</v>
      </c>
    </row>
    <row r="218" spans="1:85" ht="15.75" customHeight="1" x14ac:dyDescent="0.35">
      <c r="A218" s="8">
        <v>211</v>
      </c>
      <c r="B218" s="8" t="s">
        <v>354</v>
      </c>
      <c r="C218" s="9">
        <v>3.1999999999999999E-5</v>
      </c>
      <c r="D218" s="9">
        <v>1.2999999999999999E-5</v>
      </c>
      <c r="E218" s="9">
        <v>7.9999999999999996E-6</v>
      </c>
      <c r="F218" s="8"/>
      <c r="G218" s="8"/>
      <c r="H218" s="8"/>
      <c r="I218" s="8"/>
      <c r="J218" s="8"/>
      <c r="K218" s="8"/>
      <c r="L218" s="8"/>
      <c r="M218" s="8"/>
      <c r="N218" s="10">
        <v>2940100</v>
      </c>
      <c r="O218" s="10">
        <v>1189300</v>
      </c>
      <c r="P218" s="10">
        <v>727700</v>
      </c>
      <c r="Q218" s="8"/>
      <c r="R218" s="8"/>
      <c r="S218" s="8"/>
      <c r="T218" s="8"/>
      <c r="U218" s="8"/>
      <c r="V218" s="8"/>
      <c r="W218" s="8"/>
      <c r="X218" s="8"/>
      <c r="Y218" s="13">
        <v>1750800</v>
      </c>
      <c r="Z218" s="13">
        <v>461600</v>
      </c>
      <c r="AA218" s="13">
        <v>727700</v>
      </c>
      <c r="AB218" s="8"/>
      <c r="AC218" s="8"/>
      <c r="AD218" s="8"/>
      <c r="AE218" s="8"/>
      <c r="AF218" s="8"/>
      <c r="AG218" s="8"/>
      <c r="AH218" s="8"/>
      <c r="AI218" s="8"/>
      <c r="AJ218" s="10">
        <v>12932558739.799999</v>
      </c>
      <c r="AK218" s="10">
        <v>6762199006</v>
      </c>
      <c r="AL218" s="10">
        <v>4402584971.0500002</v>
      </c>
      <c r="AM218" s="8"/>
      <c r="AN218" s="8"/>
      <c r="AO218" s="8"/>
      <c r="AP218" s="8"/>
      <c r="AQ218" s="8"/>
      <c r="AR218" s="8"/>
      <c r="AS218" s="8"/>
      <c r="AT218" s="8"/>
      <c r="AU218" s="14">
        <v>45930</v>
      </c>
      <c r="AV218" s="14">
        <v>45657</v>
      </c>
      <c r="AW218" s="14">
        <v>45291</v>
      </c>
      <c r="AX218" s="8"/>
      <c r="AY218" s="8"/>
      <c r="AZ218" s="8"/>
      <c r="BA218" s="8"/>
      <c r="BB218" s="8"/>
      <c r="BC218" s="8"/>
      <c r="BD218" s="8"/>
      <c r="BE218" s="8"/>
      <c r="BF218" s="8" t="s">
        <v>35</v>
      </c>
      <c r="BG218" s="8" t="s">
        <v>35</v>
      </c>
      <c r="BH218" s="8" t="s">
        <v>35</v>
      </c>
      <c r="BI218" s="8"/>
      <c r="BJ218" s="8"/>
      <c r="BK218" s="8"/>
      <c r="BL218" s="8"/>
      <c r="BM218" s="8"/>
      <c r="BN218" s="8"/>
      <c r="BO218" s="8"/>
      <c r="BP218" s="8"/>
      <c r="BQ218" s="8" t="s">
        <v>31</v>
      </c>
      <c r="BR218" s="8" t="s">
        <v>355</v>
      </c>
      <c r="BS218" s="10">
        <v>10180934929854</v>
      </c>
      <c r="BT218" s="8" t="s">
        <v>356</v>
      </c>
      <c r="BU218" s="8" t="s">
        <v>27</v>
      </c>
      <c r="BV218" s="8" t="s">
        <v>27</v>
      </c>
      <c r="BW218" s="8" t="s">
        <v>42</v>
      </c>
      <c r="BX218" s="8"/>
      <c r="BY218" s="8"/>
      <c r="BZ218" s="8"/>
      <c r="CA218" s="8"/>
      <c r="CB218" s="8"/>
      <c r="CC218" s="8"/>
      <c r="CD218" s="8"/>
      <c r="CE218" s="8"/>
      <c r="CF218" s="8" t="s">
        <v>357</v>
      </c>
      <c r="CG218" s="8" t="s">
        <v>51</v>
      </c>
    </row>
    <row r="219" spans="1:85" ht="15.75" customHeight="1" x14ac:dyDescent="0.35">
      <c r="A219" s="8">
        <v>212</v>
      </c>
      <c r="B219" s="8" t="s">
        <v>358</v>
      </c>
      <c r="C219" s="9">
        <v>3.1000000000000001E-5</v>
      </c>
      <c r="D219" s="9">
        <v>3.1999999999999999E-5</v>
      </c>
      <c r="E219" s="9">
        <v>6.0999999999999999E-5</v>
      </c>
      <c r="F219" s="9">
        <v>8.3999999999999995E-5</v>
      </c>
      <c r="G219" s="8"/>
      <c r="H219" s="8"/>
      <c r="I219" s="8"/>
      <c r="J219" s="8"/>
      <c r="K219" s="9">
        <v>0</v>
      </c>
      <c r="L219" s="9">
        <v>0</v>
      </c>
      <c r="M219" s="9">
        <v>3.3000000000000003E-5</v>
      </c>
      <c r="N219" s="10">
        <v>2850000</v>
      </c>
      <c r="O219" s="10">
        <v>3000000</v>
      </c>
      <c r="P219" s="10">
        <v>5602662</v>
      </c>
      <c r="Q219" s="10">
        <v>7790766</v>
      </c>
      <c r="R219" s="8"/>
      <c r="S219" s="8"/>
      <c r="T219" s="8"/>
      <c r="U219" s="8"/>
      <c r="V219" s="10">
        <v>0</v>
      </c>
      <c r="W219" s="10">
        <v>0</v>
      </c>
      <c r="X219" s="10">
        <v>3008936</v>
      </c>
      <c r="Y219" s="12">
        <v>-150000</v>
      </c>
      <c r="Z219" s="12">
        <v>-2602662</v>
      </c>
      <c r="AA219" s="12">
        <v>-2188104</v>
      </c>
      <c r="AB219" s="13">
        <v>7790766</v>
      </c>
      <c r="AC219" s="8"/>
      <c r="AD219" s="8"/>
      <c r="AE219" s="8"/>
      <c r="AF219" s="8"/>
      <c r="AG219" s="11">
        <v>0</v>
      </c>
      <c r="AH219" s="12">
        <v>-3008936</v>
      </c>
      <c r="AI219" s="13">
        <v>3008936</v>
      </c>
      <c r="AJ219" s="10">
        <v>12536237665</v>
      </c>
      <c r="AK219" s="10">
        <v>17057594515.1</v>
      </c>
      <c r="AL219" s="10">
        <v>33896105052.799999</v>
      </c>
      <c r="AM219" s="10">
        <v>38661676251</v>
      </c>
      <c r="AN219" s="8"/>
      <c r="AO219" s="8"/>
      <c r="AP219" s="8"/>
      <c r="AQ219" s="8"/>
      <c r="AR219" s="10">
        <v>0</v>
      </c>
      <c r="AS219" s="10">
        <v>0</v>
      </c>
      <c r="AT219" s="10">
        <v>6960689294.5500002</v>
      </c>
      <c r="AU219" s="14">
        <v>45930</v>
      </c>
      <c r="AV219" s="14">
        <v>45657</v>
      </c>
      <c r="AW219" s="14">
        <v>45291</v>
      </c>
      <c r="AX219" s="14">
        <v>44926</v>
      </c>
      <c r="AY219" s="8"/>
      <c r="AZ219" s="8"/>
      <c r="BA219" s="8"/>
      <c r="BB219" s="8"/>
      <c r="BC219" s="14">
        <v>42551</v>
      </c>
      <c r="BD219" s="14">
        <v>42551</v>
      </c>
      <c r="BE219" s="14">
        <v>42369</v>
      </c>
      <c r="BF219" s="8" t="s">
        <v>35</v>
      </c>
      <c r="BG219" s="8" t="s">
        <v>35</v>
      </c>
      <c r="BH219" s="8" t="s">
        <v>35</v>
      </c>
      <c r="BI219" s="8" t="s">
        <v>35</v>
      </c>
      <c r="BJ219" s="8"/>
      <c r="BK219" s="8"/>
      <c r="BL219" s="8"/>
      <c r="BM219" s="8"/>
      <c r="BN219" s="8" t="s">
        <v>35</v>
      </c>
      <c r="BO219" s="8" t="s">
        <v>35</v>
      </c>
      <c r="BP219" s="8" t="s">
        <v>35</v>
      </c>
      <c r="BQ219" s="8" t="s">
        <v>31</v>
      </c>
      <c r="BR219" s="8" t="s">
        <v>36</v>
      </c>
      <c r="BS219" s="10">
        <v>309952667841635</v>
      </c>
      <c r="BT219" s="8" t="s">
        <v>67</v>
      </c>
      <c r="BU219" s="8" t="s">
        <v>42</v>
      </c>
      <c r="BV219" s="8" t="s">
        <v>43</v>
      </c>
      <c r="BW219" s="8" t="s">
        <v>43</v>
      </c>
      <c r="BX219" s="8" t="s">
        <v>43</v>
      </c>
      <c r="BY219" s="8"/>
      <c r="BZ219" s="8"/>
      <c r="CA219" s="8"/>
      <c r="CB219" s="8"/>
      <c r="CC219" s="8" t="s">
        <v>43</v>
      </c>
      <c r="CD219" s="8" t="s">
        <v>43</v>
      </c>
      <c r="CE219" s="8" t="s">
        <v>43</v>
      </c>
      <c r="CF219" s="8" t="s">
        <v>346</v>
      </c>
      <c r="CG219" s="8" t="s">
        <v>347</v>
      </c>
    </row>
    <row r="220" spans="1:85" ht="15.75" customHeight="1" x14ac:dyDescent="0.35">
      <c r="A220" s="8">
        <v>213</v>
      </c>
      <c r="B220" s="8" t="s">
        <v>359</v>
      </c>
      <c r="C220" s="9">
        <v>3.0000000000000001E-5</v>
      </c>
      <c r="D220" s="9">
        <v>3.0000000000000001E-5</v>
      </c>
      <c r="E220" s="9">
        <v>3.8000000000000002E-5</v>
      </c>
      <c r="F220" s="9">
        <v>5.3000000000000001E-5</v>
      </c>
      <c r="G220" s="9">
        <v>7.8999999999999996E-5</v>
      </c>
      <c r="H220" s="9">
        <v>6.7999999999999999E-5</v>
      </c>
      <c r="I220" s="9">
        <v>6.7999999999999999E-5</v>
      </c>
      <c r="J220" s="8"/>
      <c r="K220" s="8"/>
      <c r="L220" s="8"/>
      <c r="M220" s="8"/>
      <c r="N220" s="10">
        <v>2760000</v>
      </c>
      <c r="O220" s="10">
        <v>2760000</v>
      </c>
      <c r="P220" s="10">
        <v>3480000</v>
      </c>
      <c r="Q220" s="10">
        <v>4901400</v>
      </c>
      <c r="R220" s="10">
        <v>7258000</v>
      </c>
      <c r="S220" s="10">
        <v>6258000</v>
      </c>
      <c r="T220" s="10">
        <v>6258000</v>
      </c>
      <c r="U220" s="8"/>
      <c r="V220" s="8"/>
      <c r="W220" s="8"/>
      <c r="X220" s="8"/>
      <c r="Y220" s="11">
        <v>0</v>
      </c>
      <c r="Z220" s="12">
        <v>-720000</v>
      </c>
      <c r="AA220" s="12">
        <v>-1421400</v>
      </c>
      <c r="AB220" s="12">
        <v>-2356600</v>
      </c>
      <c r="AC220" s="13">
        <v>1000000</v>
      </c>
      <c r="AD220" s="11">
        <v>0</v>
      </c>
      <c r="AE220" s="13">
        <v>6258000</v>
      </c>
      <c r="AF220" s="8"/>
      <c r="AG220" s="8"/>
      <c r="AH220" s="8"/>
      <c r="AI220" s="8"/>
      <c r="AJ220" s="10">
        <v>12496980118</v>
      </c>
      <c r="AK220" s="10">
        <v>15692986973.200001</v>
      </c>
      <c r="AL220" s="10">
        <v>21054000017.599998</v>
      </c>
      <c r="AM220" s="10">
        <v>24323197472.75</v>
      </c>
      <c r="AN220" s="10">
        <v>25466917710</v>
      </c>
      <c r="AO220" s="10">
        <v>19790924961.599998</v>
      </c>
      <c r="AP220" s="10">
        <v>23946066230.799999</v>
      </c>
      <c r="AQ220" s="8"/>
      <c r="AR220" s="8"/>
      <c r="AS220" s="8"/>
      <c r="AT220" s="8"/>
      <c r="AU220" s="14">
        <v>45869</v>
      </c>
      <c r="AV220" s="14">
        <v>45657</v>
      </c>
      <c r="AW220" s="14">
        <v>45291</v>
      </c>
      <c r="AX220" s="14">
        <v>44926</v>
      </c>
      <c r="AY220" s="14">
        <v>44561</v>
      </c>
      <c r="AZ220" s="14">
        <v>44196</v>
      </c>
      <c r="BA220" s="14">
        <v>43830</v>
      </c>
      <c r="BB220" s="8"/>
      <c r="BC220" s="8"/>
      <c r="BD220" s="8"/>
      <c r="BE220" s="8"/>
      <c r="BF220" s="8" t="s">
        <v>35</v>
      </c>
      <c r="BG220" s="8" t="s">
        <v>35</v>
      </c>
      <c r="BH220" s="8" t="s">
        <v>35</v>
      </c>
      <c r="BI220" s="8" t="s">
        <v>35</v>
      </c>
      <c r="BJ220" s="8" t="s">
        <v>35</v>
      </c>
      <c r="BK220" s="8" t="s">
        <v>35</v>
      </c>
      <c r="BL220" s="8" t="s">
        <v>35</v>
      </c>
      <c r="BM220" s="8"/>
      <c r="BN220" s="8"/>
      <c r="BO220" s="8"/>
      <c r="BP220" s="8"/>
      <c r="BQ220" s="8" t="s">
        <v>31</v>
      </c>
      <c r="BR220" s="8" t="s">
        <v>36</v>
      </c>
      <c r="BS220" s="10">
        <v>255276843916217</v>
      </c>
      <c r="BT220" s="8" t="s">
        <v>37</v>
      </c>
      <c r="BU220" s="8" t="s">
        <v>27</v>
      </c>
      <c r="BV220" s="8" t="s">
        <v>27</v>
      </c>
      <c r="BW220" s="8" t="s">
        <v>27</v>
      </c>
      <c r="BX220" s="8" t="s">
        <v>27</v>
      </c>
      <c r="BY220" s="8" t="s">
        <v>27</v>
      </c>
      <c r="BZ220" s="8" t="s">
        <v>27</v>
      </c>
      <c r="CA220" s="8" t="s">
        <v>27</v>
      </c>
      <c r="CB220" s="8"/>
      <c r="CC220" s="8"/>
      <c r="CD220" s="8"/>
      <c r="CE220" s="8"/>
      <c r="CF220" s="8" t="s">
        <v>212</v>
      </c>
      <c r="CG220" s="8" t="s">
        <v>213</v>
      </c>
    </row>
    <row r="221" spans="1:85" ht="15.75" customHeight="1" x14ac:dyDescent="0.35">
      <c r="A221" s="8">
        <v>214</v>
      </c>
      <c r="B221" s="8" t="s">
        <v>360</v>
      </c>
      <c r="C221" s="9">
        <v>2.6999999999999999E-5</v>
      </c>
      <c r="D221" s="9">
        <v>2.6999999999999999E-5</v>
      </c>
      <c r="E221" s="9">
        <v>4.7399999999999997E-4</v>
      </c>
      <c r="F221" s="9">
        <v>4.6099999999999998E-4</v>
      </c>
      <c r="G221" s="9">
        <v>8.4199999999999998E-4</v>
      </c>
      <c r="H221" s="9">
        <v>7.9100000000000004E-4</v>
      </c>
      <c r="I221" s="9">
        <v>9.4399999999999996E-4</v>
      </c>
      <c r="J221" s="9">
        <v>7.8399999999999997E-4</v>
      </c>
      <c r="K221" s="9">
        <v>1.2329999999999999E-3</v>
      </c>
      <c r="L221" s="9">
        <v>1.567E-3</v>
      </c>
      <c r="M221" s="9">
        <v>2.2699999999999999E-4</v>
      </c>
      <c r="N221" s="10">
        <v>2532632</v>
      </c>
      <c r="O221" s="10">
        <v>2532632</v>
      </c>
      <c r="P221" s="10">
        <v>43754500</v>
      </c>
      <c r="Q221" s="10">
        <v>42587000</v>
      </c>
      <c r="R221" s="10">
        <v>77829000</v>
      </c>
      <c r="S221" s="10">
        <v>73062200</v>
      </c>
      <c r="T221" s="10">
        <v>87252000</v>
      </c>
      <c r="U221" s="10">
        <v>72482200</v>
      </c>
      <c r="V221" s="10">
        <v>113923200</v>
      </c>
      <c r="W221" s="10">
        <v>144783200</v>
      </c>
      <c r="X221" s="10">
        <v>21001600</v>
      </c>
      <c r="Y221" s="11">
        <v>0</v>
      </c>
      <c r="Z221" s="12">
        <v>-41221868</v>
      </c>
      <c r="AA221" s="13">
        <v>1167500</v>
      </c>
      <c r="AB221" s="12">
        <v>-35242000</v>
      </c>
      <c r="AC221" s="13">
        <v>4766800</v>
      </c>
      <c r="AD221" s="12">
        <v>-14189800</v>
      </c>
      <c r="AE221" s="13">
        <v>14769800</v>
      </c>
      <c r="AF221" s="12">
        <v>-41441000</v>
      </c>
      <c r="AG221" s="12">
        <v>-30860000</v>
      </c>
      <c r="AH221" s="13">
        <v>123781600</v>
      </c>
      <c r="AI221" s="13">
        <v>1655200</v>
      </c>
      <c r="AJ221" s="10">
        <v>15551142710.4</v>
      </c>
      <c r="AK221" s="10">
        <v>15551142710.4</v>
      </c>
      <c r="AL221" s="10">
        <v>264714724833.04999</v>
      </c>
      <c r="AM221" s="10">
        <v>211337987715.25</v>
      </c>
      <c r="AN221" s="10">
        <v>273086902672.5</v>
      </c>
      <c r="AO221" s="10">
        <v>231059207199.60001</v>
      </c>
      <c r="AP221" s="10">
        <v>333867396360</v>
      </c>
      <c r="AQ221" s="10">
        <v>263972715081.25</v>
      </c>
      <c r="AR221" s="10">
        <v>455692800063.29999</v>
      </c>
      <c r="AS221" s="10">
        <v>418966385195.70001</v>
      </c>
      <c r="AT221" s="10">
        <v>48583822018.800003</v>
      </c>
      <c r="AU221" s="14">
        <v>45626</v>
      </c>
      <c r="AV221" s="14">
        <v>45626</v>
      </c>
      <c r="AW221" s="14">
        <v>45291</v>
      </c>
      <c r="AX221" s="14">
        <v>44926</v>
      </c>
      <c r="AY221" s="14">
        <v>44561</v>
      </c>
      <c r="AZ221" s="14">
        <v>44196</v>
      </c>
      <c r="BA221" s="14">
        <v>43830</v>
      </c>
      <c r="BB221" s="14">
        <v>43465</v>
      </c>
      <c r="BC221" s="14">
        <v>43100</v>
      </c>
      <c r="BD221" s="14">
        <v>42735</v>
      </c>
      <c r="BE221" s="14">
        <v>42369</v>
      </c>
      <c r="BF221" s="8" t="s">
        <v>35</v>
      </c>
      <c r="BG221" s="8" t="s">
        <v>35</v>
      </c>
      <c r="BH221" s="8" t="s">
        <v>35</v>
      </c>
      <c r="BI221" s="8" t="s">
        <v>35</v>
      </c>
      <c r="BJ221" s="8" t="s">
        <v>35</v>
      </c>
      <c r="BK221" s="8" t="s">
        <v>35</v>
      </c>
      <c r="BL221" s="8" t="s">
        <v>35</v>
      </c>
      <c r="BM221" s="8" t="s">
        <v>35</v>
      </c>
      <c r="BN221" s="8" t="s">
        <v>35</v>
      </c>
      <c r="BO221" s="8" t="s">
        <v>35</v>
      </c>
      <c r="BP221" s="8" t="s">
        <v>35</v>
      </c>
      <c r="BQ221" s="8" t="s">
        <v>31</v>
      </c>
      <c r="BR221" s="8" t="s">
        <v>49</v>
      </c>
      <c r="BS221" s="10">
        <v>4301039354354340</v>
      </c>
      <c r="BT221" s="8" t="s">
        <v>61</v>
      </c>
      <c r="BU221" s="8" t="s">
        <v>27</v>
      </c>
      <c r="BV221" s="8" t="s">
        <v>27</v>
      </c>
      <c r="BW221" s="8" t="s">
        <v>27</v>
      </c>
      <c r="BX221" s="8" t="s">
        <v>27</v>
      </c>
      <c r="BY221" s="8" t="s">
        <v>27</v>
      </c>
      <c r="BZ221" s="8" t="s">
        <v>27</v>
      </c>
      <c r="CA221" s="8" t="s">
        <v>27</v>
      </c>
      <c r="CB221" s="8" t="s">
        <v>27</v>
      </c>
      <c r="CC221" s="8" t="s">
        <v>27</v>
      </c>
      <c r="CD221" s="8" t="s">
        <v>27</v>
      </c>
      <c r="CE221" s="8" t="s">
        <v>27</v>
      </c>
      <c r="CF221" s="8" t="s">
        <v>361</v>
      </c>
      <c r="CG221" s="8" t="s">
        <v>39</v>
      </c>
    </row>
    <row r="222" spans="1:85" ht="15.75" customHeight="1" x14ac:dyDescent="0.35">
      <c r="A222" s="8">
        <v>215</v>
      </c>
      <c r="B222" s="8" t="s">
        <v>362</v>
      </c>
      <c r="C222" s="9">
        <v>2.6999999999999999E-5</v>
      </c>
      <c r="D222" s="9">
        <v>5.8999999999999998E-5</v>
      </c>
      <c r="E222" s="9">
        <v>6.9999999999999999E-6</v>
      </c>
      <c r="F222" s="9">
        <v>5.1999999999999997E-5</v>
      </c>
      <c r="G222" s="9">
        <v>4.3999999999999999E-5</v>
      </c>
      <c r="H222" s="9">
        <v>4.0000000000000003E-5</v>
      </c>
      <c r="I222" s="9">
        <v>4.3000000000000002E-5</v>
      </c>
      <c r="J222" s="9">
        <v>3.6999999999999998E-5</v>
      </c>
      <c r="K222" s="8"/>
      <c r="L222" s="8"/>
      <c r="M222" s="8"/>
      <c r="N222" s="10">
        <v>2505042</v>
      </c>
      <c r="O222" s="10">
        <v>5469565</v>
      </c>
      <c r="P222" s="10">
        <v>616906</v>
      </c>
      <c r="Q222" s="10">
        <v>4797188</v>
      </c>
      <c r="R222" s="10">
        <v>4022448</v>
      </c>
      <c r="S222" s="10">
        <v>3690800</v>
      </c>
      <c r="T222" s="10">
        <v>3959400</v>
      </c>
      <c r="U222" s="10">
        <v>3448800</v>
      </c>
      <c r="V222" s="8"/>
      <c r="W222" s="8"/>
      <c r="X222" s="8"/>
      <c r="Y222" s="12">
        <v>-2964523</v>
      </c>
      <c r="Z222" s="13">
        <v>4852659</v>
      </c>
      <c r="AA222" s="12">
        <v>-4180282</v>
      </c>
      <c r="AB222" s="13">
        <v>774740</v>
      </c>
      <c r="AC222" s="13">
        <v>331648</v>
      </c>
      <c r="AD222" s="12">
        <v>-268600</v>
      </c>
      <c r="AE222" s="13">
        <v>510600</v>
      </c>
      <c r="AF222" s="13">
        <v>3448800</v>
      </c>
      <c r="AG222" s="8"/>
      <c r="AH222" s="8"/>
      <c r="AI222" s="8"/>
      <c r="AJ222" s="10">
        <v>11018877851.799999</v>
      </c>
      <c r="AK222" s="10">
        <v>38970650644.5</v>
      </c>
      <c r="AL222" s="10">
        <v>3732281282.8000002</v>
      </c>
      <c r="AM222" s="10">
        <v>23806045522.599998</v>
      </c>
      <c r="AN222" s="10">
        <v>14113991730</v>
      </c>
      <c r="AO222" s="10">
        <v>11672154982.799999</v>
      </c>
      <c r="AP222" s="10">
        <v>15150536058.4</v>
      </c>
      <c r="AQ222" s="10">
        <v>12560174793.75</v>
      </c>
      <c r="AR222" s="8"/>
      <c r="AS222" s="8"/>
      <c r="AT222" s="8"/>
      <c r="AU222" s="14">
        <v>45930</v>
      </c>
      <c r="AV222" s="14">
        <v>45535</v>
      </c>
      <c r="AW222" s="14">
        <v>45291</v>
      </c>
      <c r="AX222" s="14">
        <v>44926</v>
      </c>
      <c r="AY222" s="14">
        <v>44561</v>
      </c>
      <c r="AZ222" s="14">
        <v>44196</v>
      </c>
      <c r="BA222" s="14">
        <v>43830</v>
      </c>
      <c r="BB222" s="14">
        <v>43465</v>
      </c>
      <c r="BC222" s="8"/>
      <c r="BD222" s="8"/>
      <c r="BE222" s="8"/>
      <c r="BF222" s="8" t="s">
        <v>35</v>
      </c>
      <c r="BG222" s="8" t="s">
        <v>35</v>
      </c>
      <c r="BH222" s="8" t="s">
        <v>35</v>
      </c>
      <c r="BI222" s="8" t="s">
        <v>35</v>
      </c>
      <c r="BJ222" s="8" t="s">
        <v>35</v>
      </c>
      <c r="BK222" s="8" t="s">
        <v>35</v>
      </c>
      <c r="BL222" s="8" t="s">
        <v>35</v>
      </c>
      <c r="BM222" s="8" t="s">
        <v>35</v>
      </c>
      <c r="BN222" s="8"/>
      <c r="BO222" s="8"/>
      <c r="BP222" s="8"/>
      <c r="BQ222" s="8" t="s">
        <v>31</v>
      </c>
      <c r="BR222" s="8" t="s">
        <v>36</v>
      </c>
      <c r="BS222" s="10">
        <v>3714716690167.2002</v>
      </c>
      <c r="BT222" s="8"/>
      <c r="BU222" s="8" t="s">
        <v>27</v>
      </c>
      <c r="BV222" s="8" t="s">
        <v>43</v>
      </c>
      <c r="BW222" s="8" t="s">
        <v>43</v>
      </c>
      <c r="BX222" s="8" t="s">
        <v>42</v>
      </c>
      <c r="BY222" s="8" t="s">
        <v>42</v>
      </c>
      <c r="BZ222" s="8" t="s">
        <v>42</v>
      </c>
      <c r="CA222" s="8" t="s">
        <v>42</v>
      </c>
      <c r="CB222" s="8" t="s">
        <v>42</v>
      </c>
      <c r="CC222" s="8"/>
      <c r="CD222" s="8"/>
      <c r="CE222" s="8"/>
      <c r="CF222" s="8" t="s">
        <v>70</v>
      </c>
      <c r="CG222" s="8" t="s">
        <v>71</v>
      </c>
    </row>
    <row r="223" spans="1:85" ht="15.75" customHeight="1" x14ac:dyDescent="0.35">
      <c r="A223" s="8">
        <v>216</v>
      </c>
      <c r="B223" s="8" t="s">
        <v>363</v>
      </c>
      <c r="C223" s="9">
        <v>2.6999999999999999E-5</v>
      </c>
      <c r="D223" s="9">
        <v>2.3270000000000001E-3</v>
      </c>
      <c r="E223" s="9">
        <v>9.0700000000000004E-4</v>
      </c>
      <c r="F223" s="9">
        <v>1.413E-3</v>
      </c>
      <c r="G223" s="9">
        <v>1.178E-3</v>
      </c>
      <c r="H223" s="9">
        <v>6.5700000000000003E-4</v>
      </c>
      <c r="I223" s="9">
        <v>1.129E-3</v>
      </c>
      <c r="J223" s="8"/>
      <c r="K223" s="9">
        <v>0</v>
      </c>
      <c r="L223" s="9">
        <v>0</v>
      </c>
      <c r="M223" s="9">
        <v>2.209E-3</v>
      </c>
      <c r="N223" s="10">
        <v>2485523</v>
      </c>
      <c r="O223" s="10">
        <v>215040724</v>
      </c>
      <c r="P223" s="10">
        <v>83820366</v>
      </c>
      <c r="Q223" s="10">
        <v>130574636</v>
      </c>
      <c r="R223" s="10">
        <v>108844304</v>
      </c>
      <c r="S223" s="10">
        <v>60719624</v>
      </c>
      <c r="T223" s="10">
        <v>104347620</v>
      </c>
      <c r="U223" s="8"/>
      <c r="V223" s="10">
        <v>0</v>
      </c>
      <c r="W223" s="10">
        <v>0</v>
      </c>
      <c r="X223" s="10">
        <v>204076056</v>
      </c>
      <c r="Y223" s="12">
        <v>-212555201</v>
      </c>
      <c r="Z223" s="13">
        <v>131220358</v>
      </c>
      <c r="AA223" s="12">
        <v>-46754270</v>
      </c>
      <c r="AB223" s="13">
        <v>21730332</v>
      </c>
      <c r="AC223" s="13">
        <v>48124680</v>
      </c>
      <c r="AD223" s="12">
        <v>-43627996</v>
      </c>
      <c r="AE223" s="13">
        <v>104347620</v>
      </c>
      <c r="AF223" s="8"/>
      <c r="AG223" s="11">
        <v>0</v>
      </c>
      <c r="AH223" s="12">
        <v>-204076056</v>
      </c>
      <c r="AI223" s="13">
        <v>42912000</v>
      </c>
      <c r="AJ223" s="10">
        <v>10933020042</v>
      </c>
      <c r="AK223" s="10">
        <v>1222692492511.5</v>
      </c>
      <c r="AL223" s="10">
        <v>507113213906.40002</v>
      </c>
      <c r="AM223" s="10">
        <v>647976631691.94995</v>
      </c>
      <c r="AN223" s="10">
        <v>381913603620</v>
      </c>
      <c r="AO223" s="10">
        <v>192025810641.60001</v>
      </c>
      <c r="AP223" s="10">
        <v>399283319746.40002</v>
      </c>
      <c r="AQ223" s="8"/>
      <c r="AR223" s="10">
        <v>0</v>
      </c>
      <c r="AS223" s="10">
        <v>0</v>
      </c>
      <c r="AT223" s="10">
        <v>472097115625.65002</v>
      </c>
      <c r="AU223" s="14">
        <v>45930</v>
      </c>
      <c r="AV223" s="14">
        <v>45657</v>
      </c>
      <c r="AW223" s="14">
        <v>45291</v>
      </c>
      <c r="AX223" s="14">
        <v>44926</v>
      </c>
      <c r="AY223" s="14">
        <v>44561</v>
      </c>
      <c r="AZ223" s="14">
        <v>44196</v>
      </c>
      <c r="BA223" s="14">
        <v>43830</v>
      </c>
      <c r="BB223" s="8"/>
      <c r="BC223" s="14">
        <v>42643</v>
      </c>
      <c r="BD223" s="14">
        <v>42643</v>
      </c>
      <c r="BE223" s="14">
        <v>42369</v>
      </c>
      <c r="BF223" s="8" t="s">
        <v>35</v>
      </c>
      <c r="BG223" s="8" t="s">
        <v>35</v>
      </c>
      <c r="BH223" s="8" t="s">
        <v>35</v>
      </c>
      <c r="BI223" s="8" t="s">
        <v>35</v>
      </c>
      <c r="BJ223" s="8" t="s">
        <v>35</v>
      </c>
      <c r="BK223" s="8" t="s">
        <v>35</v>
      </c>
      <c r="BL223" s="8" t="s">
        <v>35</v>
      </c>
      <c r="BM223" s="8"/>
      <c r="BN223" s="8" t="s">
        <v>35</v>
      </c>
      <c r="BO223" s="8" t="s">
        <v>35</v>
      </c>
      <c r="BP223" s="8" t="s">
        <v>35</v>
      </c>
      <c r="BQ223" s="8" t="s">
        <v>31</v>
      </c>
      <c r="BR223" s="8" t="s">
        <v>49</v>
      </c>
      <c r="BS223" s="10">
        <v>894658117282330</v>
      </c>
      <c r="BT223" s="8" t="s">
        <v>61</v>
      </c>
      <c r="BU223" s="8" t="s">
        <v>27</v>
      </c>
      <c r="BV223" s="8" t="s">
        <v>27</v>
      </c>
      <c r="BW223" s="8" t="s">
        <v>42</v>
      </c>
      <c r="BX223" s="8" t="s">
        <v>42</v>
      </c>
      <c r="BY223" s="8" t="s">
        <v>42</v>
      </c>
      <c r="BZ223" s="8" t="s">
        <v>42</v>
      </c>
      <c r="CA223" s="8" t="s">
        <v>42</v>
      </c>
      <c r="CB223" s="8"/>
      <c r="CC223" s="8" t="s">
        <v>42</v>
      </c>
      <c r="CD223" s="8" t="s">
        <v>43</v>
      </c>
      <c r="CE223" s="8" t="s">
        <v>42</v>
      </c>
      <c r="CF223" s="8" t="s">
        <v>114</v>
      </c>
      <c r="CG223" s="8" t="s">
        <v>115</v>
      </c>
    </row>
    <row r="224" spans="1:85" ht="15.75" customHeight="1" x14ac:dyDescent="0.35">
      <c r="A224" s="8">
        <v>217</v>
      </c>
      <c r="B224" s="8" t="s">
        <v>364</v>
      </c>
      <c r="C224" s="9">
        <v>2.5999999999999998E-5</v>
      </c>
      <c r="D224" s="9">
        <v>2.5999999999999998E-5</v>
      </c>
      <c r="E224" s="8"/>
      <c r="F224" s="8"/>
      <c r="G224" s="8"/>
      <c r="H224" s="8"/>
      <c r="I224" s="8"/>
      <c r="J224" s="8"/>
      <c r="K224" s="8"/>
      <c r="L224" s="8"/>
      <c r="M224" s="8"/>
      <c r="N224" s="10">
        <v>2416405</v>
      </c>
      <c r="O224" s="10">
        <v>2416405</v>
      </c>
      <c r="P224" s="8"/>
      <c r="Q224" s="8"/>
      <c r="R224" s="8"/>
      <c r="S224" s="8"/>
      <c r="T224" s="8"/>
      <c r="U224" s="8"/>
      <c r="V224" s="8"/>
      <c r="W224" s="8"/>
      <c r="X224" s="8"/>
      <c r="Y224" s="11">
        <v>0</v>
      </c>
      <c r="Z224" s="13">
        <v>2416405</v>
      </c>
      <c r="AA224" s="8"/>
      <c r="AB224" s="8"/>
      <c r="AC224" s="8"/>
      <c r="AD224" s="8"/>
      <c r="AE224" s="8"/>
      <c r="AF224" s="8"/>
      <c r="AG224" s="8"/>
      <c r="AH224" s="8"/>
      <c r="AI224" s="8"/>
      <c r="AJ224" s="10">
        <v>11703382790.6</v>
      </c>
      <c r="AK224" s="10">
        <v>13739352206.1</v>
      </c>
      <c r="AL224" s="8"/>
      <c r="AM224" s="8"/>
      <c r="AN224" s="8"/>
      <c r="AO224" s="8"/>
      <c r="AP224" s="8"/>
      <c r="AQ224" s="8"/>
      <c r="AR224" s="8"/>
      <c r="AS224" s="8"/>
      <c r="AT224" s="8"/>
      <c r="AU224" s="14">
        <v>45777</v>
      </c>
      <c r="AV224" s="14">
        <v>45657</v>
      </c>
      <c r="AW224" s="8"/>
      <c r="AX224" s="8"/>
      <c r="AY224" s="8"/>
      <c r="AZ224" s="8"/>
      <c r="BA224" s="8"/>
      <c r="BB224" s="8"/>
      <c r="BC224" s="8"/>
      <c r="BD224" s="8"/>
      <c r="BE224" s="8"/>
      <c r="BF224" s="8" t="s">
        <v>35</v>
      </c>
      <c r="BG224" s="8" t="s">
        <v>35</v>
      </c>
      <c r="BH224" s="8"/>
      <c r="BI224" s="8"/>
      <c r="BJ224" s="8"/>
      <c r="BK224" s="8"/>
      <c r="BL224" s="8"/>
      <c r="BM224" s="8"/>
      <c r="BN224" s="8"/>
      <c r="BO224" s="8"/>
      <c r="BP224" s="8"/>
      <c r="BQ224" s="8" t="s">
        <v>31</v>
      </c>
      <c r="BR224" s="8" t="s">
        <v>36</v>
      </c>
      <c r="BS224" s="10">
        <v>446568373623.59998</v>
      </c>
      <c r="BT224" s="8"/>
      <c r="BU224" s="8" t="s">
        <v>27</v>
      </c>
      <c r="BV224" s="8" t="s">
        <v>43</v>
      </c>
      <c r="BW224" s="8"/>
      <c r="BX224" s="8"/>
      <c r="BY224" s="8"/>
      <c r="BZ224" s="8"/>
      <c r="CA224" s="8"/>
      <c r="CB224" s="8"/>
      <c r="CC224" s="8"/>
      <c r="CD224" s="8"/>
      <c r="CE224" s="8"/>
      <c r="CF224" s="8" t="s">
        <v>131</v>
      </c>
      <c r="CG224" s="8" t="s">
        <v>132</v>
      </c>
    </row>
    <row r="225" spans="1:85" ht="15.75" customHeight="1" x14ac:dyDescent="0.35">
      <c r="A225" s="8">
        <v>218</v>
      </c>
      <c r="B225" s="8" t="s">
        <v>365</v>
      </c>
      <c r="C225" s="9">
        <v>2.5999999999999998E-5</v>
      </c>
      <c r="D225" s="9">
        <v>3.8000000000000002E-5</v>
      </c>
      <c r="E225" s="9">
        <v>2.0999999999999999E-5</v>
      </c>
      <c r="F225" s="9">
        <v>1.0399999999999999E-4</v>
      </c>
      <c r="G225" s="9">
        <v>0</v>
      </c>
      <c r="H225" s="9">
        <v>0</v>
      </c>
      <c r="I225" s="9">
        <v>1.02E-4</v>
      </c>
      <c r="J225" s="9">
        <v>3.0000000000000001E-6</v>
      </c>
      <c r="K225" s="9">
        <v>9.1000000000000003E-5</v>
      </c>
      <c r="L225" s="9">
        <v>6.7000000000000002E-5</v>
      </c>
      <c r="M225" s="9">
        <v>5.1E-5</v>
      </c>
      <c r="N225" s="10">
        <v>2390466</v>
      </c>
      <c r="O225" s="10">
        <v>3539276</v>
      </c>
      <c r="P225" s="10">
        <v>1901146</v>
      </c>
      <c r="Q225" s="10">
        <v>9625766</v>
      </c>
      <c r="R225" s="10">
        <v>0</v>
      </c>
      <c r="S225" s="10">
        <v>0</v>
      </c>
      <c r="T225" s="10">
        <v>9444648</v>
      </c>
      <c r="U225" s="10">
        <v>302628</v>
      </c>
      <c r="V225" s="10">
        <v>8450740</v>
      </c>
      <c r="W225" s="10">
        <v>6146596</v>
      </c>
      <c r="X225" s="10">
        <v>4724020</v>
      </c>
      <c r="Y225" s="12">
        <v>-1148810</v>
      </c>
      <c r="Z225" s="13">
        <v>1638130</v>
      </c>
      <c r="AA225" s="12">
        <v>-7724620</v>
      </c>
      <c r="AB225" s="13">
        <v>9625766</v>
      </c>
      <c r="AC225" s="11">
        <v>0</v>
      </c>
      <c r="AD225" s="12">
        <v>-9444648</v>
      </c>
      <c r="AE225" s="13">
        <v>9142020</v>
      </c>
      <c r="AF225" s="12">
        <v>-8148112</v>
      </c>
      <c r="AG225" s="13">
        <v>2304144</v>
      </c>
      <c r="AH225" s="13">
        <v>1422576</v>
      </c>
      <c r="AI225" s="11">
        <v>0</v>
      </c>
      <c r="AJ225" s="10">
        <v>11083069666.5</v>
      </c>
      <c r="AK225" s="10">
        <v>25217341525.5</v>
      </c>
      <c r="AL225" s="10">
        <v>11454404666.25</v>
      </c>
      <c r="AM225" s="10">
        <v>42594014492.400002</v>
      </c>
      <c r="AN225" s="10">
        <v>0</v>
      </c>
      <c r="AO225" s="10">
        <v>0</v>
      </c>
      <c r="AP225" s="10">
        <v>34236848959.400002</v>
      </c>
      <c r="AQ225" s="10">
        <v>1044066553.75</v>
      </c>
      <c r="AR225" s="10">
        <v>27676173560.560001</v>
      </c>
      <c r="AS225" s="10">
        <v>17248885011.049999</v>
      </c>
      <c r="AT225" s="10">
        <v>10747145516.5</v>
      </c>
      <c r="AU225" s="14">
        <v>45716</v>
      </c>
      <c r="AV225" s="14">
        <v>45535</v>
      </c>
      <c r="AW225" s="14">
        <v>45169</v>
      </c>
      <c r="AX225" s="14">
        <v>44804</v>
      </c>
      <c r="AY225" s="14">
        <v>44074</v>
      </c>
      <c r="AZ225" s="14">
        <v>44074</v>
      </c>
      <c r="BA225" s="14">
        <v>43708</v>
      </c>
      <c r="BB225" s="14">
        <v>43343</v>
      </c>
      <c r="BC225" s="14">
        <v>42978</v>
      </c>
      <c r="BD225" s="14">
        <v>42613</v>
      </c>
      <c r="BE225" s="14">
        <v>42247</v>
      </c>
      <c r="BF225" s="8" t="s">
        <v>35</v>
      </c>
      <c r="BG225" s="8" t="s">
        <v>35</v>
      </c>
      <c r="BH225" s="8" t="s">
        <v>35</v>
      </c>
      <c r="BI225" s="8" t="s">
        <v>35</v>
      </c>
      <c r="BJ225" s="8" t="s">
        <v>35</v>
      </c>
      <c r="BK225" s="8" t="s">
        <v>35</v>
      </c>
      <c r="BL225" s="8" t="s">
        <v>35</v>
      </c>
      <c r="BM225" s="8" t="s">
        <v>35</v>
      </c>
      <c r="BN225" s="8" t="s">
        <v>35</v>
      </c>
      <c r="BO225" s="8" t="s">
        <v>35</v>
      </c>
      <c r="BP225" s="8" t="s">
        <v>35</v>
      </c>
      <c r="BQ225" s="8" t="s">
        <v>31</v>
      </c>
      <c r="BR225" s="8" t="s">
        <v>36</v>
      </c>
      <c r="BS225" s="10">
        <v>31476183371876.398</v>
      </c>
      <c r="BT225" s="8" t="s">
        <v>57</v>
      </c>
      <c r="BU225" s="8" t="s">
        <v>27</v>
      </c>
      <c r="BV225" s="8" t="s">
        <v>27</v>
      </c>
      <c r="BW225" s="8" t="s">
        <v>27</v>
      </c>
      <c r="BX225" s="8" t="s">
        <v>27</v>
      </c>
      <c r="BY225" s="8" t="s">
        <v>27</v>
      </c>
      <c r="BZ225" s="8" t="s">
        <v>43</v>
      </c>
      <c r="CA225" s="8" t="s">
        <v>27</v>
      </c>
      <c r="CB225" s="8" t="s">
        <v>42</v>
      </c>
      <c r="CC225" s="8" t="s">
        <v>27</v>
      </c>
      <c r="CD225" s="8" t="s">
        <v>27</v>
      </c>
      <c r="CE225" s="8" t="s">
        <v>27</v>
      </c>
      <c r="CF225" s="8" t="s">
        <v>180</v>
      </c>
      <c r="CG225" s="8" t="s">
        <v>181</v>
      </c>
    </row>
    <row r="226" spans="1:85" ht="15.75" customHeight="1" x14ac:dyDescent="0.35">
      <c r="A226" s="8">
        <v>219</v>
      </c>
      <c r="B226" s="8" t="s">
        <v>366</v>
      </c>
      <c r="C226" s="9">
        <v>2.5999999999999998E-5</v>
      </c>
      <c r="D226" s="9">
        <v>2.5999999999999998E-5</v>
      </c>
      <c r="E226" s="9">
        <v>3.8999999999999999E-5</v>
      </c>
      <c r="F226" s="9">
        <v>9.9999999999999995E-7</v>
      </c>
      <c r="G226" s="9">
        <v>0</v>
      </c>
      <c r="H226" s="9">
        <v>3.8999999999999999E-5</v>
      </c>
      <c r="I226" s="8"/>
      <c r="J226" s="8"/>
      <c r="K226" s="8"/>
      <c r="L226" s="8"/>
      <c r="M226" s="8"/>
      <c r="N226" s="10">
        <v>2389400</v>
      </c>
      <c r="O226" s="10">
        <v>2389400</v>
      </c>
      <c r="P226" s="10">
        <v>3608800</v>
      </c>
      <c r="Q226" s="10">
        <v>133000</v>
      </c>
      <c r="R226" s="10">
        <v>0</v>
      </c>
      <c r="S226" s="10">
        <v>3580000</v>
      </c>
      <c r="T226" s="8"/>
      <c r="U226" s="8"/>
      <c r="V226" s="8"/>
      <c r="W226" s="8"/>
      <c r="X226" s="8"/>
      <c r="Y226" s="11">
        <v>0</v>
      </c>
      <c r="Z226" s="12">
        <v>-1219400</v>
      </c>
      <c r="AA226" s="13">
        <v>3475800</v>
      </c>
      <c r="AB226" s="13">
        <v>133000</v>
      </c>
      <c r="AC226" s="12">
        <v>-3580000</v>
      </c>
      <c r="AD226" s="13">
        <v>3580000</v>
      </c>
      <c r="AE226" s="8"/>
      <c r="AF226" s="8"/>
      <c r="AG226" s="8"/>
      <c r="AH226" s="8"/>
      <c r="AI226" s="8"/>
      <c r="AJ226" s="10">
        <v>11402153903.700001</v>
      </c>
      <c r="AK226" s="10">
        <v>13585805497</v>
      </c>
      <c r="AL226" s="10">
        <v>21833239957.450001</v>
      </c>
      <c r="AM226" s="10">
        <v>660012500.95000005</v>
      </c>
      <c r="AN226" s="10">
        <v>0</v>
      </c>
      <c r="AO226" s="10">
        <v>11321749998</v>
      </c>
      <c r="AP226" s="8"/>
      <c r="AQ226" s="8"/>
      <c r="AR226" s="8"/>
      <c r="AS226" s="8"/>
      <c r="AT226" s="8"/>
      <c r="AU226" s="14">
        <v>45900</v>
      </c>
      <c r="AV226" s="14">
        <v>45657</v>
      </c>
      <c r="AW226" s="14">
        <v>45291</v>
      </c>
      <c r="AX226" s="14">
        <v>44926</v>
      </c>
      <c r="AY226" s="14">
        <v>44377</v>
      </c>
      <c r="AZ226" s="14">
        <v>44196</v>
      </c>
      <c r="BA226" s="8"/>
      <c r="BB226" s="8"/>
      <c r="BC226" s="8"/>
      <c r="BD226" s="8"/>
      <c r="BE226" s="8"/>
      <c r="BF226" s="8" t="s">
        <v>35</v>
      </c>
      <c r="BG226" s="8" t="s">
        <v>35</v>
      </c>
      <c r="BH226" s="8" t="s">
        <v>35</v>
      </c>
      <c r="BI226" s="8" t="s">
        <v>35</v>
      </c>
      <c r="BJ226" s="8" t="s">
        <v>35</v>
      </c>
      <c r="BK226" s="8" t="s">
        <v>35</v>
      </c>
      <c r="BL226" s="8"/>
      <c r="BM226" s="8"/>
      <c r="BN226" s="8"/>
      <c r="BO226" s="8"/>
      <c r="BP226" s="8"/>
      <c r="BQ226" s="8" t="s">
        <v>31</v>
      </c>
      <c r="BR226" s="8" t="s">
        <v>49</v>
      </c>
      <c r="BS226" s="10">
        <v>7241269935573.5996</v>
      </c>
      <c r="BT226" s="8"/>
      <c r="BU226" s="8" t="s">
        <v>27</v>
      </c>
      <c r="BV226" s="8" t="s">
        <v>43</v>
      </c>
      <c r="BW226" s="8" t="s">
        <v>43</v>
      </c>
      <c r="BX226" s="8" t="s">
        <v>42</v>
      </c>
      <c r="BY226" s="8" t="s">
        <v>42</v>
      </c>
      <c r="BZ226" s="8" t="s">
        <v>43</v>
      </c>
      <c r="CA226" s="8"/>
      <c r="CB226" s="8"/>
      <c r="CC226" s="8"/>
      <c r="CD226" s="8"/>
      <c r="CE226" s="8"/>
      <c r="CF226" s="8" t="s">
        <v>65</v>
      </c>
      <c r="CG226" s="8" t="s">
        <v>65</v>
      </c>
    </row>
    <row r="227" spans="1:85" ht="15.75" customHeight="1" x14ac:dyDescent="0.35">
      <c r="A227" s="8">
        <v>220</v>
      </c>
      <c r="B227" s="8" t="s">
        <v>367</v>
      </c>
      <c r="C227" s="9">
        <v>2.5999999999999998E-5</v>
      </c>
      <c r="D227" s="9">
        <v>5.0000000000000002E-5</v>
      </c>
      <c r="E227" s="9">
        <v>5.3000000000000001E-5</v>
      </c>
      <c r="F227" s="9">
        <v>1.02E-4</v>
      </c>
      <c r="G227" s="9">
        <v>2.1999999999999999E-5</v>
      </c>
      <c r="H227" s="9">
        <v>9.9999999999999995E-7</v>
      </c>
      <c r="I227" s="9">
        <v>3.9999999999999998E-6</v>
      </c>
      <c r="J227" s="9">
        <v>9.9999999999999995E-7</v>
      </c>
      <c r="K227" s="9">
        <v>1.9999999999999999E-6</v>
      </c>
      <c r="L227" s="9">
        <v>1.9999999999999999E-6</v>
      </c>
      <c r="M227" s="8"/>
      <c r="N227" s="10">
        <v>2387900</v>
      </c>
      <c r="O227" s="10">
        <v>4615000</v>
      </c>
      <c r="P227" s="10">
        <v>4876400</v>
      </c>
      <c r="Q227" s="10">
        <v>9398800</v>
      </c>
      <c r="R227" s="10">
        <v>2038400</v>
      </c>
      <c r="S227" s="10">
        <v>59444</v>
      </c>
      <c r="T227" s="10">
        <v>374800</v>
      </c>
      <c r="U227" s="10">
        <v>110600</v>
      </c>
      <c r="V227" s="10">
        <v>227000</v>
      </c>
      <c r="W227" s="10">
        <v>223200</v>
      </c>
      <c r="X227" s="8"/>
      <c r="Y227" s="12">
        <v>-2227100</v>
      </c>
      <c r="Z227" s="12">
        <v>-261400</v>
      </c>
      <c r="AA227" s="12">
        <v>-4522400</v>
      </c>
      <c r="AB227" s="13">
        <v>7360400</v>
      </c>
      <c r="AC227" s="13">
        <v>1978956</v>
      </c>
      <c r="AD227" s="12">
        <v>-315356</v>
      </c>
      <c r="AE227" s="13">
        <v>264200</v>
      </c>
      <c r="AF227" s="12">
        <v>-116400</v>
      </c>
      <c r="AG227" s="13">
        <v>3800</v>
      </c>
      <c r="AH227" s="13">
        <v>223200</v>
      </c>
      <c r="AI227" s="8"/>
      <c r="AJ227" s="10">
        <v>10503607709</v>
      </c>
      <c r="AK227" s="10">
        <v>26240266283.5</v>
      </c>
      <c r="AL227" s="10">
        <v>29502219950.200001</v>
      </c>
      <c r="AM227" s="10">
        <v>46641544964.849998</v>
      </c>
      <c r="AN227" s="10">
        <v>7152351165</v>
      </c>
      <c r="AO227" s="10">
        <v>187991668.80000001</v>
      </c>
      <c r="AP227" s="10">
        <v>1434161965.2</v>
      </c>
      <c r="AQ227" s="10">
        <v>402793825</v>
      </c>
      <c r="AR227" s="10">
        <v>907999998.04999995</v>
      </c>
      <c r="AS227" s="10">
        <v>645885018.29999995</v>
      </c>
      <c r="AT227" s="8"/>
      <c r="AU227" s="14">
        <v>45930</v>
      </c>
      <c r="AV227" s="14">
        <v>45657</v>
      </c>
      <c r="AW227" s="14">
        <v>45291</v>
      </c>
      <c r="AX227" s="14">
        <v>44926</v>
      </c>
      <c r="AY227" s="14">
        <v>44561</v>
      </c>
      <c r="AZ227" s="14">
        <v>44196</v>
      </c>
      <c r="BA227" s="14">
        <v>43830</v>
      </c>
      <c r="BB227" s="14">
        <v>43465</v>
      </c>
      <c r="BC227" s="14">
        <v>43100</v>
      </c>
      <c r="BD227" s="14">
        <v>42735</v>
      </c>
      <c r="BE227" s="8"/>
      <c r="BF227" s="8" t="s">
        <v>35</v>
      </c>
      <c r="BG227" s="8" t="s">
        <v>35</v>
      </c>
      <c r="BH227" s="8" t="s">
        <v>35</v>
      </c>
      <c r="BI227" s="8" t="s">
        <v>35</v>
      </c>
      <c r="BJ227" s="8" t="s">
        <v>35</v>
      </c>
      <c r="BK227" s="8" t="s">
        <v>35</v>
      </c>
      <c r="BL227" s="8" t="s">
        <v>35</v>
      </c>
      <c r="BM227" s="8" t="s">
        <v>35</v>
      </c>
      <c r="BN227" s="8" t="s">
        <v>35</v>
      </c>
      <c r="BO227" s="8" t="s">
        <v>35</v>
      </c>
      <c r="BP227" s="8"/>
      <c r="BQ227" s="8" t="s">
        <v>31</v>
      </c>
      <c r="BR227" s="8" t="s">
        <v>49</v>
      </c>
      <c r="BS227" s="10">
        <v>2860221659119860</v>
      </c>
      <c r="BT227" s="8" t="s">
        <v>41</v>
      </c>
      <c r="BU227" s="8" t="s">
        <v>42</v>
      </c>
      <c r="BV227" s="8" t="s">
        <v>27</v>
      </c>
      <c r="BW227" s="8" t="s">
        <v>27</v>
      </c>
      <c r="BX227" s="8" t="s">
        <v>27</v>
      </c>
      <c r="BY227" s="8" t="s">
        <v>27</v>
      </c>
      <c r="BZ227" s="8" t="s">
        <v>27</v>
      </c>
      <c r="CA227" s="8" t="s">
        <v>42</v>
      </c>
      <c r="CB227" s="8" t="s">
        <v>42</v>
      </c>
      <c r="CC227" s="8" t="s">
        <v>42</v>
      </c>
      <c r="CD227" s="8" t="s">
        <v>42</v>
      </c>
      <c r="CE227" s="8"/>
      <c r="CF227" s="8" t="s">
        <v>368</v>
      </c>
      <c r="CG227" s="8" t="s">
        <v>39</v>
      </c>
    </row>
    <row r="228" spans="1:85" ht="15.75" customHeight="1" x14ac:dyDescent="0.35">
      <c r="A228" s="8">
        <v>221</v>
      </c>
      <c r="B228" s="8" t="s">
        <v>369</v>
      </c>
      <c r="C228" s="9">
        <v>2.5000000000000001E-5</v>
      </c>
      <c r="D228" s="9">
        <v>3.9999999999999998E-6</v>
      </c>
      <c r="E228" s="9">
        <v>5.8999999999999998E-5</v>
      </c>
      <c r="F228" s="9">
        <v>0</v>
      </c>
      <c r="G228" s="9">
        <v>6.9999999999999999E-6</v>
      </c>
      <c r="H228" s="9">
        <v>1.2179999999999999E-3</v>
      </c>
      <c r="I228" s="9">
        <v>6.8900000000000005E-4</v>
      </c>
      <c r="J228" s="9">
        <v>4.4000000000000002E-4</v>
      </c>
      <c r="K228" s="9">
        <v>5.5999999999999999E-5</v>
      </c>
      <c r="L228" s="9">
        <v>6.0000000000000002E-6</v>
      </c>
      <c r="M228" s="9">
        <v>1.54E-4</v>
      </c>
      <c r="N228" s="10">
        <v>2299642</v>
      </c>
      <c r="O228" s="10">
        <v>367100</v>
      </c>
      <c r="P228" s="10">
        <v>5485100</v>
      </c>
      <c r="Q228" s="10">
        <v>0</v>
      </c>
      <c r="R228" s="10">
        <v>662200</v>
      </c>
      <c r="S228" s="10">
        <v>112566200</v>
      </c>
      <c r="T228" s="10">
        <v>63700600</v>
      </c>
      <c r="U228" s="10">
        <v>40673600</v>
      </c>
      <c r="V228" s="10">
        <v>5138600</v>
      </c>
      <c r="W228" s="10">
        <v>568400</v>
      </c>
      <c r="X228" s="10">
        <v>14256000</v>
      </c>
      <c r="Y228" s="13">
        <v>1932542</v>
      </c>
      <c r="Z228" s="12">
        <v>-5118000</v>
      </c>
      <c r="AA228" s="13">
        <v>5485100</v>
      </c>
      <c r="AB228" s="12">
        <v>-662200</v>
      </c>
      <c r="AC228" s="12">
        <v>-111904000</v>
      </c>
      <c r="AD228" s="13">
        <v>48865600</v>
      </c>
      <c r="AE228" s="13">
        <v>23027000</v>
      </c>
      <c r="AF228" s="13">
        <v>35535000</v>
      </c>
      <c r="AG228" s="13">
        <v>4570200</v>
      </c>
      <c r="AH228" s="12">
        <v>-13687600</v>
      </c>
      <c r="AI228" s="12">
        <v>-14066000</v>
      </c>
      <c r="AJ228" s="10">
        <v>10412529225</v>
      </c>
      <c r="AK228" s="10">
        <v>2087281042.4000001</v>
      </c>
      <c r="AL228" s="10">
        <v>33184854975.150002</v>
      </c>
      <c r="AM228" s="10">
        <v>0</v>
      </c>
      <c r="AN228" s="10">
        <v>2019710025</v>
      </c>
      <c r="AO228" s="10">
        <v>355990607154</v>
      </c>
      <c r="AP228" s="10">
        <v>243748607099.20001</v>
      </c>
      <c r="AQ228" s="10">
        <v>148129066456.25</v>
      </c>
      <c r="AR228" s="10">
        <v>20554400026.849998</v>
      </c>
      <c r="AS228" s="10">
        <v>1644807556.5</v>
      </c>
      <c r="AT228" s="10">
        <v>32978961884.099998</v>
      </c>
      <c r="AU228" s="14">
        <v>45869</v>
      </c>
      <c r="AV228" s="14">
        <v>45657</v>
      </c>
      <c r="AW228" s="14">
        <v>45291</v>
      </c>
      <c r="AX228" s="14">
        <v>44681</v>
      </c>
      <c r="AY228" s="14">
        <v>44439</v>
      </c>
      <c r="AZ228" s="14">
        <v>44196</v>
      </c>
      <c r="BA228" s="14">
        <v>43830</v>
      </c>
      <c r="BB228" s="14">
        <v>43465</v>
      </c>
      <c r="BC228" s="14">
        <v>43100</v>
      </c>
      <c r="BD228" s="14">
        <v>42735</v>
      </c>
      <c r="BE228" s="14">
        <v>42369</v>
      </c>
      <c r="BF228" s="8" t="s">
        <v>35</v>
      </c>
      <c r="BG228" s="8" t="s">
        <v>35</v>
      </c>
      <c r="BH228" s="8" t="s">
        <v>35</v>
      </c>
      <c r="BI228" s="8" t="s">
        <v>35</v>
      </c>
      <c r="BJ228" s="8" t="s">
        <v>35</v>
      </c>
      <c r="BK228" s="8" t="s">
        <v>35</v>
      </c>
      <c r="BL228" s="8" t="s">
        <v>35</v>
      </c>
      <c r="BM228" s="8" t="s">
        <v>35</v>
      </c>
      <c r="BN228" s="8" t="s">
        <v>35</v>
      </c>
      <c r="BO228" s="8" t="s">
        <v>35</v>
      </c>
      <c r="BP228" s="8" t="s">
        <v>35</v>
      </c>
      <c r="BQ228" s="8" t="s">
        <v>31</v>
      </c>
      <c r="BR228" s="8" t="s">
        <v>49</v>
      </c>
      <c r="BS228" s="10">
        <v>5321196088878550</v>
      </c>
      <c r="BT228" s="8" t="s">
        <v>41</v>
      </c>
      <c r="BU228" s="8" t="s">
        <v>27</v>
      </c>
      <c r="BV228" s="8" t="s">
        <v>27</v>
      </c>
      <c r="BW228" s="8" t="s">
        <v>27</v>
      </c>
      <c r="BX228" s="8" t="s">
        <v>27</v>
      </c>
      <c r="BY228" s="8" t="s">
        <v>27</v>
      </c>
      <c r="BZ228" s="8" t="s">
        <v>27</v>
      </c>
      <c r="CA228" s="8" t="s">
        <v>27</v>
      </c>
      <c r="CB228" s="8" t="s">
        <v>27</v>
      </c>
      <c r="CC228" s="8" t="s">
        <v>27</v>
      </c>
      <c r="CD228" s="8" t="s">
        <v>27</v>
      </c>
      <c r="CE228" s="8" t="s">
        <v>27</v>
      </c>
      <c r="CF228" s="8" t="s">
        <v>82</v>
      </c>
      <c r="CG228" s="8" t="s">
        <v>39</v>
      </c>
    </row>
    <row r="229" spans="1:85" ht="15.75" customHeight="1" x14ac:dyDescent="0.35">
      <c r="A229" s="8">
        <v>222</v>
      </c>
      <c r="B229" s="8" t="s">
        <v>370</v>
      </c>
      <c r="C229" s="9">
        <v>2.4000000000000001E-5</v>
      </c>
      <c r="D229" s="9">
        <v>1.55E-4</v>
      </c>
      <c r="E229" s="8"/>
      <c r="F229" s="8"/>
      <c r="G229" s="8"/>
      <c r="H229" s="8"/>
      <c r="I229" s="8"/>
      <c r="J229" s="8"/>
      <c r="K229" s="8"/>
      <c r="L229" s="8"/>
      <c r="M229" s="8"/>
      <c r="N229" s="10">
        <v>2177447</v>
      </c>
      <c r="O229" s="10">
        <v>14276573</v>
      </c>
      <c r="P229" s="8"/>
      <c r="Q229" s="8"/>
      <c r="R229" s="8"/>
      <c r="S229" s="8"/>
      <c r="T229" s="8"/>
      <c r="U229" s="8"/>
      <c r="V229" s="8"/>
      <c r="W229" s="8"/>
      <c r="X229" s="8"/>
      <c r="Y229" s="12">
        <v>-12099126</v>
      </c>
      <c r="Z229" s="13">
        <v>14276573</v>
      </c>
      <c r="AA229" s="8"/>
      <c r="AB229" s="8"/>
      <c r="AC229" s="8"/>
      <c r="AD229" s="8"/>
      <c r="AE229" s="8"/>
      <c r="AF229" s="8"/>
      <c r="AG229" s="8"/>
      <c r="AH229" s="8"/>
      <c r="AI229" s="8"/>
      <c r="AJ229" s="10">
        <v>9859243509.5</v>
      </c>
      <c r="AK229" s="10">
        <v>81174664477.100006</v>
      </c>
      <c r="AL229" s="8"/>
      <c r="AM229" s="8"/>
      <c r="AN229" s="8"/>
      <c r="AO229" s="8"/>
      <c r="AP229" s="8"/>
      <c r="AQ229" s="8"/>
      <c r="AR229" s="8"/>
      <c r="AS229" s="8"/>
      <c r="AT229" s="8"/>
      <c r="AU229" s="14">
        <v>45869</v>
      </c>
      <c r="AV229" s="14">
        <v>45657</v>
      </c>
      <c r="AW229" s="8"/>
      <c r="AX229" s="8"/>
      <c r="AY229" s="8"/>
      <c r="AZ229" s="8"/>
      <c r="BA229" s="8"/>
      <c r="BB229" s="8"/>
      <c r="BC229" s="8"/>
      <c r="BD229" s="8"/>
      <c r="BE229" s="8"/>
      <c r="BF229" s="8" t="s">
        <v>35</v>
      </c>
      <c r="BG229" s="8" t="s">
        <v>35</v>
      </c>
      <c r="BH229" s="8"/>
      <c r="BI229" s="8"/>
      <c r="BJ229" s="8"/>
      <c r="BK229" s="8"/>
      <c r="BL229" s="8"/>
      <c r="BM229" s="8"/>
      <c r="BN229" s="8"/>
      <c r="BO229" s="8"/>
      <c r="BP229" s="8"/>
      <c r="BQ229" s="8" t="s">
        <v>31</v>
      </c>
      <c r="BR229" s="8" t="s">
        <v>49</v>
      </c>
      <c r="BS229" s="10">
        <v>576676223747737</v>
      </c>
      <c r="BT229" s="8" t="s">
        <v>57</v>
      </c>
      <c r="BU229" s="8" t="s">
        <v>27</v>
      </c>
      <c r="BV229" s="8" t="s">
        <v>27</v>
      </c>
      <c r="BW229" s="8"/>
      <c r="BX229" s="8"/>
      <c r="BY229" s="8"/>
      <c r="BZ229" s="8"/>
      <c r="CA229" s="8"/>
      <c r="CB229" s="8"/>
      <c r="CC229" s="8"/>
      <c r="CD229" s="8"/>
      <c r="CE229" s="8"/>
      <c r="CF229" s="8" t="s">
        <v>371</v>
      </c>
      <c r="CG229" s="8" t="s">
        <v>39</v>
      </c>
    </row>
    <row r="230" spans="1:85" ht="15.75" customHeight="1" x14ac:dyDescent="0.35">
      <c r="A230" s="8">
        <v>223</v>
      </c>
      <c r="B230" s="8" t="s">
        <v>372</v>
      </c>
      <c r="C230" s="9">
        <v>2.3E-5</v>
      </c>
      <c r="D230" s="9">
        <v>2.3E-5</v>
      </c>
      <c r="E230" s="9">
        <v>1.2999999999999999E-5</v>
      </c>
      <c r="F230" s="9">
        <v>1.4E-5</v>
      </c>
      <c r="G230" s="9">
        <v>5.8999999999999998E-5</v>
      </c>
      <c r="H230" s="9">
        <v>7.2000000000000002E-5</v>
      </c>
      <c r="I230" s="9">
        <v>6.7000000000000002E-5</v>
      </c>
      <c r="J230" s="9">
        <v>7.7999999999999999E-5</v>
      </c>
      <c r="K230" s="9">
        <v>4.6999999999999997E-5</v>
      </c>
      <c r="L230" s="9">
        <v>3.8999999999999999E-5</v>
      </c>
      <c r="M230" s="9">
        <v>9.2E-5</v>
      </c>
      <c r="N230" s="10">
        <v>2136978</v>
      </c>
      <c r="O230" s="10">
        <v>2136978</v>
      </c>
      <c r="P230" s="10">
        <v>1155827</v>
      </c>
      <c r="Q230" s="10">
        <v>1263988</v>
      </c>
      <c r="R230" s="10">
        <v>5436566</v>
      </c>
      <c r="S230" s="10">
        <v>6622658</v>
      </c>
      <c r="T230" s="10">
        <v>6230460</v>
      </c>
      <c r="U230" s="10">
        <v>7209908</v>
      </c>
      <c r="V230" s="10">
        <v>4359470</v>
      </c>
      <c r="W230" s="10">
        <v>3600000</v>
      </c>
      <c r="X230" s="10">
        <v>8468800</v>
      </c>
      <c r="Y230" s="11">
        <v>0</v>
      </c>
      <c r="Z230" s="13">
        <v>981151</v>
      </c>
      <c r="AA230" s="12">
        <v>-108161</v>
      </c>
      <c r="AB230" s="12">
        <v>-4172578</v>
      </c>
      <c r="AC230" s="12">
        <v>-1186092</v>
      </c>
      <c r="AD230" s="13">
        <v>392198</v>
      </c>
      <c r="AE230" s="12">
        <v>-979448</v>
      </c>
      <c r="AF230" s="13">
        <v>2850438</v>
      </c>
      <c r="AG230" s="13">
        <v>759470</v>
      </c>
      <c r="AH230" s="12">
        <v>-4868800</v>
      </c>
      <c r="AI230" s="11">
        <v>0</v>
      </c>
      <c r="AJ230" s="10">
        <v>12150568003.9</v>
      </c>
      <c r="AK230" s="10">
        <v>12150568003.9</v>
      </c>
      <c r="AL230" s="10">
        <v>6761588009.0500002</v>
      </c>
      <c r="AM230" s="10">
        <v>6651736920.3999996</v>
      </c>
      <c r="AN230" s="10">
        <v>19027980958.400002</v>
      </c>
      <c r="AO230" s="10">
        <v>20944155881.5</v>
      </c>
      <c r="AP230" s="10">
        <v>23840685106.799999</v>
      </c>
      <c r="AQ230" s="10">
        <v>26257743143.75</v>
      </c>
      <c r="AR230" s="10">
        <v>17437879937.099998</v>
      </c>
      <c r="AS230" s="10">
        <v>10417499991</v>
      </c>
      <c r="AT230" s="10">
        <v>21277860004.799999</v>
      </c>
      <c r="AU230" s="14">
        <v>45657</v>
      </c>
      <c r="AV230" s="14">
        <v>45657</v>
      </c>
      <c r="AW230" s="14">
        <v>45260</v>
      </c>
      <c r="AX230" s="14">
        <v>44895</v>
      </c>
      <c r="AY230" s="14">
        <v>44530</v>
      </c>
      <c r="AZ230" s="14">
        <v>44165</v>
      </c>
      <c r="BA230" s="14">
        <v>43830</v>
      </c>
      <c r="BB230" s="14">
        <v>43465</v>
      </c>
      <c r="BC230" s="14">
        <v>43100</v>
      </c>
      <c r="BD230" s="14">
        <v>42730</v>
      </c>
      <c r="BE230" s="14">
        <v>42185</v>
      </c>
      <c r="BF230" s="8" t="s">
        <v>35</v>
      </c>
      <c r="BG230" s="8" t="s">
        <v>35</v>
      </c>
      <c r="BH230" s="8" t="s">
        <v>35</v>
      </c>
      <c r="BI230" s="8" t="s">
        <v>35</v>
      </c>
      <c r="BJ230" s="8" t="s">
        <v>35</v>
      </c>
      <c r="BK230" s="8" t="s">
        <v>35</v>
      </c>
      <c r="BL230" s="8" t="s">
        <v>35</v>
      </c>
      <c r="BM230" s="8" t="s">
        <v>35</v>
      </c>
      <c r="BN230" s="8" t="s">
        <v>35</v>
      </c>
      <c r="BO230" s="8" t="s">
        <v>35</v>
      </c>
      <c r="BP230" s="8" t="s">
        <v>35</v>
      </c>
      <c r="BQ230" s="8" t="s">
        <v>31</v>
      </c>
      <c r="BR230" s="8" t="s">
        <v>36</v>
      </c>
      <c r="BS230" s="10">
        <v>2473509551448300</v>
      </c>
      <c r="BT230" s="8" t="s">
        <v>41</v>
      </c>
      <c r="BU230" s="8" t="s">
        <v>42</v>
      </c>
      <c r="BV230" s="8" t="s">
        <v>27</v>
      </c>
      <c r="BW230" s="8" t="s">
        <v>27</v>
      </c>
      <c r="BX230" s="8" t="s">
        <v>42</v>
      </c>
      <c r="BY230" s="8" t="s">
        <v>27</v>
      </c>
      <c r="BZ230" s="8" t="s">
        <v>42</v>
      </c>
      <c r="CA230" s="8" t="s">
        <v>27</v>
      </c>
      <c r="CB230" s="8" t="s">
        <v>43</v>
      </c>
      <c r="CC230" s="8" t="s">
        <v>27</v>
      </c>
      <c r="CD230" s="8" t="s">
        <v>27</v>
      </c>
      <c r="CE230" s="8" t="s">
        <v>27</v>
      </c>
      <c r="CF230" s="8" t="s">
        <v>373</v>
      </c>
      <c r="CG230" s="8" t="s">
        <v>181</v>
      </c>
    </row>
    <row r="231" spans="1:85" ht="15.75" customHeight="1" x14ac:dyDescent="0.35">
      <c r="A231" s="8">
        <v>224</v>
      </c>
      <c r="B231" s="8" t="s">
        <v>374</v>
      </c>
      <c r="C231" s="9">
        <v>2.3E-5</v>
      </c>
      <c r="D231" s="9">
        <v>1.6100000000000001E-4</v>
      </c>
      <c r="E231" s="9">
        <v>1.36E-4</v>
      </c>
      <c r="F231" s="9">
        <v>3.8999999999999999E-5</v>
      </c>
      <c r="G231" s="9">
        <v>1.5E-5</v>
      </c>
      <c r="H231" s="9">
        <v>7.9999999999999996E-6</v>
      </c>
      <c r="I231" s="9">
        <v>5.0000000000000004E-6</v>
      </c>
      <c r="J231" s="9">
        <v>1.7E-5</v>
      </c>
      <c r="K231" s="9">
        <v>3.3000000000000003E-5</v>
      </c>
      <c r="L231" s="9">
        <v>4.8000000000000001E-5</v>
      </c>
      <c r="M231" s="9">
        <v>9.7E-5</v>
      </c>
      <c r="N231" s="10">
        <v>2116310</v>
      </c>
      <c r="O231" s="10">
        <v>14901956</v>
      </c>
      <c r="P231" s="10">
        <v>12530427</v>
      </c>
      <c r="Q231" s="10">
        <v>3599486</v>
      </c>
      <c r="R231" s="10">
        <v>1361992</v>
      </c>
      <c r="S231" s="10">
        <v>700236</v>
      </c>
      <c r="T231" s="10">
        <v>466820</v>
      </c>
      <c r="U231" s="10">
        <v>1578484</v>
      </c>
      <c r="V231" s="10">
        <v>3070146</v>
      </c>
      <c r="W231" s="10">
        <v>4434648</v>
      </c>
      <c r="X231" s="10">
        <v>8920152</v>
      </c>
      <c r="Y231" s="12">
        <v>-12785646</v>
      </c>
      <c r="Z231" s="13">
        <v>2371529</v>
      </c>
      <c r="AA231" s="13">
        <v>8930941</v>
      </c>
      <c r="AB231" s="13">
        <v>2237494</v>
      </c>
      <c r="AC231" s="13">
        <v>661756</v>
      </c>
      <c r="AD231" s="13">
        <v>233416</v>
      </c>
      <c r="AE231" s="12">
        <v>-1111664</v>
      </c>
      <c r="AF231" s="12">
        <v>-1491662</v>
      </c>
      <c r="AG231" s="12">
        <v>-1364502</v>
      </c>
      <c r="AH231" s="12">
        <v>-4485504</v>
      </c>
      <c r="AI231" s="12">
        <v>-2566012</v>
      </c>
      <c r="AJ231" s="10">
        <v>9308970255.2000008</v>
      </c>
      <c r="AK231" s="10">
        <v>84730507655.199997</v>
      </c>
      <c r="AL231" s="10">
        <v>75809083229.350006</v>
      </c>
      <c r="AM231" s="10">
        <v>17862449255.75</v>
      </c>
      <c r="AN231" s="10">
        <v>4778966355</v>
      </c>
      <c r="AO231" s="10">
        <v>2214496346.4000001</v>
      </c>
      <c r="AP231" s="10">
        <v>1786273969.2</v>
      </c>
      <c r="AQ231" s="10">
        <v>5748676350</v>
      </c>
      <c r="AR231" s="10">
        <v>12280584003.049999</v>
      </c>
      <c r="AS231" s="10">
        <v>12832762721.700001</v>
      </c>
      <c r="AT231" s="10">
        <v>20635336234.049999</v>
      </c>
      <c r="AU231" s="14">
        <v>45930</v>
      </c>
      <c r="AV231" s="14">
        <v>45657</v>
      </c>
      <c r="AW231" s="14">
        <v>45291</v>
      </c>
      <c r="AX231" s="14">
        <v>44926</v>
      </c>
      <c r="AY231" s="14">
        <v>44561</v>
      </c>
      <c r="AZ231" s="14">
        <v>44196</v>
      </c>
      <c r="BA231" s="14">
        <v>43830</v>
      </c>
      <c r="BB231" s="14">
        <v>43465</v>
      </c>
      <c r="BC231" s="14">
        <v>43100</v>
      </c>
      <c r="BD231" s="14">
        <v>42735</v>
      </c>
      <c r="BE231" s="14">
        <v>42369</v>
      </c>
      <c r="BF231" s="8" t="s">
        <v>35</v>
      </c>
      <c r="BG231" s="8" t="s">
        <v>35</v>
      </c>
      <c r="BH231" s="8" t="s">
        <v>35</v>
      </c>
      <c r="BI231" s="8" t="s">
        <v>35</v>
      </c>
      <c r="BJ231" s="8" t="s">
        <v>35</v>
      </c>
      <c r="BK231" s="8" t="s">
        <v>35</v>
      </c>
      <c r="BL231" s="8" t="s">
        <v>35</v>
      </c>
      <c r="BM231" s="8" t="s">
        <v>35</v>
      </c>
      <c r="BN231" s="8" t="s">
        <v>35</v>
      </c>
      <c r="BO231" s="8" t="s">
        <v>35</v>
      </c>
      <c r="BP231" s="8" t="s">
        <v>35</v>
      </c>
      <c r="BQ231" s="8" t="s">
        <v>31</v>
      </c>
      <c r="BR231" s="8" t="s">
        <v>49</v>
      </c>
      <c r="BS231" s="10">
        <v>6602020332172260</v>
      </c>
      <c r="BT231" s="8" t="s">
        <v>61</v>
      </c>
      <c r="BU231" s="8" t="s">
        <v>27</v>
      </c>
      <c r="BV231" s="8" t="s">
        <v>27</v>
      </c>
      <c r="BW231" s="8" t="s">
        <v>27</v>
      </c>
      <c r="BX231" s="8" t="s">
        <v>27</v>
      </c>
      <c r="BY231" s="8" t="s">
        <v>27</v>
      </c>
      <c r="BZ231" s="8" t="s">
        <v>27</v>
      </c>
      <c r="CA231" s="8" t="s">
        <v>27</v>
      </c>
      <c r="CB231" s="8" t="s">
        <v>27</v>
      </c>
      <c r="CC231" s="8" t="s">
        <v>27</v>
      </c>
      <c r="CD231" s="8" t="s">
        <v>27</v>
      </c>
      <c r="CE231" s="8" t="s">
        <v>27</v>
      </c>
      <c r="CF231" s="8" t="s">
        <v>85</v>
      </c>
      <c r="CG231" s="8" t="s">
        <v>39</v>
      </c>
    </row>
    <row r="232" spans="1:85" ht="15.75" customHeight="1" x14ac:dyDescent="0.35">
      <c r="A232" s="8">
        <v>225</v>
      </c>
      <c r="B232" s="8" t="s">
        <v>375</v>
      </c>
      <c r="C232" s="9">
        <v>2.1999999999999999E-5</v>
      </c>
      <c r="D232" s="9">
        <v>1.2999999999999999E-5</v>
      </c>
      <c r="E232" s="9">
        <v>5.0000000000000004E-6</v>
      </c>
      <c r="F232" s="9">
        <v>3.9999999999999998E-6</v>
      </c>
      <c r="G232" s="9">
        <v>3.9999999999999998E-6</v>
      </c>
      <c r="H232" s="9">
        <v>3.9999999999999998E-6</v>
      </c>
      <c r="I232" s="9">
        <v>3.0000000000000001E-6</v>
      </c>
      <c r="J232" s="9">
        <v>3.9999999999999998E-6</v>
      </c>
      <c r="K232" s="9">
        <v>3.9999999999999998E-6</v>
      </c>
      <c r="L232" s="9">
        <v>3.9999999999999998E-6</v>
      </c>
      <c r="M232" s="9">
        <v>3.0000000000000001E-6</v>
      </c>
      <c r="N232" s="10">
        <v>2003200</v>
      </c>
      <c r="O232" s="10">
        <v>1214400</v>
      </c>
      <c r="P232" s="10">
        <v>442300</v>
      </c>
      <c r="Q232" s="10">
        <v>376000</v>
      </c>
      <c r="R232" s="10">
        <v>376000</v>
      </c>
      <c r="S232" s="10">
        <v>376000</v>
      </c>
      <c r="T232" s="10">
        <v>290000</v>
      </c>
      <c r="U232" s="10">
        <v>330000</v>
      </c>
      <c r="V232" s="10">
        <v>342000</v>
      </c>
      <c r="W232" s="10">
        <v>342000</v>
      </c>
      <c r="X232" s="10">
        <v>310000</v>
      </c>
      <c r="Y232" s="13">
        <v>788800</v>
      </c>
      <c r="Z232" s="13">
        <v>772100</v>
      </c>
      <c r="AA232" s="13">
        <v>66300</v>
      </c>
      <c r="AB232" s="11">
        <v>0</v>
      </c>
      <c r="AC232" s="11">
        <v>0</v>
      </c>
      <c r="AD232" s="13">
        <v>86000</v>
      </c>
      <c r="AE232" s="12">
        <v>-40000</v>
      </c>
      <c r="AF232" s="12">
        <v>-12000</v>
      </c>
      <c r="AG232" s="11">
        <v>0</v>
      </c>
      <c r="AH232" s="13">
        <v>32000</v>
      </c>
      <c r="AI232" s="11">
        <v>0</v>
      </c>
      <c r="AJ232" s="10">
        <v>9559217614.7999992</v>
      </c>
      <c r="AK232" s="10">
        <v>6904914248.8999996</v>
      </c>
      <c r="AL232" s="10">
        <v>2664857480.25</v>
      </c>
      <c r="AM232" s="10">
        <v>1156200061.5</v>
      </c>
      <c r="AN232" s="10">
        <v>1156200061.5</v>
      </c>
      <c r="AO232" s="10">
        <v>1189099969.2</v>
      </c>
      <c r="AP232" s="10">
        <v>1109677129.5999999</v>
      </c>
      <c r="AQ232" s="10">
        <v>1201826043.75</v>
      </c>
      <c r="AR232" s="10">
        <v>1368000000.05</v>
      </c>
      <c r="AS232" s="10">
        <v>989662452</v>
      </c>
      <c r="AT232" s="10">
        <v>717135125.10000002</v>
      </c>
      <c r="AU232" s="14">
        <v>45900</v>
      </c>
      <c r="AV232" s="14">
        <v>45657</v>
      </c>
      <c r="AW232" s="14">
        <v>45169</v>
      </c>
      <c r="AX232" s="14">
        <v>44469</v>
      </c>
      <c r="AY232" s="14">
        <v>44469</v>
      </c>
      <c r="AZ232" s="14">
        <v>44196</v>
      </c>
      <c r="BA232" s="14">
        <v>43830</v>
      </c>
      <c r="BB232" s="14">
        <v>43465</v>
      </c>
      <c r="BC232" s="14">
        <v>43100</v>
      </c>
      <c r="BD232" s="14">
        <v>42735</v>
      </c>
      <c r="BE232" s="14">
        <v>42369</v>
      </c>
      <c r="BF232" s="8" t="s">
        <v>35</v>
      </c>
      <c r="BG232" s="8" t="s">
        <v>35</v>
      </c>
      <c r="BH232" s="8" t="s">
        <v>35</v>
      </c>
      <c r="BI232" s="8" t="s">
        <v>35</v>
      </c>
      <c r="BJ232" s="8" t="s">
        <v>35</v>
      </c>
      <c r="BK232" s="8" t="s">
        <v>35</v>
      </c>
      <c r="BL232" s="8" t="s">
        <v>35</v>
      </c>
      <c r="BM232" s="8" t="s">
        <v>35</v>
      </c>
      <c r="BN232" s="8" t="s">
        <v>35</v>
      </c>
      <c r="BO232" s="8" t="s">
        <v>35</v>
      </c>
      <c r="BP232" s="8" t="s">
        <v>35</v>
      </c>
      <c r="BQ232" s="8" t="s">
        <v>31</v>
      </c>
      <c r="BR232" s="8" t="s">
        <v>36</v>
      </c>
      <c r="BS232" s="10">
        <v>227224728576281</v>
      </c>
      <c r="BT232" s="8" t="s">
        <v>41</v>
      </c>
      <c r="BU232" s="8" t="s">
        <v>27</v>
      </c>
      <c r="BV232" s="8" t="s">
        <v>42</v>
      </c>
      <c r="BW232" s="8" t="s">
        <v>42</v>
      </c>
      <c r="BX232" s="8" t="s">
        <v>27</v>
      </c>
      <c r="BY232" s="8" t="s">
        <v>42</v>
      </c>
      <c r="BZ232" s="8" t="s">
        <v>43</v>
      </c>
      <c r="CA232" s="8" t="s">
        <v>42</v>
      </c>
      <c r="CB232" s="8" t="s">
        <v>42</v>
      </c>
      <c r="CC232" s="8" t="s">
        <v>42</v>
      </c>
      <c r="CD232" s="8" t="s">
        <v>42</v>
      </c>
      <c r="CE232" s="8" t="s">
        <v>42</v>
      </c>
      <c r="CF232" s="8" t="s">
        <v>145</v>
      </c>
      <c r="CG232" s="8" t="s">
        <v>146</v>
      </c>
    </row>
    <row r="233" spans="1:85" ht="15.75" customHeight="1" x14ac:dyDescent="0.35">
      <c r="A233" s="8">
        <v>226</v>
      </c>
      <c r="B233" s="8" t="s">
        <v>376</v>
      </c>
      <c r="C233" s="9">
        <v>2.0999999999999999E-5</v>
      </c>
      <c r="D233" s="9">
        <v>4.3999999999999999E-5</v>
      </c>
      <c r="E233" s="9">
        <v>5.5999999999999999E-5</v>
      </c>
      <c r="F233" s="9">
        <v>2.9E-4</v>
      </c>
      <c r="G233" s="9">
        <v>4.5199999999999998E-4</v>
      </c>
      <c r="H233" s="8"/>
      <c r="I233" s="8"/>
      <c r="J233" s="8"/>
      <c r="K233" s="8"/>
      <c r="L233" s="9">
        <v>0</v>
      </c>
      <c r="M233" s="9">
        <v>0</v>
      </c>
      <c r="N233" s="10">
        <v>1982900</v>
      </c>
      <c r="O233" s="10">
        <v>4040100</v>
      </c>
      <c r="P233" s="10">
        <v>5134500</v>
      </c>
      <c r="Q233" s="10">
        <v>26770600</v>
      </c>
      <c r="R233" s="10">
        <v>41800200</v>
      </c>
      <c r="S233" s="8"/>
      <c r="T233" s="8"/>
      <c r="U233" s="8"/>
      <c r="V233" s="8"/>
      <c r="W233" s="10">
        <v>1272</v>
      </c>
      <c r="X233" s="10">
        <v>1272</v>
      </c>
      <c r="Y233" s="12">
        <v>-2057200</v>
      </c>
      <c r="Z233" s="12">
        <v>-1094400</v>
      </c>
      <c r="AA233" s="12">
        <v>-21636100</v>
      </c>
      <c r="AB233" s="12">
        <v>-15029600</v>
      </c>
      <c r="AC233" s="13">
        <v>41800200</v>
      </c>
      <c r="AD233" s="8"/>
      <c r="AE233" s="8"/>
      <c r="AF233" s="8"/>
      <c r="AG233" s="8"/>
      <c r="AH233" s="11">
        <v>0</v>
      </c>
      <c r="AI233" s="11">
        <v>0</v>
      </c>
      <c r="AJ233" s="10">
        <v>9462346644.4500008</v>
      </c>
      <c r="AK233" s="10">
        <v>28785712459.5</v>
      </c>
      <c r="AL233" s="10">
        <v>31063724947.400002</v>
      </c>
      <c r="AM233" s="10">
        <v>132849102642.3</v>
      </c>
      <c r="AN233" s="10">
        <v>146668814272.5</v>
      </c>
      <c r="AO233" s="8"/>
      <c r="AP233" s="8"/>
      <c r="AQ233" s="8"/>
      <c r="AR233" s="8"/>
      <c r="AS233" s="10">
        <v>2702935.2</v>
      </c>
      <c r="AT233" s="10">
        <v>2702935.2</v>
      </c>
      <c r="AU233" s="14">
        <v>45900</v>
      </c>
      <c r="AV233" s="14">
        <v>45535</v>
      </c>
      <c r="AW233" s="14">
        <v>45291</v>
      </c>
      <c r="AX233" s="14">
        <v>44926</v>
      </c>
      <c r="AY233" s="14">
        <v>44561</v>
      </c>
      <c r="AZ233" s="8"/>
      <c r="BA233" s="8"/>
      <c r="BB233" s="8"/>
      <c r="BC233" s="8"/>
      <c r="BD233" s="14">
        <v>42338</v>
      </c>
      <c r="BE233" s="14">
        <v>42338</v>
      </c>
      <c r="BF233" s="8" t="s">
        <v>35</v>
      </c>
      <c r="BG233" s="8" t="s">
        <v>35</v>
      </c>
      <c r="BH233" s="8" t="s">
        <v>35</v>
      </c>
      <c r="BI233" s="8" t="s">
        <v>35</v>
      </c>
      <c r="BJ233" s="8" t="s">
        <v>35</v>
      </c>
      <c r="BK233" s="8"/>
      <c r="BL233" s="8"/>
      <c r="BM233" s="8"/>
      <c r="BN233" s="8"/>
      <c r="BO233" s="8" t="s">
        <v>35</v>
      </c>
      <c r="BP233" s="8" t="s">
        <v>35</v>
      </c>
      <c r="BQ233" s="8" t="s">
        <v>31</v>
      </c>
      <c r="BR233" s="8" t="s">
        <v>36</v>
      </c>
      <c r="BS233" s="10">
        <v>131172847260793</v>
      </c>
      <c r="BT233" s="8" t="s">
        <v>61</v>
      </c>
      <c r="BU233" s="8" t="s">
        <v>27</v>
      </c>
      <c r="BV233" s="8" t="s">
        <v>27</v>
      </c>
      <c r="BW233" s="8" t="s">
        <v>42</v>
      </c>
      <c r="BX233" s="8" t="s">
        <v>42</v>
      </c>
      <c r="BY233" s="8" t="s">
        <v>42</v>
      </c>
      <c r="BZ233" s="8"/>
      <c r="CA233" s="8"/>
      <c r="CB233" s="8"/>
      <c r="CC233" s="8"/>
      <c r="CD233" s="8" t="s">
        <v>42</v>
      </c>
      <c r="CE233" s="8" t="s">
        <v>42</v>
      </c>
      <c r="CF233" s="8" t="s">
        <v>377</v>
      </c>
      <c r="CG233" s="8" t="s">
        <v>378</v>
      </c>
    </row>
    <row r="234" spans="1:85" ht="15.75" customHeight="1" x14ac:dyDescent="0.35">
      <c r="A234" s="8">
        <v>227</v>
      </c>
      <c r="B234" s="8" t="s">
        <v>379</v>
      </c>
      <c r="C234" s="9">
        <v>2.0999999999999999E-5</v>
      </c>
      <c r="D234" s="9">
        <v>2.0999999999999999E-5</v>
      </c>
      <c r="E234" s="9">
        <v>2.9E-5</v>
      </c>
      <c r="F234" s="9">
        <v>5.3999999999999998E-5</v>
      </c>
      <c r="G234" s="9">
        <v>4.3000000000000002E-5</v>
      </c>
      <c r="H234" s="9">
        <v>6.7999999999999999E-5</v>
      </c>
      <c r="I234" s="9">
        <v>3.0000000000000001E-6</v>
      </c>
      <c r="J234" s="9">
        <v>8.2000000000000001E-5</v>
      </c>
      <c r="K234" s="9">
        <v>1.0900000000000001E-4</v>
      </c>
      <c r="L234" s="9">
        <v>1.16E-4</v>
      </c>
      <c r="M234" s="9">
        <v>7.6000000000000004E-5</v>
      </c>
      <c r="N234" s="10">
        <v>1981000</v>
      </c>
      <c r="O234" s="10">
        <v>1981000</v>
      </c>
      <c r="P234" s="10">
        <v>2711900</v>
      </c>
      <c r="Q234" s="10">
        <v>5000000</v>
      </c>
      <c r="R234" s="10">
        <v>4000000</v>
      </c>
      <c r="S234" s="10">
        <v>6253800</v>
      </c>
      <c r="T234" s="10">
        <v>300000</v>
      </c>
      <c r="U234" s="10">
        <v>7554600</v>
      </c>
      <c r="V234" s="10">
        <v>10092000</v>
      </c>
      <c r="W234" s="10">
        <v>10704000</v>
      </c>
      <c r="X234" s="10">
        <v>7020000</v>
      </c>
      <c r="Y234" s="11">
        <v>0</v>
      </c>
      <c r="Z234" s="12">
        <v>-730900</v>
      </c>
      <c r="AA234" s="12">
        <v>-2288100</v>
      </c>
      <c r="AB234" s="13">
        <v>1000000</v>
      </c>
      <c r="AC234" s="12">
        <v>-2253800</v>
      </c>
      <c r="AD234" s="13">
        <v>5953800</v>
      </c>
      <c r="AE234" s="12">
        <v>-7254600</v>
      </c>
      <c r="AF234" s="12">
        <v>-2537400</v>
      </c>
      <c r="AG234" s="12">
        <v>-612000</v>
      </c>
      <c r="AH234" s="13">
        <v>3684000</v>
      </c>
      <c r="AI234" s="13">
        <v>1299600</v>
      </c>
      <c r="AJ234" s="10">
        <v>11263698306</v>
      </c>
      <c r="AK234" s="10">
        <v>11263698306</v>
      </c>
      <c r="AL234" s="10">
        <v>16406994943.5</v>
      </c>
      <c r="AM234" s="10">
        <v>24812500057.950001</v>
      </c>
      <c r="AN234" s="10">
        <v>14035226137.5</v>
      </c>
      <c r="AO234" s="10">
        <v>19777642419.599998</v>
      </c>
      <c r="AP234" s="10">
        <v>1147941791.2</v>
      </c>
      <c r="AQ234" s="10">
        <v>27513075956.25</v>
      </c>
      <c r="AR234" s="10">
        <v>40367999939.599998</v>
      </c>
      <c r="AS234" s="10">
        <v>30974700081</v>
      </c>
      <c r="AT234" s="10">
        <v>16239640361.4</v>
      </c>
      <c r="AU234" s="14">
        <v>45657</v>
      </c>
      <c r="AV234" s="14">
        <v>45657</v>
      </c>
      <c r="AW234" s="14">
        <v>45291</v>
      </c>
      <c r="AX234" s="14">
        <v>44926</v>
      </c>
      <c r="AY234" s="14">
        <v>44561</v>
      </c>
      <c r="AZ234" s="14">
        <v>44196</v>
      </c>
      <c r="BA234" s="14">
        <v>43830</v>
      </c>
      <c r="BB234" s="14">
        <v>43465</v>
      </c>
      <c r="BC234" s="14">
        <v>43100</v>
      </c>
      <c r="BD234" s="14">
        <v>42735</v>
      </c>
      <c r="BE234" s="14">
        <v>42369</v>
      </c>
      <c r="BF234" s="8" t="s">
        <v>35</v>
      </c>
      <c r="BG234" s="8" t="s">
        <v>35</v>
      </c>
      <c r="BH234" s="8" t="s">
        <v>35</v>
      </c>
      <c r="BI234" s="8" t="s">
        <v>35</v>
      </c>
      <c r="BJ234" s="8" t="s">
        <v>35</v>
      </c>
      <c r="BK234" s="8" t="s">
        <v>35</v>
      </c>
      <c r="BL234" s="8" t="s">
        <v>35</v>
      </c>
      <c r="BM234" s="8" t="s">
        <v>35</v>
      </c>
      <c r="BN234" s="8" t="s">
        <v>35</v>
      </c>
      <c r="BO234" s="8" t="s">
        <v>35</v>
      </c>
      <c r="BP234" s="8" t="s">
        <v>35</v>
      </c>
      <c r="BQ234" s="8" t="s">
        <v>31</v>
      </c>
      <c r="BR234" s="8" t="s">
        <v>36</v>
      </c>
      <c r="BS234" s="10">
        <v>13500356268860.4</v>
      </c>
      <c r="BT234" s="8" t="s">
        <v>61</v>
      </c>
      <c r="BU234" s="8" t="s">
        <v>27</v>
      </c>
      <c r="BV234" s="8" t="s">
        <v>42</v>
      </c>
      <c r="BW234" s="8" t="s">
        <v>42</v>
      </c>
      <c r="BX234" s="8" t="s">
        <v>27</v>
      </c>
      <c r="BY234" s="8" t="s">
        <v>42</v>
      </c>
      <c r="BZ234" s="8" t="s">
        <v>42</v>
      </c>
      <c r="CA234" s="8" t="s">
        <v>27</v>
      </c>
      <c r="CB234" s="8" t="s">
        <v>27</v>
      </c>
      <c r="CC234" s="8" t="s">
        <v>27</v>
      </c>
      <c r="CD234" s="8" t="s">
        <v>27</v>
      </c>
      <c r="CE234" s="8" t="s">
        <v>42</v>
      </c>
      <c r="CF234" s="8" t="s">
        <v>65</v>
      </c>
      <c r="CG234" s="8" t="s">
        <v>65</v>
      </c>
    </row>
    <row r="235" spans="1:85" ht="15.75" customHeight="1" x14ac:dyDescent="0.35">
      <c r="A235" s="8">
        <v>228</v>
      </c>
      <c r="B235" s="8" t="s">
        <v>380</v>
      </c>
      <c r="C235" s="9">
        <v>2.0999999999999999E-5</v>
      </c>
      <c r="D235" s="9">
        <v>2.0999999999999999E-5</v>
      </c>
      <c r="E235" s="9">
        <v>6.2000000000000003E-5</v>
      </c>
      <c r="F235" s="9">
        <v>2.5999999999999998E-5</v>
      </c>
      <c r="G235" s="9">
        <v>2.1999999999999999E-5</v>
      </c>
      <c r="H235" s="9">
        <v>3.4E-5</v>
      </c>
      <c r="I235" s="9">
        <v>5.8999999999999998E-5</v>
      </c>
      <c r="J235" s="9">
        <v>1.8699999999999999E-4</v>
      </c>
      <c r="K235" s="9">
        <v>4.9299999999999995E-4</v>
      </c>
      <c r="L235" s="9">
        <v>9.3499999999999996E-4</v>
      </c>
      <c r="M235" s="9">
        <v>3.8400000000000001E-4</v>
      </c>
      <c r="N235" s="10">
        <v>1977500</v>
      </c>
      <c r="O235" s="10">
        <v>1974400</v>
      </c>
      <c r="P235" s="10">
        <v>5696100</v>
      </c>
      <c r="Q235" s="10">
        <v>2420400</v>
      </c>
      <c r="R235" s="10">
        <v>2066400</v>
      </c>
      <c r="S235" s="10">
        <v>3172000</v>
      </c>
      <c r="T235" s="10">
        <v>5439400</v>
      </c>
      <c r="U235" s="10">
        <v>17314200</v>
      </c>
      <c r="V235" s="10">
        <v>45556200</v>
      </c>
      <c r="W235" s="10">
        <v>86374000</v>
      </c>
      <c r="X235" s="10">
        <v>35488800</v>
      </c>
      <c r="Y235" s="13">
        <v>3100</v>
      </c>
      <c r="Z235" s="12">
        <v>-3721700</v>
      </c>
      <c r="AA235" s="13">
        <v>3275700</v>
      </c>
      <c r="AB235" s="13">
        <v>354000</v>
      </c>
      <c r="AC235" s="12">
        <v>-1105600</v>
      </c>
      <c r="AD235" s="12">
        <v>-2267400</v>
      </c>
      <c r="AE235" s="12">
        <v>-11874800</v>
      </c>
      <c r="AF235" s="12">
        <v>-28242000</v>
      </c>
      <c r="AG235" s="12">
        <v>-40817800</v>
      </c>
      <c r="AH235" s="13">
        <v>50885200</v>
      </c>
      <c r="AI235" s="11">
        <v>0</v>
      </c>
      <c r="AJ235" s="10">
        <v>10270592208.799999</v>
      </c>
      <c r="AK235" s="10">
        <v>13672720018.35</v>
      </c>
      <c r="AL235" s="10">
        <v>34175223252</v>
      </c>
      <c r="AM235" s="10">
        <v>12767609969.299999</v>
      </c>
      <c r="AN235" s="10">
        <v>6354180059.3999996</v>
      </c>
      <c r="AO235" s="10">
        <v>7866559937.6000004</v>
      </c>
      <c r="AP235" s="10">
        <v>18969907459.799999</v>
      </c>
      <c r="AQ235" s="10">
        <v>58218997523</v>
      </c>
      <c r="AR235" s="10">
        <v>153182722701.89999</v>
      </c>
      <c r="AS235" s="10">
        <v>241847199987.66</v>
      </c>
      <c r="AT235" s="10">
        <v>70312185068.199997</v>
      </c>
      <c r="AU235" s="14">
        <v>45747</v>
      </c>
      <c r="AV235" s="14">
        <v>45565</v>
      </c>
      <c r="AW235" s="14">
        <v>45199</v>
      </c>
      <c r="AX235" s="14">
        <v>44865</v>
      </c>
      <c r="AY235" s="14">
        <v>44469</v>
      </c>
      <c r="AZ235" s="14">
        <v>44104</v>
      </c>
      <c r="BA235" s="14">
        <v>43738</v>
      </c>
      <c r="BB235" s="14">
        <v>43373</v>
      </c>
      <c r="BC235" s="14">
        <v>43008</v>
      </c>
      <c r="BD235" s="14">
        <v>42643</v>
      </c>
      <c r="BE235" s="14">
        <v>42277</v>
      </c>
      <c r="BF235" s="8" t="s">
        <v>35</v>
      </c>
      <c r="BG235" s="8" t="s">
        <v>35</v>
      </c>
      <c r="BH235" s="8" t="s">
        <v>35</v>
      </c>
      <c r="BI235" s="8" t="s">
        <v>35</v>
      </c>
      <c r="BJ235" s="8" t="s">
        <v>35</v>
      </c>
      <c r="BK235" s="8" t="s">
        <v>35</v>
      </c>
      <c r="BL235" s="8" t="s">
        <v>35</v>
      </c>
      <c r="BM235" s="8" t="s">
        <v>35</v>
      </c>
      <c r="BN235" s="8" t="s">
        <v>35</v>
      </c>
      <c r="BO235" s="8" t="s">
        <v>35</v>
      </c>
      <c r="BP235" s="8" t="s">
        <v>35</v>
      </c>
      <c r="BQ235" s="8" t="s">
        <v>31</v>
      </c>
      <c r="BR235" s="8" t="s">
        <v>36</v>
      </c>
      <c r="BS235" s="10">
        <v>61921308519856.797</v>
      </c>
      <c r="BT235" s="8" t="s">
        <v>61</v>
      </c>
      <c r="BU235" s="8" t="s">
        <v>43</v>
      </c>
      <c r="BV235" s="8" t="s">
        <v>43</v>
      </c>
      <c r="BW235" s="8" t="s">
        <v>43</v>
      </c>
      <c r="BX235" s="8" t="s">
        <v>43</v>
      </c>
      <c r="BY235" s="8" t="s">
        <v>43</v>
      </c>
      <c r="BZ235" s="8" t="s">
        <v>43</v>
      </c>
      <c r="CA235" s="8" t="s">
        <v>42</v>
      </c>
      <c r="CB235" s="8" t="s">
        <v>27</v>
      </c>
      <c r="CC235" s="8" t="s">
        <v>42</v>
      </c>
      <c r="CD235" s="8" t="s">
        <v>42</v>
      </c>
      <c r="CE235" s="8" t="s">
        <v>42</v>
      </c>
      <c r="CF235" s="8" t="s">
        <v>65</v>
      </c>
      <c r="CG235" s="8" t="s">
        <v>65</v>
      </c>
    </row>
    <row r="236" spans="1:85" ht="15.75" customHeight="1" x14ac:dyDescent="0.35">
      <c r="A236" s="8">
        <v>229</v>
      </c>
      <c r="B236" s="8" t="s">
        <v>381</v>
      </c>
      <c r="C236" s="9">
        <v>2.0999999999999999E-5</v>
      </c>
      <c r="D236" s="9">
        <v>3.1000000000000001E-5</v>
      </c>
      <c r="E236" s="9">
        <v>4.8000000000000001E-5</v>
      </c>
      <c r="F236" s="9">
        <v>4.0000000000000003E-5</v>
      </c>
      <c r="G236" s="9">
        <v>0</v>
      </c>
      <c r="H236" s="9">
        <v>0</v>
      </c>
      <c r="I236" s="9">
        <v>0</v>
      </c>
      <c r="J236" s="9">
        <v>0</v>
      </c>
      <c r="K236" s="9">
        <v>2.6999999999999999E-5</v>
      </c>
      <c r="L236" s="9">
        <v>2.6999999999999999E-5</v>
      </c>
      <c r="M236" s="8"/>
      <c r="N236" s="10">
        <v>1908452</v>
      </c>
      <c r="O236" s="10">
        <v>2823352</v>
      </c>
      <c r="P236" s="10">
        <v>4458600</v>
      </c>
      <c r="Q236" s="10">
        <v>3664800</v>
      </c>
      <c r="R236" s="10">
        <v>0</v>
      </c>
      <c r="S236" s="10">
        <v>0</v>
      </c>
      <c r="T236" s="10">
        <v>0</v>
      </c>
      <c r="U236" s="10">
        <v>0</v>
      </c>
      <c r="V236" s="10">
        <v>2489788</v>
      </c>
      <c r="W236" s="10">
        <v>2489788</v>
      </c>
      <c r="X236" s="8"/>
      <c r="Y236" s="12">
        <v>-914900</v>
      </c>
      <c r="Z236" s="12">
        <v>-1635248</v>
      </c>
      <c r="AA236" s="13">
        <v>793800</v>
      </c>
      <c r="AB236" s="13">
        <v>3664800</v>
      </c>
      <c r="AC236" s="11">
        <v>0</v>
      </c>
      <c r="AD236" s="11">
        <v>0</v>
      </c>
      <c r="AE236" s="11">
        <v>0</v>
      </c>
      <c r="AF236" s="12">
        <v>-2489788</v>
      </c>
      <c r="AG236" s="11">
        <v>0</v>
      </c>
      <c r="AH236" s="13">
        <v>2489788</v>
      </c>
      <c r="AI236" s="8"/>
      <c r="AJ236" s="10">
        <v>9911975812.2000008</v>
      </c>
      <c r="AK236" s="10">
        <v>16053197825.700001</v>
      </c>
      <c r="AL236" s="10">
        <v>26974529987.299999</v>
      </c>
      <c r="AM236" s="10">
        <v>18186569990.599998</v>
      </c>
      <c r="AN236" s="10">
        <v>0</v>
      </c>
      <c r="AO236" s="10">
        <v>0</v>
      </c>
      <c r="AP236" s="10">
        <v>0</v>
      </c>
      <c r="AQ236" s="10">
        <v>0</v>
      </c>
      <c r="AR236" s="10">
        <v>9959151971.2999992</v>
      </c>
      <c r="AS236" s="10">
        <v>7204824036.3000002</v>
      </c>
      <c r="AT236" s="8"/>
      <c r="AU236" s="14">
        <v>45747</v>
      </c>
      <c r="AV236" s="14">
        <v>45657</v>
      </c>
      <c r="AW236" s="14">
        <v>45291</v>
      </c>
      <c r="AX236" s="14">
        <v>44926</v>
      </c>
      <c r="AY236" s="14">
        <v>44104</v>
      </c>
      <c r="AZ236" s="14">
        <v>44104</v>
      </c>
      <c r="BA236" s="14">
        <v>43434</v>
      </c>
      <c r="BB236" s="14">
        <v>43434</v>
      </c>
      <c r="BC236" s="14">
        <v>43100</v>
      </c>
      <c r="BD236" s="14">
        <v>42735</v>
      </c>
      <c r="BE236" s="8"/>
      <c r="BF236" s="8" t="s">
        <v>35</v>
      </c>
      <c r="BG236" s="8" t="s">
        <v>35</v>
      </c>
      <c r="BH236" s="8" t="s">
        <v>35</v>
      </c>
      <c r="BI236" s="8" t="s">
        <v>35</v>
      </c>
      <c r="BJ236" s="8" t="s">
        <v>35</v>
      </c>
      <c r="BK236" s="8" t="s">
        <v>35</v>
      </c>
      <c r="BL236" s="8" t="s">
        <v>35</v>
      </c>
      <c r="BM236" s="8" t="s">
        <v>35</v>
      </c>
      <c r="BN236" s="8" t="s">
        <v>35</v>
      </c>
      <c r="BO236" s="8" t="s">
        <v>35</v>
      </c>
      <c r="BP236" s="8"/>
      <c r="BQ236" s="8" t="s">
        <v>31</v>
      </c>
      <c r="BR236" s="8" t="s">
        <v>36</v>
      </c>
      <c r="BS236" s="10">
        <v>460709163650917</v>
      </c>
      <c r="BT236" s="8" t="s">
        <v>41</v>
      </c>
      <c r="BU236" s="8" t="s">
        <v>27</v>
      </c>
      <c r="BV236" s="8" t="s">
        <v>42</v>
      </c>
      <c r="BW236" s="8" t="s">
        <v>42</v>
      </c>
      <c r="BX236" s="8" t="s">
        <v>42</v>
      </c>
      <c r="BY236" s="8" t="s">
        <v>42</v>
      </c>
      <c r="BZ236" s="8" t="s">
        <v>42</v>
      </c>
      <c r="CA236" s="8" t="s">
        <v>42</v>
      </c>
      <c r="CB236" s="8" t="s">
        <v>43</v>
      </c>
      <c r="CC236" s="8" t="s">
        <v>43</v>
      </c>
      <c r="CD236" s="8" t="s">
        <v>43</v>
      </c>
      <c r="CE236" s="8"/>
      <c r="CF236" s="8" t="s">
        <v>382</v>
      </c>
      <c r="CG236" s="8" t="s">
        <v>383</v>
      </c>
    </row>
    <row r="237" spans="1:85" ht="15.75" customHeight="1" x14ac:dyDescent="0.35">
      <c r="A237" s="8">
        <v>230</v>
      </c>
      <c r="B237" s="8" t="s">
        <v>384</v>
      </c>
      <c r="C237" s="9">
        <v>2.0000000000000002E-5</v>
      </c>
      <c r="D237" s="9">
        <v>1.18E-4</v>
      </c>
      <c r="E237" s="9">
        <v>4.8999999999999998E-5</v>
      </c>
      <c r="F237" s="9">
        <v>5.5999999999999999E-5</v>
      </c>
      <c r="G237" s="9">
        <v>2.8E-5</v>
      </c>
      <c r="H237" s="9">
        <v>4.3000000000000002E-5</v>
      </c>
      <c r="I237" s="9">
        <v>1.9000000000000001E-5</v>
      </c>
      <c r="J237" s="9">
        <v>1.9000000000000001E-5</v>
      </c>
      <c r="K237" s="8"/>
      <c r="L237" s="8"/>
      <c r="M237" s="8"/>
      <c r="N237" s="10">
        <v>1893200</v>
      </c>
      <c r="O237" s="10">
        <v>10863574</v>
      </c>
      <c r="P237" s="10">
        <v>4503297</v>
      </c>
      <c r="Q237" s="10">
        <v>5129410</v>
      </c>
      <c r="R237" s="10">
        <v>2615042</v>
      </c>
      <c r="S237" s="10">
        <v>4018200</v>
      </c>
      <c r="T237" s="10">
        <v>1738000</v>
      </c>
      <c r="U237" s="10">
        <v>1738000</v>
      </c>
      <c r="V237" s="8"/>
      <c r="W237" s="8"/>
      <c r="X237" s="8"/>
      <c r="Y237" s="12">
        <v>-8970374</v>
      </c>
      <c r="Z237" s="13">
        <v>6360277</v>
      </c>
      <c r="AA237" s="12">
        <v>-626113</v>
      </c>
      <c r="AB237" s="13">
        <v>2514368</v>
      </c>
      <c r="AC237" s="12">
        <v>-1403158</v>
      </c>
      <c r="AD237" s="13">
        <v>2280200</v>
      </c>
      <c r="AE237" s="11">
        <v>0</v>
      </c>
      <c r="AF237" s="13">
        <v>1738000</v>
      </c>
      <c r="AG237" s="8"/>
      <c r="AH237" s="8"/>
      <c r="AI237" s="8"/>
      <c r="AJ237" s="10">
        <v>8327580801.3999996</v>
      </c>
      <c r="AK237" s="10">
        <v>61768813463.900002</v>
      </c>
      <c r="AL237" s="10">
        <v>27244946857.099998</v>
      </c>
      <c r="AM237" s="10">
        <v>25454697171.200001</v>
      </c>
      <c r="AN237" s="10">
        <v>9175676460</v>
      </c>
      <c r="AO237" s="10">
        <v>12707557527.6</v>
      </c>
      <c r="AP237" s="10">
        <v>5996099956.75</v>
      </c>
      <c r="AQ237" s="10">
        <v>5996099956.75</v>
      </c>
      <c r="AR237" s="8"/>
      <c r="AS237" s="8"/>
      <c r="AT237" s="8"/>
      <c r="AU237" s="14">
        <v>45930</v>
      </c>
      <c r="AV237" s="14">
        <v>45657</v>
      </c>
      <c r="AW237" s="14">
        <v>45291</v>
      </c>
      <c r="AX237" s="14">
        <v>44926</v>
      </c>
      <c r="AY237" s="14">
        <v>44561</v>
      </c>
      <c r="AZ237" s="14">
        <v>44196</v>
      </c>
      <c r="BA237" s="14">
        <v>43343</v>
      </c>
      <c r="BB237" s="14">
        <v>43343</v>
      </c>
      <c r="BC237" s="8"/>
      <c r="BD237" s="8"/>
      <c r="BE237" s="8"/>
      <c r="BF237" s="8" t="s">
        <v>35</v>
      </c>
      <c r="BG237" s="8" t="s">
        <v>35</v>
      </c>
      <c r="BH237" s="8" t="s">
        <v>35</v>
      </c>
      <c r="BI237" s="8" t="s">
        <v>35</v>
      </c>
      <c r="BJ237" s="8" t="s">
        <v>35</v>
      </c>
      <c r="BK237" s="8" t="s">
        <v>35</v>
      </c>
      <c r="BL237" s="8" t="s">
        <v>35</v>
      </c>
      <c r="BM237" s="8" t="s">
        <v>35</v>
      </c>
      <c r="BN237" s="8"/>
      <c r="BO237" s="8"/>
      <c r="BP237" s="8"/>
      <c r="BQ237" s="8" t="s">
        <v>31</v>
      </c>
      <c r="BR237" s="8" t="s">
        <v>49</v>
      </c>
      <c r="BS237" s="10">
        <v>1632088946221180</v>
      </c>
      <c r="BT237" s="8"/>
      <c r="BU237" s="8" t="s">
        <v>27</v>
      </c>
      <c r="BV237" s="8" t="s">
        <v>27</v>
      </c>
      <c r="BW237" s="8" t="s">
        <v>27</v>
      </c>
      <c r="BX237" s="8" t="s">
        <v>27</v>
      </c>
      <c r="BY237" s="8" t="s">
        <v>27</v>
      </c>
      <c r="BZ237" s="8" t="s">
        <v>27</v>
      </c>
      <c r="CA237" s="8" t="s">
        <v>27</v>
      </c>
      <c r="CB237" s="8" t="s">
        <v>42</v>
      </c>
      <c r="CC237" s="8"/>
      <c r="CD237" s="8"/>
      <c r="CE237" s="8"/>
      <c r="CF237" s="8" t="s">
        <v>385</v>
      </c>
      <c r="CG237" s="8" t="s">
        <v>39</v>
      </c>
    </row>
    <row r="238" spans="1:85" ht="15.75" customHeight="1" x14ac:dyDescent="0.35">
      <c r="A238" s="8">
        <v>231</v>
      </c>
      <c r="B238" s="8" t="s">
        <v>386</v>
      </c>
      <c r="C238" s="9">
        <v>2.0000000000000002E-5</v>
      </c>
      <c r="D238" s="9">
        <v>0</v>
      </c>
      <c r="E238" s="9">
        <v>3.3100000000000002E-4</v>
      </c>
      <c r="F238" s="9">
        <v>8.7000000000000001E-5</v>
      </c>
      <c r="G238" s="8"/>
      <c r="H238" s="8"/>
      <c r="I238" s="8"/>
      <c r="J238" s="8"/>
      <c r="K238" s="8"/>
      <c r="L238" s="8"/>
      <c r="M238" s="9">
        <v>1.03E-4</v>
      </c>
      <c r="N238" s="10">
        <v>1867900</v>
      </c>
      <c r="O238" s="10">
        <v>0</v>
      </c>
      <c r="P238" s="10">
        <v>30595800</v>
      </c>
      <c r="Q238" s="10">
        <v>8003400</v>
      </c>
      <c r="R238" s="8"/>
      <c r="S238" s="8"/>
      <c r="T238" s="8"/>
      <c r="U238" s="8"/>
      <c r="V238" s="8"/>
      <c r="W238" s="8"/>
      <c r="X238" s="10">
        <v>9508000</v>
      </c>
      <c r="Y238" s="13">
        <v>1867900</v>
      </c>
      <c r="Z238" s="12">
        <v>-30595800</v>
      </c>
      <c r="AA238" s="13">
        <v>22592400</v>
      </c>
      <c r="AB238" s="13">
        <v>8003400</v>
      </c>
      <c r="AC238" s="8"/>
      <c r="AD238" s="8"/>
      <c r="AE238" s="8"/>
      <c r="AF238" s="8"/>
      <c r="AG238" s="8"/>
      <c r="AH238" s="8"/>
      <c r="AI238" s="11">
        <v>0</v>
      </c>
      <c r="AJ238" s="10">
        <v>9908997135.7999992</v>
      </c>
      <c r="AK238" s="10">
        <v>0</v>
      </c>
      <c r="AL238" s="10">
        <v>185104589932.20001</v>
      </c>
      <c r="AM238" s="10">
        <v>39716872583.849998</v>
      </c>
      <c r="AN238" s="8"/>
      <c r="AO238" s="8"/>
      <c r="AP238" s="8"/>
      <c r="AQ238" s="8"/>
      <c r="AR238" s="8"/>
      <c r="AS238" s="8"/>
      <c r="AT238" s="10">
        <v>26147000025.849998</v>
      </c>
      <c r="AU238" s="14">
        <v>45808</v>
      </c>
      <c r="AV238" s="14">
        <v>45382</v>
      </c>
      <c r="AW238" s="14">
        <v>45291</v>
      </c>
      <c r="AX238" s="14">
        <v>44926</v>
      </c>
      <c r="AY238" s="8"/>
      <c r="AZ238" s="8"/>
      <c r="BA238" s="8"/>
      <c r="BB238" s="8"/>
      <c r="BC238" s="8"/>
      <c r="BD238" s="8"/>
      <c r="BE238" s="14">
        <v>42035</v>
      </c>
      <c r="BF238" s="8" t="s">
        <v>35</v>
      </c>
      <c r="BG238" s="8" t="s">
        <v>35</v>
      </c>
      <c r="BH238" s="8" t="s">
        <v>35</v>
      </c>
      <c r="BI238" s="8" t="s">
        <v>35</v>
      </c>
      <c r="BJ238" s="8"/>
      <c r="BK238" s="8"/>
      <c r="BL238" s="8"/>
      <c r="BM238" s="8"/>
      <c r="BN238" s="8"/>
      <c r="BO238" s="8"/>
      <c r="BP238" s="8" t="s">
        <v>35</v>
      </c>
      <c r="BQ238" s="8" t="s">
        <v>31</v>
      </c>
      <c r="BR238" s="8" t="s">
        <v>49</v>
      </c>
      <c r="BS238" s="10">
        <v>25417214314604.398</v>
      </c>
      <c r="BT238" s="8" t="s">
        <v>57</v>
      </c>
      <c r="BU238" s="8" t="s">
        <v>42</v>
      </c>
      <c r="BV238" s="8" t="s">
        <v>43</v>
      </c>
      <c r="BW238" s="8" t="s">
        <v>43</v>
      </c>
      <c r="BX238" s="8" t="s">
        <v>43</v>
      </c>
      <c r="BY238" s="8"/>
      <c r="BZ238" s="8"/>
      <c r="CA238" s="8"/>
      <c r="CB238" s="8"/>
      <c r="CC238" s="8"/>
      <c r="CD238" s="8"/>
      <c r="CE238" s="8" t="s">
        <v>42</v>
      </c>
      <c r="CF238" s="8" t="s">
        <v>50</v>
      </c>
      <c r="CG238" s="8" t="s">
        <v>51</v>
      </c>
    </row>
    <row r="239" spans="1:85" ht="15.75" customHeight="1" x14ac:dyDescent="0.35">
      <c r="A239" s="8">
        <v>232</v>
      </c>
      <c r="B239" s="8" t="s">
        <v>387</v>
      </c>
      <c r="C239" s="9">
        <v>2.0000000000000002E-5</v>
      </c>
      <c r="D239" s="9">
        <v>2.0000000000000002E-5</v>
      </c>
      <c r="E239" s="8"/>
      <c r="F239" s="8"/>
      <c r="G239" s="9">
        <v>0</v>
      </c>
      <c r="H239" s="9">
        <v>0</v>
      </c>
      <c r="I239" s="8"/>
      <c r="J239" s="8"/>
      <c r="K239" s="8"/>
      <c r="L239" s="8"/>
      <c r="M239" s="8"/>
      <c r="N239" s="10">
        <v>1857300</v>
      </c>
      <c r="O239" s="10">
        <v>1857300</v>
      </c>
      <c r="P239" s="8"/>
      <c r="Q239" s="8"/>
      <c r="R239" s="10">
        <v>0</v>
      </c>
      <c r="S239" s="10">
        <v>0</v>
      </c>
      <c r="T239" s="8"/>
      <c r="U239" s="8"/>
      <c r="V239" s="8"/>
      <c r="W239" s="8"/>
      <c r="X239" s="8"/>
      <c r="Y239" s="11">
        <v>0</v>
      </c>
      <c r="Z239" s="13">
        <v>1857300</v>
      </c>
      <c r="AA239" s="8"/>
      <c r="AB239" s="8"/>
      <c r="AC239" s="11">
        <v>0</v>
      </c>
      <c r="AD239" s="11">
        <v>0</v>
      </c>
      <c r="AE239" s="8"/>
      <c r="AF239" s="8"/>
      <c r="AG239" s="8"/>
      <c r="AH239" s="8"/>
      <c r="AI239" s="8"/>
      <c r="AJ239" s="10">
        <v>10560356779.6</v>
      </c>
      <c r="AK239" s="10">
        <v>10560356779.6</v>
      </c>
      <c r="AL239" s="8"/>
      <c r="AM239" s="8"/>
      <c r="AN239" s="10">
        <v>0</v>
      </c>
      <c r="AO239" s="10">
        <v>0</v>
      </c>
      <c r="AP239" s="8"/>
      <c r="AQ239" s="8"/>
      <c r="AR239" s="8"/>
      <c r="AS239" s="8"/>
      <c r="AT239" s="8"/>
      <c r="AU239" s="14">
        <v>45657</v>
      </c>
      <c r="AV239" s="14">
        <v>45657</v>
      </c>
      <c r="AW239" s="8"/>
      <c r="AX239" s="8"/>
      <c r="AY239" s="14">
        <v>44012</v>
      </c>
      <c r="AZ239" s="14">
        <v>44012</v>
      </c>
      <c r="BA239" s="8"/>
      <c r="BB239" s="8"/>
      <c r="BC239" s="8"/>
      <c r="BD239" s="8"/>
      <c r="BE239" s="8"/>
      <c r="BF239" s="8" t="s">
        <v>35</v>
      </c>
      <c r="BG239" s="8" t="s">
        <v>35</v>
      </c>
      <c r="BH239" s="8"/>
      <c r="BI239" s="8"/>
      <c r="BJ239" s="8" t="s">
        <v>35</v>
      </c>
      <c r="BK239" s="8" t="s">
        <v>35</v>
      </c>
      <c r="BL239" s="8"/>
      <c r="BM239" s="8"/>
      <c r="BN239" s="8"/>
      <c r="BO239" s="8"/>
      <c r="BP239" s="8"/>
      <c r="BQ239" s="8" t="s">
        <v>31</v>
      </c>
      <c r="BR239" s="8" t="s">
        <v>36</v>
      </c>
      <c r="BS239" s="10">
        <v>41844199328248.797</v>
      </c>
      <c r="BT239" s="8"/>
      <c r="BU239" s="8" t="s">
        <v>27</v>
      </c>
      <c r="BV239" s="8" t="s">
        <v>42</v>
      </c>
      <c r="BW239" s="8"/>
      <c r="BX239" s="8"/>
      <c r="BY239" s="8" t="s">
        <v>43</v>
      </c>
      <c r="BZ239" s="8" t="s">
        <v>42</v>
      </c>
      <c r="CA239" s="8"/>
      <c r="CB239" s="8"/>
      <c r="CC239" s="8"/>
      <c r="CD239" s="8"/>
      <c r="CE239" s="8"/>
      <c r="CF239" s="8" t="s">
        <v>388</v>
      </c>
      <c r="CG239" s="8" t="s">
        <v>39</v>
      </c>
    </row>
    <row r="240" spans="1:85" ht="15.75" customHeight="1" x14ac:dyDescent="0.35">
      <c r="A240" s="8">
        <v>233</v>
      </c>
      <c r="B240" s="8" t="s">
        <v>389</v>
      </c>
      <c r="C240" s="9">
        <v>1.9000000000000001E-5</v>
      </c>
      <c r="D240" s="9">
        <v>1.9000000000000001E-4</v>
      </c>
      <c r="E240" s="9">
        <v>1.9999999999999999E-6</v>
      </c>
      <c r="F240" s="9">
        <v>1E-4</v>
      </c>
      <c r="G240" s="9">
        <v>3.0000000000000001E-6</v>
      </c>
      <c r="H240" s="9">
        <v>1.9999999999999999E-6</v>
      </c>
      <c r="I240" s="9">
        <v>1.0399999999999999E-4</v>
      </c>
      <c r="J240" s="9">
        <v>5.3999999999999998E-5</v>
      </c>
      <c r="K240" s="9">
        <v>6.0000000000000002E-6</v>
      </c>
      <c r="L240" s="9">
        <v>1.02E-4</v>
      </c>
      <c r="M240" s="9">
        <v>1.15E-4</v>
      </c>
      <c r="N240" s="10">
        <v>1725000</v>
      </c>
      <c r="O240" s="10">
        <v>17527700</v>
      </c>
      <c r="P240" s="10">
        <v>225800</v>
      </c>
      <c r="Q240" s="10">
        <v>9204400</v>
      </c>
      <c r="R240" s="10">
        <v>272600</v>
      </c>
      <c r="S240" s="10">
        <v>150000</v>
      </c>
      <c r="T240" s="10">
        <v>9635400</v>
      </c>
      <c r="U240" s="10">
        <v>5020200</v>
      </c>
      <c r="V240" s="10">
        <v>556200</v>
      </c>
      <c r="W240" s="10">
        <v>9387200</v>
      </c>
      <c r="X240" s="10">
        <v>10603600</v>
      </c>
      <c r="Y240" s="12">
        <v>-15802700</v>
      </c>
      <c r="Z240" s="13">
        <v>17301900</v>
      </c>
      <c r="AA240" s="12">
        <v>-8978600</v>
      </c>
      <c r="AB240" s="13">
        <v>8931800</v>
      </c>
      <c r="AC240" s="13">
        <v>122600</v>
      </c>
      <c r="AD240" s="12">
        <v>-9485400</v>
      </c>
      <c r="AE240" s="13">
        <v>4615200</v>
      </c>
      <c r="AF240" s="13">
        <v>4464000</v>
      </c>
      <c r="AG240" s="12">
        <v>-8831000</v>
      </c>
      <c r="AH240" s="12">
        <v>-1216400</v>
      </c>
      <c r="AI240" s="13">
        <v>7737600</v>
      </c>
      <c r="AJ240" s="10">
        <v>8434109553.3000002</v>
      </c>
      <c r="AK240" s="10">
        <v>99660133218.600006</v>
      </c>
      <c r="AL240" s="10">
        <v>1320930024.05</v>
      </c>
      <c r="AM240" s="10">
        <v>48438155051</v>
      </c>
      <c r="AN240" s="10">
        <v>817800046.75</v>
      </c>
      <c r="AO240" s="10">
        <v>474374934.10000002</v>
      </c>
      <c r="AP240" s="10">
        <v>36869595153.199997</v>
      </c>
      <c r="AQ240" s="10">
        <v>18574740041</v>
      </c>
      <c r="AR240" s="10">
        <v>2057940047.52</v>
      </c>
      <c r="AS240" s="10">
        <v>26342830054.099998</v>
      </c>
      <c r="AT240" s="10">
        <v>24529722247.650002</v>
      </c>
      <c r="AU240" s="14">
        <v>45838</v>
      </c>
      <c r="AV240" s="14">
        <v>45657</v>
      </c>
      <c r="AW240" s="14">
        <v>45260</v>
      </c>
      <c r="AX240" s="14">
        <v>44895</v>
      </c>
      <c r="AY240" s="14">
        <v>44347</v>
      </c>
      <c r="AZ240" s="14">
        <v>44165</v>
      </c>
      <c r="BA240" s="14">
        <v>43830</v>
      </c>
      <c r="BB240" s="14">
        <v>43434</v>
      </c>
      <c r="BC240" s="14">
        <v>43069</v>
      </c>
      <c r="BD240" s="14">
        <v>42613</v>
      </c>
      <c r="BE240" s="14">
        <v>42369</v>
      </c>
      <c r="BF240" s="8" t="s">
        <v>35</v>
      </c>
      <c r="BG240" s="8" t="s">
        <v>35</v>
      </c>
      <c r="BH240" s="8" t="s">
        <v>35</v>
      </c>
      <c r="BI240" s="8" t="s">
        <v>35</v>
      </c>
      <c r="BJ240" s="8" t="s">
        <v>35</v>
      </c>
      <c r="BK240" s="8" t="s">
        <v>35</v>
      </c>
      <c r="BL240" s="8" t="s">
        <v>35</v>
      </c>
      <c r="BM240" s="8" t="s">
        <v>35</v>
      </c>
      <c r="BN240" s="8" t="s">
        <v>35</v>
      </c>
      <c r="BO240" s="8" t="s">
        <v>35</v>
      </c>
      <c r="BP240" s="8" t="s">
        <v>35</v>
      </c>
      <c r="BQ240" s="8" t="s">
        <v>31</v>
      </c>
      <c r="BR240" s="8" t="s">
        <v>49</v>
      </c>
      <c r="BS240" s="10">
        <v>115448931192034</v>
      </c>
      <c r="BT240" s="8" t="s">
        <v>37</v>
      </c>
      <c r="BU240" s="8" t="s">
        <v>27</v>
      </c>
      <c r="BV240" s="8" t="s">
        <v>42</v>
      </c>
      <c r="BW240" s="8" t="s">
        <v>42</v>
      </c>
      <c r="BX240" s="8" t="s">
        <v>42</v>
      </c>
      <c r="BY240" s="8" t="s">
        <v>42</v>
      </c>
      <c r="BZ240" s="8" t="s">
        <v>42</v>
      </c>
      <c r="CA240" s="8" t="s">
        <v>42</v>
      </c>
      <c r="CB240" s="8" t="s">
        <v>42</v>
      </c>
      <c r="CC240" s="8" t="s">
        <v>42</v>
      </c>
      <c r="CD240" s="8" t="s">
        <v>42</v>
      </c>
      <c r="CE240" s="8" t="s">
        <v>42</v>
      </c>
      <c r="CF240" s="8" t="s">
        <v>58</v>
      </c>
      <c r="CG240" s="8" t="s">
        <v>59</v>
      </c>
    </row>
    <row r="241" spans="1:85" ht="15.75" customHeight="1" x14ac:dyDescent="0.35">
      <c r="A241" s="8">
        <v>234</v>
      </c>
      <c r="B241" s="8" t="s">
        <v>390</v>
      </c>
      <c r="C241" s="9">
        <v>1.9000000000000001E-5</v>
      </c>
      <c r="D241" s="9">
        <v>2.8E-5</v>
      </c>
      <c r="E241" s="9">
        <v>0</v>
      </c>
      <c r="F241" s="9">
        <v>3.8000000000000002E-5</v>
      </c>
      <c r="G241" s="9">
        <v>0</v>
      </c>
      <c r="H241" s="9">
        <v>1.0000000000000001E-5</v>
      </c>
      <c r="I241" s="9">
        <v>0</v>
      </c>
      <c r="J241" s="9">
        <v>0</v>
      </c>
      <c r="K241" s="9">
        <v>9.3999999999999994E-5</v>
      </c>
      <c r="L241" s="9">
        <v>0</v>
      </c>
      <c r="M241" s="9">
        <v>0</v>
      </c>
      <c r="N241" s="10">
        <v>1715040</v>
      </c>
      <c r="O241" s="10">
        <v>2556640</v>
      </c>
      <c r="P241" s="10">
        <v>0</v>
      </c>
      <c r="Q241" s="10">
        <v>3521600</v>
      </c>
      <c r="R241" s="10">
        <v>0</v>
      </c>
      <c r="S241" s="10">
        <v>937000</v>
      </c>
      <c r="T241" s="10">
        <v>0</v>
      </c>
      <c r="U241" s="10">
        <v>0</v>
      </c>
      <c r="V241" s="10">
        <v>8680400</v>
      </c>
      <c r="W241" s="10">
        <v>0</v>
      </c>
      <c r="X241" s="10">
        <v>0</v>
      </c>
      <c r="Y241" s="12">
        <v>-841600</v>
      </c>
      <c r="Z241" s="13">
        <v>2556640</v>
      </c>
      <c r="AA241" s="12">
        <v>-3521600</v>
      </c>
      <c r="AB241" s="13">
        <v>3521600</v>
      </c>
      <c r="AC241" s="12">
        <v>-937000</v>
      </c>
      <c r="AD241" s="13">
        <v>937000</v>
      </c>
      <c r="AE241" s="11">
        <v>0</v>
      </c>
      <c r="AF241" s="12">
        <v>-8680400</v>
      </c>
      <c r="AG241" s="13">
        <v>8680400</v>
      </c>
      <c r="AH241" s="11">
        <v>0</v>
      </c>
      <c r="AI241" s="12">
        <v>-7018820</v>
      </c>
      <c r="AJ241" s="10">
        <v>8385411762.8999996</v>
      </c>
      <c r="AK241" s="10">
        <v>14536709533.299999</v>
      </c>
      <c r="AL241" s="10">
        <v>0</v>
      </c>
      <c r="AM241" s="10">
        <v>17475939954</v>
      </c>
      <c r="AN241" s="10">
        <v>0</v>
      </c>
      <c r="AO241" s="10">
        <v>2963262463.1999998</v>
      </c>
      <c r="AP241" s="10">
        <v>0</v>
      </c>
      <c r="AQ241" s="10">
        <v>0</v>
      </c>
      <c r="AR241" s="10">
        <v>34721600024.75</v>
      </c>
      <c r="AS241" s="10">
        <v>0</v>
      </c>
      <c r="AT241" s="10">
        <v>0</v>
      </c>
      <c r="AU241" s="14">
        <v>45838</v>
      </c>
      <c r="AV241" s="14">
        <v>45657</v>
      </c>
      <c r="AW241" s="14">
        <v>45107</v>
      </c>
      <c r="AX241" s="14">
        <v>44926</v>
      </c>
      <c r="AY241" s="14">
        <v>44561</v>
      </c>
      <c r="AZ241" s="14">
        <v>44196</v>
      </c>
      <c r="BA241" s="14">
        <v>43830</v>
      </c>
      <c r="BB241" s="14">
        <v>43465</v>
      </c>
      <c r="BC241" s="14">
        <v>43100</v>
      </c>
      <c r="BD241" s="14">
        <v>42735</v>
      </c>
      <c r="BE241" s="14">
        <v>42369</v>
      </c>
      <c r="BF241" s="8" t="s">
        <v>35</v>
      </c>
      <c r="BG241" s="8" t="s">
        <v>35</v>
      </c>
      <c r="BH241" s="8" t="s">
        <v>35</v>
      </c>
      <c r="BI241" s="8" t="s">
        <v>35</v>
      </c>
      <c r="BJ241" s="8" t="s">
        <v>35</v>
      </c>
      <c r="BK241" s="8" t="s">
        <v>35</v>
      </c>
      <c r="BL241" s="8" t="s">
        <v>35</v>
      </c>
      <c r="BM241" s="8" t="s">
        <v>35</v>
      </c>
      <c r="BN241" s="8" t="s">
        <v>35</v>
      </c>
      <c r="BO241" s="8" t="s">
        <v>35</v>
      </c>
      <c r="BP241" s="8" t="s">
        <v>35</v>
      </c>
      <c r="BQ241" s="8" t="s">
        <v>31</v>
      </c>
      <c r="BR241" s="8" t="s">
        <v>36</v>
      </c>
      <c r="BS241" s="10">
        <v>28318626052408.801</v>
      </c>
      <c r="BT241" s="8"/>
      <c r="BU241" s="8" t="s">
        <v>27</v>
      </c>
      <c r="BV241" s="8" t="s">
        <v>42</v>
      </c>
      <c r="BW241" s="8" t="s">
        <v>43</v>
      </c>
      <c r="BX241" s="8" t="s">
        <v>43</v>
      </c>
      <c r="BY241" s="8" t="s">
        <v>43</v>
      </c>
      <c r="BZ241" s="8" t="s">
        <v>43</v>
      </c>
      <c r="CA241" s="8" t="s">
        <v>42</v>
      </c>
      <c r="CB241" s="8" t="s">
        <v>42</v>
      </c>
      <c r="CC241" s="8" t="s">
        <v>42</v>
      </c>
      <c r="CD241" s="8" t="s">
        <v>43</v>
      </c>
      <c r="CE241" s="8" t="s">
        <v>42</v>
      </c>
      <c r="CF241" s="8" t="s">
        <v>391</v>
      </c>
      <c r="CG241" s="8" t="s">
        <v>99</v>
      </c>
    </row>
    <row r="242" spans="1:85" ht="15.75" customHeight="1" x14ac:dyDescent="0.35">
      <c r="A242" s="8">
        <v>235</v>
      </c>
      <c r="B242" s="8" t="s">
        <v>392</v>
      </c>
      <c r="C242" s="9">
        <v>1.8E-5</v>
      </c>
      <c r="D242" s="9">
        <v>1.5999999999999999E-5</v>
      </c>
      <c r="E242" s="9">
        <v>0</v>
      </c>
      <c r="F242" s="9">
        <v>0</v>
      </c>
      <c r="G242" s="8"/>
      <c r="H242" s="8"/>
      <c r="I242" s="8"/>
      <c r="J242" s="8"/>
      <c r="K242" s="8"/>
      <c r="L242" s="8"/>
      <c r="M242" s="8"/>
      <c r="N242" s="10">
        <v>1697400</v>
      </c>
      <c r="O242" s="10">
        <v>1453500</v>
      </c>
      <c r="P242" s="10">
        <v>0</v>
      </c>
      <c r="Q242" s="10">
        <v>0</v>
      </c>
      <c r="R242" s="8"/>
      <c r="S242" s="8"/>
      <c r="T242" s="8"/>
      <c r="U242" s="8"/>
      <c r="V242" s="8"/>
      <c r="W242" s="8"/>
      <c r="X242" s="8"/>
      <c r="Y242" s="13">
        <v>243900</v>
      </c>
      <c r="Z242" s="13">
        <v>1453500</v>
      </c>
      <c r="AA242" s="11">
        <v>0</v>
      </c>
      <c r="AB242" s="11">
        <v>0</v>
      </c>
      <c r="AC242" s="8"/>
      <c r="AD242" s="8"/>
      <c r="AE242" s="8"/>
      <c r="AF242" s="8"/>
      <c r="AG242" s="8"/>
      <c r="AH242" s="8"/>
      <c r="AI242" s="8"/>
      <c r="AJ242" s="10">
        <v>8299163757.6000004</v>
      </c>
      <c r="AK242" s="10">
        <v>8264404527.1999998</v>
      </c>
      <c r="AL242" s="10">
        <v>0</v>
      </c>
      <c r="AM242" s="10">
        <v>0</v>
      </c>
      <c r="AN242" s="8"/>
      <c r="AO242" s="8"/>
      <c r="AP242" s="8"/>
      <c r="AQ242" s="8"/>
      <c r="AR242" s="8"/>
      <c r="AS242" s="8"/>
      <c r="AT242" s="8"/>
      <c r="AU242" s="14">
        <v>45838</v>
      </c>
      <c r="AV242" s="14">
        <v>45657</v>
      </c>
      <c r="AW242" s="14">
        <v>44926</v>
      </c>
      <c r="AX242" s="14">
        <v>44926</v>
      </c>
      <c r="AY242" s="8"/>
      <c r="AZ242" s="8"/>
      <c r="BA242" s="8"/>
      <c r="BB242" s="8"/>
      <c r="BC242" s="8"/>
      <c r="BD242" s="8"/>
      <c r="BE242" s="8"/>
      <c r="BF242" s="8" t="s">
        <v>35</v>
      </c>
      <c r="BG242" s="8" t="s">
        <v>35</v>
      </c>
      <c r="BH242" s="8" t="s">
        <v>35</v>
      </c>
      <c r="BI242" s="8" t="s">
        <v>35</v>
      </c>
      <c r="BJ242" s="8"/>
      <c r="BK242" s="8"/>
      <c r="BL242" s="8"/>
      <c r="BM242" s="8"/>
      <c r="BN242" s="8"/>
      <c r="BO242" s="8"/>
      <c r="BP242" s="8"/>
      <c r="BQ242" s="8" t="s">
        <v>31</v>
      </c>
      <c r="BR242" s="8" t="s">
        <v>36</v>
      </c>
      <c r="BS242" s="10">
        <v>163335914494171</v>
      </c>
      <c r="BT242" s="8" t="s">
        <v>393</v>
      </c>
      <c r="BU242" s="8" t="s">
        <v>27</v>
      </c>
      <c r="BV242" s="8" t="s">
        <v>43</v>
      </c>
      <c r="BW242" s="8" t="s">
        <v>27</v>
      </c>
      <c r="BX242" s="8" t="s">
        <v>42</v>
      </c>
      <c r="BY242" s="8"/>
      <c r="BZ242" s="8"/>
      <c r="CA242" s="8"/>
      <c r="CB242" s="8"/>
      <c r="CC242" s="8"/>
      <c r="CD242" s="8"/>
      <c r="CE242" s="8"/>
      <c r="CF242" s="8" t="s">
        <v>232</v>
      </c>
      <c r="CG242" s="8" t="s">
        <v>232</v>
      </c>
    </row>
    <row r="243" spans="1:85" ht="15.75" customHeight="1" x14ac:dyDescent="0.35">
      <c r="A243" s="8">
        <v>236</v>
      </c>
      <c r="B243" s="8" t="s">
        <v>394</v>
      </c>
      <c r="C243" s="9">
        <v>1.8E-5</v>
      </c>
      <c r="D243" s="9">
        <v>2.0000000000000002E-5</v>
      </c>
      <c r="E243" s="9">
        <v>9.6000000000000002E-5</v>
      </c>
      <c r="F243" s="9">
        <v>1.5200000000000001E-4</v>
      </c>
      <c r="G243" s="9">
        <v>4.6E-5</v>
      </c>
      <c r="H243" s="8"/>
      <c r="I243" s="9">
        <v>0</v>
      </c>
      <c r="J243" s="9">
        <v>5.0000000000000004E-6</v>
      </c>
      <c r="K243" s="9">
        <v>3.9999999999999998E-6</v>
      </c>
      <c r="L243" s="8"/>
      <c r="M243" s="8"/>
      <c r="N243" s="10">
        <v>1648900</v>
      </c>
      <c r="O243" s="10">
        <v>1808900</v>
      </c>
      <c r="P243" s="10">
        <v>8914900</v>
      </c>
      <c r="Q243" s="10">
        <v>14029400</v>
      </c>
      <c r="R243" s="10">
        <v>4221200</v>
      </c>
      <c r="S243" s="8"/>
      <c r="T243" s="10">
        <v>0</v>
      </c>
      <c r="U243" s="10">
        <v>471400</v>
      </c>
      <c r="V243" s="10">
        <v>338800</v>
      </c>
      <c r="W243" s="8"/>
      <c r="X243" s="8"/>
      <c r="Y243" s="12">
        <v>-160000</v>
      </c>
      <c r="Z243" s="12">
        <v>-7106000</v>
      </c>
      <c r="AA243" s="12">
        <v>-5114500</v>
      </c>
      <c r="AB243" s="13">
        <v>9808200</v>
      </c>
      <c r="AC243" s="13">
        <v>4221200</v>
      </c>
      <c r="AD243" s="8"/>
      <c r="AE243" s="12">
        <v>-471400</v>
      </c>
      <c r="AF243" s="13">
        <v>132600</v>
      </c>
      <c r="AG243" s="13">
        <v>338800</v>
      </c>
      <c r="AH243" s="8"/>
      <c r="AI243" s="8"/>
      <c r="AJ243" s="10">
        <v>8747227027.1499996</v>
      </c>
      <c r="AK243" s="10">
        <v>10285160981.9</v>
      </c>
      <c r="AL243" s="10">
        <v>52152164943.900002</v>
      </c>
      <c r="AM243" s="10">
        <v>69620897537.949997</v>
      </c>
      <c r="AN243" s="10">
        <v>14811374047.5</v>
      </c>
      <c r="AO243" s="8"/>
      <c r="AP243" s="10">
        <v>0</v>
      </c>
      <c r="AQ243" s="10">
        <v>1626330013.5</v>
      </c>
      <c r="AR243" s="10">
        <v>1109569951.98</v>
      </c>
      <c r="AS243" s="8"/>
      <c r="AT243" s="8"/>
      <c r="AU243" s="14">
        <v>45808</v>
      </c>
      <c r="AV243" s="14">
        <v>45657</v>
      </c>
      <c r="AW243" s="14">
        <v>45260</v>
      </c>
      <c r="AX243" s="14">
        <v>44926</v>
      </c>
      <c r="AY243" s="14">
        <v>44561</v>
      </c>
      <c r="AZ243" s="8"/>
      <c r="BA243" s="14">
        <v>43524</v>
      </c>
      <c r="BB243" s="14">
        <v>43343</v>
      </c>
      <c r="BC243" s="14">
        <v>42978</v>
      </c>
      <c r="BD243" s="8"/>
      <c r="BE243" s="8"/>
      <c r="BF243" s="8" t="s">
        <v>35</v>
      </c>
      <c r="BG243" s="8" t="s">
        <v>35</v>
      </c>
      <c r="BH243" s="8" t="s">
        <v>35</v>
      </c>
      <c r="BI243" s="8" t="s">
        <v>35</v>
      </c>
      <c r="BJ243" s="8" t="s">
        <v>35</v>
      </c>
      <c r="BK243" s="8"/>
      <c r="BL243" s="8" t="s">
        <v>35</v>
      </c>
      <c r="BM243" s="8" t="s">
        <v>35</v>
      </c>
      <c r="BN243" s="8" t="s">
        <v>35</v>
      </c>
      <c r="BO243" s="8"/>
      <c r="BP243" s="8"/>
      <c r="BQ243" s="8" t="s">
        <v>31</v>
      </c>
      <c r="BR243" s="8" t="s">
        <v>36</v>
      </c>
      <c r="BS243" s="10">
        <v>19433666198354.398</v>
      </c>
      <c r="BT243" s="8" t="s">
        <v>37</v>
      </c>
      <c r="BU243" s="8" t="s">
        <v>27</v>
      </c>
      <c r="BV243" s="8" t="s">
        <v>27</v>
      </c>
      <c r="BW243" s="8" t="s">
        <v>27</v>
      </c>
      <c r="BX243" s="8" t="s">
        <v>27</v>
      </c>
      <c r="BY243" s="8" t="s">
        <v>42</v>
      </c>
      <c r="BZ243" s="8"/>
      <c r="CA243" s="8" t="s">
        <v>42</v>
      </c>
      <c r="CB243" s="8" t="s">
        <v>42</v>
      </c>
      <c r="CC243" s="8" t="s">
        <v>42</v>
      </c>
      <c r="CD243" s="8"/>
      <c r="CE243" s="8"/>
      <c r="CF243" s="8" t="s">
        <v>58</v>
      </c>
      <c r="CG243" s="8" t="s">
        <v>59</v>
      </c>
    </row>
    <row r="244" spans="1:85" ht="15.75" customHeight="1" x14ac:dyDescent="0.35">
      <c r="A244" s="8">
        <v>237</v>
      </c>
      <c r="B244" s="8" t="s">
        <v>395</v>
      </c>
      <c r="C244" s="9">
        <v>1.7E-5</v>
      </c>
      <c r="D244" s="9">
        <v>1.7E-5</v>
      </c>
      <c r="E244" s="9">
        <v>1.7E-5</v>
      </c>
      <c r="F244" s="9">
        <v>1.8E-5</v>
      </c>
      <c r="G244" s="9">
        <v>1.2E-5</v>
      </c>
      <c r="H244" s="9">
        <v>1.2999999999999999E-5</v>
      </c>
      <c r="I244" s="9">
        <v>1.1E-5</v>
      </c>
      <c r="J244" s="9">
        <v>7.9999999999999996E-6</v>
      </c>
      <c r="K244" s="9">
        <v>1.2E-5</v>
      </c>
      <c r="L244" s="9">
        <v>0</v>
      </c>
      <c r="M244" s="9">
        <v>6.0000000000000002E-6</v>
      </c>
      <c r="N244" s="10">
        <v>1607200</v>
      </c>
      <c r="O244" s="10">
        <v>1607200</v>
      </c>
      <c r="P244" s="10">
        <v>1607200</v>
      </c>
      <c r="Q244" s="10">
        <v>1623800</v>
      </c>
      <c r="R244" s="10">
        <v>1072000</v>
      </c>
      <c r="S244" s="10">
        <v>1225200</v>
      </c>
      <c r="T244" s="10">
        <v>1009000</v>
      </c>
      <c r="U244" s="10">
        <v>698600</v>
      </c>
      <c r="V244" s="10">
        <v>1115600</v>
      </c>
      <c r="W244" s="10">
        <v>0</v>
      </c>
      <c r="X244" s="10">
        <v>568000</v>
      </c>
      <c r="Y244" s="11">
        <v>0</v>
      </c>
      <c r="Z244" s="11">
        <v>0</v>
      </c>
      <c r="AA244" s="12">
        <v>-16600</v>
      </c>
      <c r="AB244" s="13">
        <v>551800</v>
      </c>
      <c r="AC244" s="12">
        <v>-153200</v>
      </c>
      <c r="AD244" s="13">
        <v>216200</v>
      </c>
      <c r="AE244" s="13">
        <v>310400</v>
      </c>
      <c r="AF244" s="12">
        <v>-417000</v>
      </c>
      <c r="AG244" s="13">
        <v>1115600</v>
      </c>
      <c r="AH244" s="12">
        <v>-568000</v>
      </c>
      <c r="AI244" s="11">
        <v>0</v>
      </c>
      <c r="AJ244" s="10">
        <v>8347355643.5500002</v>
      </c>
      <c r="AK244" s="10">
        <v>11129860063.200001</v>
      </c>
      <c r="AL244" s="10">
        <v>9642811590</v>
      </c>
      <c r="AM244" s="10">
        <v>7652157471</v>
      </c>
      <c r="AN244" s="10">
        <v>3296399940.9000001</v>
      </c>
      <c r="AO244" s="10">
        <v>3038495936</v>
      </c>
      <c r="AP244" s="10">
        <v>3518887567.8000002</v>
      </c>
      <c r="AQ244" s="10">
        <v>2349042514</v>
      </c>
      <c r="AR244" s="10">
        <v>3751204938.3000002</v>
      </c>
      <c r="AS244" s="10">
        <v>0</v>
      </c>
      <c r="AT244" s="10">
        <v>1125350064.8499999</v>
      </c>
      <c r="AU244" s="14">
        <v>45747</v>
      </c>
      <c r="AV244" s="14">
        <v>45565</v>
      </c>
      <c r="AW244" s="14">
        <v>45199</v>
      </c>
      <c r="AX244" s="14">
        <v>44834</v>
      </c>
      <c r="AY244" s="14">
        <v>44469</v>
      </c>
      <c r="AZ244" s="14">
        <v>44104</v>
      </c>
      <c r="BA244" s="14">
        <v>43738</v>
      </c>
      <c r="BB244" s="14">
        <v>43373</v>
      </c>
      <c r="BC244" s="14">
        <v>43008</v>
      </c>
      <c r="BD244" s="14">
        <v>42643</v>
      </c>
      <c r="BE244" s="14">
        <v>42277</v>
      </c>
      <c r="BF244" s="8" t="s">
        <v>35</v>
      </c>
      <c r="BG244" s="8" t="s">
        <v>35</v>
      </c>
      <c r="BH244" s="8" t="s">
        <v>35</v>
      </c>
      <c r="BI244" s="8" t="s">
        <v>35</v>
      </c>
      <c r="BJ244" s="8" t="s">
        <v>35</v>
      </c>
      <c r="BK244" s="8" t="s">
        <v>35</v>
      </c>
      <c r="BL244" s="8" t="s">
        <v>35</v>
      </c>
      <c r="BM244" s="8" t="s">
        <v>35</v>
      </c>
      <c r="BN244" s="8" t="s">
        <v>35</v>
      </c>
      <c r="BO244" s="8" t="s">
        <v>35</v>
      </c>
      <c r="BP244" s="8" t="s">
        <v>35</v>
      </c>
      <c r="BQ244" s="8" t="s">
        <v>31</v>
      </c>
      <c r="BR244" s="8" t="s">
        <v>36</v>
      </c>
      <c r="BS244" s="10">
        <v>90219761127243.594</v>
      </c>
      <c r="BT244" s="8" t="s">
        <v>61</v>
      </c>
      <c r="BU244" s="8" t="s">
        <v>27</v>
      </c>
      <c r="BV244" s="8" t="s">
        <v>27</v>
      </c>
      <c r="BW244" s="8" t="s">
        <v>27</v>
      </c>
      <c r="BX244" s="8" t="s">
        <v>27</v>
      </c>
      <c r="BY244" s="8" t="s">
        <v>27</v>
      </c>
      <c r="BZ244" s="8" t="s">
        <v>27</v>
      </c>
      <c r="CA244" s="8" t="s">
        <v>27</v>
      </c>
      <c r="CB244" s="8" t="s">
        <v>27</v>
      </c>
      <c r="CC244" s="8" t="s">
        <v>42</v>
      </c>
      <c r="CD244" s="8" t="s">
        <v>27</v>
      </c>
      <c r="CE244" s="8" t="s">
        <v>42</v>
      </c>
      <c r="CF244" s="8" t="s">
        <v>70</v>
      </c>
      <c r="CG244" s="8" t="s">
        <v>71</v>
      </c>
    </row>
    <row r="245" spans="1:85" ht="15.75" customHeight="1" x14ac:dyDescent="0.35">
      <c r="A245" s="8">
        <v>238</v>
      </c>
      <c r="B245" s="8" t="s">
        <v>396</v>
      </c>
      <c r="C245" s="9">
        <v>1.7E-5</v>
      </c>
      <c r="D245" s="9">
        <v>1.7E-5</v>
      </c>
      <c r="E245" s="9">
        <v>3.4E-5</v>
      </c>
      <c r="F245" s="8"/>
      <c r="G245" s="8"/>
      <c r="H245" s="8"/>
      <c r="I245" s="8"/>
      <c r="J245" s="8"/>
      <c r="K245" s="8"/>
      <c r="L245" s="8"/>
      <c r="M245" s="8"/>
      <c r="N245" s="10">
        <v>1576500</v>
      </c>
      <c r="O245" s="10">
        <v>1576500</v>
      </c>
      <c r="P245" s="10">
        <v>3151200</v>
      </c>
      <c r="Q245" s="8"/>
      <c r="R245" s="8"/>
      <c r="S245" s="8"/>
      <c r="T245" s="8"/>
      <c r="U245" s="8"/>
      <c r="V245" s="8"/>
      <c r="W245" s="8"/>
      <c r="X245" s="8"/>
      <c r="Y245" s="11">
        <v>0</v>
      </c>
      <c r="Z245" s="12">
        <v>-1574700</v>
      </c>
      <c r="AA245" s="13">
        <v>3151200</v>
      </c>
      <c r="AB245" s="8"/>
      <c r="AC245" s="8"/>
      <c r="AD245" s="8"/>
      <c r="AE245" s="8"/>
      <c r="AF245" s="8"/>
      <c r="AG245" s="8"/>
      <c r="AH245" s="8"/>
      <c r="AI245" s="8"/>
      <c r="AJ245" s="10">
        <v>10089600087.4</v>
      </c>
      <c r="AK245" s="10">
        <v>10089600087.4</v>
      </c>
      <c r="AL245" s="10">
        <v>19064760032.5</v>
      </c>
      <c r="AM245" s="8"/>
      <c r="AN245" s="8"/>
      <c r="AO245" s="8"/>
      <c r="AP245" s="8"/>
      <c r="AQ245" s="8"/>
      <c r="AR245" s="8"/>
      <c r="AS245" s="8"/>
      <c r="AT245" s="8"/>
      <c r="AU245" s="14">
        <v>45504</v>
      </c>
      <c r="AV245" s="14">
        <v>45504</v>
      </c>
      <c r="AW245" s="14">
        <v>45291</v>
      </c>
      <c r="AX245" s="8"/>
      <c r="AY245" s="8"/>
      <c r="AZ245" s="8"/>
      <c r="BA245" s="8"/>
      <c r="BB245" s="8"/>
      <c r="BC245" s="8"/>
      <c r="BD245" s="8"/>
      <c r="BE245" s="8"/>
      <c r="BF245" s="8" t="s">
        <v>35</v>
      </c>
      <c r="BG245" s="8" t="s">
        <v>35</v>
      </c>
      <c r="BH245" s="8" t="s">
        <v>35</v>
      </c>
      <c r="BI245" s="8"/>
      <c r="BJ245" s="8"/>
      <c r="BK245" s="8"/>
      <c r="BL245" s="8"/>
      <c r="BM245" s="8"/>
      <c r="BN245" s="8"/>
      <c r="BO245" s="8"/>
      <c r="BP245" s="8"/>
      <c r="BQ245" s="8" t="s">
        <v>31</v>
      </c>
      <c r="BR245" s="8" t="s">
        <v>36</v>
      </c>
      <c r="BS245" s="10">
        <v>2159030175966</v>
      </c>
      <c r="BT245" s="8"/>
      <c r="BU245" s="8" t="s">
        <v>27</v>
      </c>
      <c r="BV245" s="8" t="s">
        <v>27</v>
      </c>
      <c r="BW245" s="8" t="s">
        <v>27</v>
      </c>
      <c r="BX245" s="8"/>
      <c r="BY245" s="8"/>
      <c r="BZ245" s="8"/>
      <c r="CA245" s="8"/>
      <c r="CB245" s="8"/>
      <c r="CC245" s="8"/>
      <c r="CD245" s="8"/>
      <c r="CE245" s="8"/>
      <c r="CF245" s="8" t="s">
        <v>50</v>
      </c>
      <c r="CG245" s="8" t="s">
        <v>51</v>
      </c>
    </row>
    <row r="246" spans="1:85" ht="15.75" customHeight="1" x14ac:dyDescent="0.35">
      <c r="A246" s="8">
        <v>239</v>
      </c>
      <c r="B246" s="8" t="s">
        <v>397</v>
      </c>
      <c r="C246" s="9">
        <v>1.7E-5</v>
      </c>
      <c r="D246" s="9">
        <v>2.0999999999999999E-5</v>
      </c>
      <c r="E246" s="9">
        <v>2.4000000000000001E-5</v>
      </c>
      <c r="F246" s="9">
        <v>2.9E-5</v>
      </c>
      <c r="G246" s="9">
        <v>3.1000000000000001E-5</v>
      </c>
      <c r="H246" s="9">
        <v>3.1999999999999999E-5</v>
      </c>
      <c r="I246" s="9">
        <v>3.8999999999999999E-5</v>
      </c>
      <c r="J246" s="9">
        <v>0</v>
      </c>
      <c r="K246" s="9">
        <v>0</v>
      </c>
      <c r="L246" s="9">
        <v>1.5E-5</v>
      </c>
      <c r="M246" s="9">
        <v>1.5999999999999999E-5</v>
      </c>
      <c r="N246" s="10">
        <v>1560833</v>
      </c>
      <c r="O246" s="10">
        <v>1937332</v>
      </c>
      <c r="P246" s="10">
        <v>2223595</v>
      </c>
      <c r="Q246" s="10">
        <v>2691018</v>
      </c>
      <c r="R246" s="10">
        <v>2902866</v>
      </c>
      <c r="S246" s="10">
        <v>2952264</v>
      </c>
      <c r="T246" s="10">
        <v>3559672</v>
      </c>
      <c r="U246" s="10">
        <v>0</v>
      </c>
      <c r="V246" s="10">
        <v>0</v>
      </c>
      <c r="W246" s="10">
        <v>1347656</v>
      </c>
      <c r="X246" s="10">
        <v>1444912</v>
      </c>
      <c r="Y246" s="12">
        <v>-376499</v>
      </c>
      <c r="Z246" s="12">
        <v>-286263</v>
      </c>
      <c r="AA246" s="12">
        <v>-467423</v>
      </c>
      <c r="AB246" s="12">
        <v>-211848</v>
      </c>
      <c r="AC246" s="12">
        <v>-49398</v>
      </c>
      <c r="AD246" s="12">
        <v>-607408</v>
      </c>
      <c r="AE246" s="13">
        <v>3559672</v>
      </c>
      <c r="AF246" s="11">
        <v>0</v>
      </c>
      <c r="AG246" s="12">
        <v>-1347656</v>
      </c>
      <c r="AH246" s="12">
        <v>-97256</v>
      </c>
      <c r="AI246" s="12">
        <v>-305324</v>
      </c>
      <c r="AJ246" s="10">
        <v>7448254018.8000002</v>
      </c>
      <c r="AK246" s="10">
        <v>11015407884.5</v>
      </c>
      <c r="AL246" s="10">
        <v>13452749711.549999</v>
      </c>
      <c r="AM246" s="10">
        <v>13354176817.85</v>
      </c>
      <c r="AN246" s="10">
        <v>10185595192.5</v>
      </c>
      <c r="AO246" s="10">
        <v>9336534854.3999996</v>
      </c>
      <c r="AP246" s="10">
        <v>13620987679.6</v>
      </c>
      <c r="AQ246" s="10">
        <v>0</v>
      </c>
      <c r="AR246" s="10">
        <v>0</v>
      </c>
      <c r="AS246" s="10">
        <v>3899779577.0999999</v>
      </c>
      <c r="AT246" s="10">
        <v>3342571360.8000002</v>
      </c>
      <c r="AU246" s="14">
        <v>45900</v>
      </c>
      <c r="AV246" s="14">
        <v>45657</v>
      </c>
      <c r="AW246" s="14">
        <v>45291</v>
      </c>
      <c r="AX246" s="14">
        <v>44926</v>
      </c>
      <c r="AY246" s="14">
        <v>44561</v>
      </c>
      <c r="AZ246" s="14">
        <v>44196</v>
      </c>
      <c r="BA246" s="14">
        <v>43830</v>
      </c>
      <c r="BB246" s="14">
        <v>43008</v>
      </c>
      <c r="BC246" s="14">
        <v>43008</v>
      </c>
      <c r="BD246" s="14">
        <v>42735</v>
      </c>
      <c r="BE246" s="14">
        <v>42369</v>
      </c>
      <c r="BF246" s="8" t="s">
        <v>35</v>
      </c>
      <c r="BG246" s="8" t="s">
        <v>35</v>
      </c>
      <c r="BH246" s="8" t="s">
        <v>35</v>
      </c>
      <c r="BI246" s="8" t="s">
        <v>35</v>
      </c>
      <c r="BJ246" s="8" t="s">
        <v>35</v>
      </c>
      <c r="BK246" s="8" t="s">
        <v>35</v>
      </c>
      <c r="BL246" s="8" t="s">
        <v>35</v>
      </c>
      <c r="BM246" s="8" t="s">
        <v>35</v>
      </c>
      <c r="BN246" s="8" t="s">
        <v>35</v>
      </c>
      <c r="BO246" s="8" t="s">
        <v>35</v>
      </c>
      <c r="BP246" s="8" t="s">
        <v>35</v>
      </c>
      <c r="BQ246" s="8" t="s">
        <v>31</v>
      </c>
      <c r="BR246" s="8" t="s">
        <v>36</v>
      </c>
      <c r="BS246" s="10">
        <v>1185196387206580</v>
      </c>
      <c r="BT246" s="8" t="s">
        <v>46</v>
      </c>
      <c r="BU246" s="8" t="s">
        <v>43</v>
      </c>
      <c r="BV246" s="8" t="s">
        <v>43</v>
      </c>
      <c r="BW246" s="8" t="s">
        <v>43</v>
      </c>
      <c r="BX246" s="8" t="s">
        <v>43</v>
      </c>
      <c r="BY246" s="8" t="s">
        <v>43</v>
      </c>
      <c r="BZ246" s="8" t="s">
        <v>43</v>
      </c>
      <c r="CA246" s="8" t="s">
        <v>43</v>
      </c>
      <c r="CB246" s="8" t="s">
        <v>43</v>
      </c>
      <c r="CC246" s="8" t="s">
        <v>43</v>
      </c>
      <c r="CD246" s="8" t="s">
        <v>42</v>
      </c>
      <c r="CE246" s="8" t="s">
        <v>42</v>
      </c>
      <c r="CF246" s="8" t="s">
        <v>398</v>
      </c>
      <c r="CG246" s="8" t="s">
        <v>96</v>
      </c>
    </row>
    <row r="247" spans="1:85" ht="15.75" customHeight="1" x14ac:dyDescent="0.35">
      <c r="A247" s="8">
        <v>240</v>
      </c>
      <c r="B247" s="8" t="s">
        <v>399</v>
      </c>
      <c r="C247" s="9">
        <v>1.5999999999999999E-5</v>
      </c>
      <c r="D247" s="9">
        <v>1.8E-5</v>
      </c>
      <c r="E247" s="8"/>
      <c r="F247" s="8"/>
      <c r="G247" s="8"/>
      <c r="H247" s="8"/>
      <c r="I247" s="8"/>
      <c r="J247" s="8"/>
      <c r="K247" s="8"/>
      <c r="L247" s="8"/>
      <c r="M247" s="8"/>
      <c r="N247" s="10">
        <v>1517500</v>
      </c>
      <c r="O247" s="10">
        <v>1668800</v>
      </c>
      <c r="P247" s="8"/>
      <c r="Q247" s="8"/>
      <c r="R247" s="8"/>
      <c r="S247" s="8"/>
      <c r="T247" s="8"/>
      <c r="U247" s="8"/>
      <c r="V247" s="8"/>
      <c r="W247" s="8"/>
      <c r="X247" s="8"/>
      <c r="Y247" s="12">
        <v>-151300</v>
      </c>
      <c r="Z247" s="13">
        <v>1668800</v>
      </c>
      <c r="AA247" s="8"/>
      <c r="AB247" s="8"/>
      <c r="AC247" s="8"/>
      <c r="AD247" s="8"/>
      <c r="AE247" s="8"/>
      <c r="AF247" s="8"/>
      <c r="AG247" s="8"/>
      <c r="AH247" s="8"/>
      <c r="AI247" s="8"/>
      <c r="AJ247" s="10">
        <v>6674996766.1999998</v>
      </c>
      <c r="AK247" s="10">
        <v>9488571308.6000004</v>
      </c>
      <c r="AL247" s="8"/>
      <c r="AM247" s="8"/>
      <c r="AN247" s="8"/>
      <c r="AO247" s="8"/>
      <c r="AP247" s="8"/>
      <c r="AQ247" s="8"/>
      <c r="AR247" s="8"/>
      <c r="AS247" s="8"/>
      <c r="AT247" s="8"/>
      <c r="AU247" s="14">
        <v>45930</v>
      </c>
      <c r="AV247" s="14">
        <v>45657</v>
      </c>
      <c r="AW247" s="8"/>
      <c r="AX247" s="8"/>
      <c r="AY247" s="8"/>
      <c r="AZ247" s="8"/>
      <c r="BA247" s="8"/>
      <c r="BB247" s="8"/>
      <c r="BC247" s="8"/>
      <c r="BD247" s="8"/>
      <c r="BE247" s="8"/>
      <c r="BF247" s="8" t="s">
        <v>35</v>
      </c>
      <c r="BG247" s="8" t="s">
        <v>35</v>
      </c>
      <c r="BH247" s="8"/>
      <c r="BI247" s="8"/>
      <c r="BJ247" s="8"/>
      <c r="BK247" s="8"/>
      <c r="BL247" s="8"/>
      <c r="BM247" s="8"/>
      <c r="BN247" s="8"/>
      <c r="BO247" s="8"/>
      <c r="BP247" s="8"/>
      <c r="BQ247" s="8" t="s">
        <v>31</v>
      </c>
      <c r="BR247" s="8" t="s">
        <v>36</v>
      </c>
      <c r="BS247" s="10">
        <v>246953040671930</v>
      </c>
      <c r="BT247" s="8"/>
      <c r="BU247" s="8" t="s">
        <v>27</v>
      </c>
      <c r="BV247" s="8" t="s">
        <v>27</v>
      </c>
      <c r="BW247" s="8"/>
      <c r="BX247" s="8"/>
      <c r="BY247" s="8"/>
      <c r="BZ247" s="8"/>
      <c r="CA247" s="8"/>
      <c r="CB247" s="8"/>
      <c r="CC247" s="8"/>
      <c r="CD247" s="8"/>
      <c r="CE247" s="8"/>
      <c r="CF247" s="8" t="s">
        <v>382</v>
      </c>
      <c r="CG247" s="8" t="s">
        <v>383</v>
      </c>
    </row>
    <row r="248" spans="1:85" ht="15.75" customHeight="1" x14ac:dyDescent="0.35">
      <c r="A248" s="8">
        <v>241</v>
      </c>
      <c r="B248" s="8" t="s">
        <v>400</v>
      </c>
      <c r="C248" s="9">
        <v>1.5999999999999999E-5</v>
      </c>
      <c r="D248" s="9">
        <v>0</v>
      </c>
      <c r="E248" s="9">
        <v>0</v>
      </c>
      <c r="F248" s="9">
        <v>0</v>
      </c>
      <c r="G248" s="8"/>
      <c r="H248" s="8"/>
      <c r="I248" s="8"/>
      <c r="J248" s="8"/>
      <c r="K248" s="8"/>
      <c r="L248" s="8"/>
      <c r="M248" s="8"/>
      <c r="N248" s="10">
        <v>1500000</v>
      </c>
      <c r="O248" s="10">
        <v>0</v>
      </c>
      <c r="P248" s="10">
        <v>0</v>
      </c>
      <c r="Q248" s="10">
        <v>0</v>
      </c>
      <c r="R248" s="8"/>
      <c r="S248" s="8"/>
      <c r="T248" s="8"/>
      <c r="U248" s="8"/>
      <c r="V248" s="8"/>
      <c r="W248" s="8"/>
      <c r="X248" s="8"/>
      <c r="Y248" s="13">
        <v>1500000</v>
      </c>
      <c r="Z248" s="11">
        <v>0</v>
      </c>
      <c r="AA248" s="11">
        <v>0</v>
      </c>
      <c r="AB248" s="11">
        <v>0</v>
      </c>
      <c r="AC248" s="8"/>
      <c r="AD248" s="8"/>
      <c r="AE248" s="8"/>
      <c r="AF248" s="8"/>
      <c r="AG248" s="8"/>
      <c r="AH248" s="8"/>
      <c r="AI248" s="8"/>
      <c r="AJ248" s="10">
        <v>7157960587.0500002</v>
      </c>
      <c r="AK248" s="10">
        <v>0</v>
      </c>
      <c r="AL248" s="10">
        <v>0</v>
      </c>
      <c r="AM248" s="10">
        <v>0</v>
      </c>
      <c r="AN248" s="8"/>
      <c r="AO248" s="8"/>
      <c r="AP248" s="8"/>
      <c r="AQ248" s="8"/>
      <c r="AR248" s="8"/>
      <c r="AS248" s="8"/>
      <c r="AT248" s="8"/>
      <c r="AU248" s="14">
        <v>45900</v>
      </c>
      <c r="AV248" s="14">
        <v>45443</v>
      </c>
      <c r="AW248" s="14">
        <v>44773</v>
      </c>
      <c r="AX248" s="14">
        <v>44773</v>
      </c>
      <c r="AY248" s="8"/>
      <c r="AZ248" s="8"/>
      <c r="BA248" s="8"/>
      <c r="BB248" s="8"/>
      <c r="BC248" s="8"/>
      <c r="BD248" s="8"/>
      <c r="BE248" s="8"/>
      <c r="BF248" s="8" t="s">
        <v>35</v>
      </c>
      <c r="BG248" s="8" t="s">
        <v>35</v>
      </c>
      <c r="BH248" s="8" t="s">
        <v>35</v>
      </c>
      <c r="BI248" s="8" t="s">
        <v>35</v>
      </c>
      <c r="BJ248" s="8"/>
      <c r="BK248" s="8"/>
      <c r="BL248" s="8"/>
      <c r="BM248" s="8"/>
      <c r="BN248" s="8"/>
      <c r="BO248" s="8"/>
      <c r="BP248" s="8"/>
      <c r="BQ248" s="8" t="s">
        <v>31</v>
      </c>
      <c r="BR248" s="8" t="s">
        <v>36</v>
      </c>
      <c r="BS248" s="10">
        <v>6656605534939.2002</v>
      </c>
      <c r="BT248" s="8" t="s">
        <v>57</v>
      </c>
      <c r="BU248" s="8" t="s">
        <v>27</v>
      </c>
      <c r="BV248" s="8" t="s">
        <v>43</v>
      </c>
      <c r="BW248" s="8" t="s">
        <v>43</v>
      </c>
      <c r="BX248" s="8" t="s">
        <v>43</v>
      </c>
      <c r="BY248" s="8"/>
      <c r="BZ248" s="8"/>
      <c r="CA248" s="8"/>
      <c r="CB248" s="8"/>
      <c r="CC248" s="8"/>
      <c r="CD248" s="8"/>
      <c r="CE248" s="8"/>
      <c r="CF248" s="8" t="s">
        <v>401</v>
      </c>
      <c r="CG248" s="8" t="s">
        <v>99</v>
      </c>
    </row>
    <row r="249" spans="1:85" ht="15.75" customHeight="1" x14ac:dyDescent="0.35">
      <c r="A249" s="8">
        <v>242</v>
      </c>
      <c r="B249" s="8" t="s">
        <v>402</v>
      </c>
      <c r="C249" s="9">
        <v>1.5999999999999999E-5</v>
      </c>
      <c r="D249" s="9">
        <v>1.1E-5</v>
      </c>
      <c r="E249" s="9">
        <v>1.1E-5</v>
      </c>
      <c r="F249" s="9">
        <v>7.9999999999999996E-6</v>
      </c>
      <c r="G249" s="8"/>
      <c r="H249" s="8"/>
      <c r="I249" s="9">
        <v>0</v>
      </c>
      <c r="J249" s="9">
        <v>1.1E-5</v>
      </c>
      <c r="K249" s="9">
        <v>7.3999999999999996E-5</v>
      </c>
      <c r="L249" s="9">
        <v>2.7099999999999997E-4</v>
      </c>
      <c r="M249" s="9">
        <v>6.6200000000000005E-4</v>
      </c>
      <c r="N249" s="10">
        <v>1489600</v>
      </c>
      <c r="O249" s="10">
        <v>999900</v>
      </c>
      <c r="P249" s="10">
        <v>986900</v>
      </c>
      <c r="Q249" s="10">
        <v>697200</v>
      </c>
      <c r="R249" s="8"/>
      <c r="S249" s="8"/>
      <c r="T249" s="10">
        <v>0</v>
      </c>
      <c r="U249" s="10">
        <v>1023800</v>
      </c>
      <c r="V249" s="10">
        <v>6793800</v>
      </c>
      <c r="W249" s="10">
        <v>25026400</v>
      </c>
      <c r="X249" s="10">
        <v>61170400</v>
      </c>
      <c r="Y249" s="13">
        <v>489700</v>
      </c>
      <c r="Z249" s="13">
        <v>13000</v>
      </c>
      <c r="AA249" s="13">
        <v>289700</v>
      </c>
      <c r="AB249" s="13">
        <v>697200</v>
      </c>
      <c r="AC249" s="8"/>
      <c r="AD249" s="8"/>
      <c r="AE249" s="12">
        <v>-1023800</v>
      </c>
      <c r="AF249" s="12">
        <v>-5770000</v>
      </c>
      <c r="AG249" s="12">
        <v>-18232600</v>
      </c>
      <c r="AH249" s="12">
        <v>-36144000</v>
      </c>
      <c r="AI249" s="11">
        <v>0</v>
      </c>
      <c r="AJ249" s="10">
        <v>6552273541.8000002</v>
      </c>
      <c r="AK249" s="10">
        <v>5685296271.3999996</v>
      </c>
      <c r="AL249" s="10">
        <v>5970744918.8500004</v>
      </c>
      <c r="AM249" s="10">
        <v>3459854973.8499999</v>
      </c>
      <c r="AN249" s="8"/>
      <c r="AO249" s="8"/>
      <c r="AP249" s="10">
        <v>0</v>
      </c>
      <c r="AQ249" s="10">
        <v>3728574275</v>
      </c>
      <c r="AR249" s="10">
        <v>27175199936.5</v>
      </c>
      <c r="AS249" s="10">
        <v>72420145042.5</v>
      </c>
      <c r="AT249" s="10">
        <v>141507876906.45001</v>
      </c>
      <c r="AU249" s="14">
        <v>45930</v>
      </c>
      <c r="AV249" s="14">
        <v>45657</v>
      </c>
      <c r="AW249" s="14">
        <v>45291</v>
      </c>
      <c r="AX249" s="14">
        <v>44926</v>
      </c>
      <c r="AY249" s="8"/>
      <c r="AZ249" s="8"/>
      <c r="BA249" s="14">
        <v>43496</v>
      </c>
      <c r="BB249" s="14">
        <v>43465</v>
      </c>
      <c r="BC249" s="14">
        <v>43100</v>
      </c>
      <c r="BD249" s="14">
        <v>42735</v>
      </c>
      <c r="BE249" s="14">
        <v>42369</v>
      </c>
      <c r="BF249" s="8" t="s">
        <v>35</v>
      </c>
      <c r="BG249" s="8" t="s">
        <v>35</v>
      </c>
      <c r="BH249" s="8" t="s">
        <v>35</v>
      </c>
      <c r="BI249" s="8" t="s">
        <v>35</v>
      </c>
      <c r="BJ249" s="8"/>
      <c r="BK249" s="8"/>
      <c r="BL249" s="8" t="s">
        <v>35</v>
      </c>
      <c r="BM249" s="8" t="s">
        <v>35</v>
      </c>
      <c r="BN249" s="8" t="s">
        <v>35</v>
      </c>
      <c r="BO249" s="8" t="s">
        <v>35</v>
      </c>
      <c r="BP249" s="8" t="s">
        <v>35</v>
      </c>
      <c r="BQ249" s="8" t="s">
        <v>31</v>
      </c>
      <c r="BR249" s="8" t="s">
        <v>36</v>
      </c>
      <c r="BS249" s="10">
        <v>972507102775.19995</v>
      </c>
      <c r="BT249" s="8" t="s">
        <v>61</v>
      </c>
      <c r="BU249" s="8" t="s">
        <v>27</v>
      </c>
      <c r="BV249" s="8" t="s">
        <v>42</v>
      </c>
      <c r="BW249" s="8" t="s">
        <v>27</v>
      </c>
      <c r="BX249" s="8" t="s">
        <v>27</v>
      </c>
      <c r="BY249" s="8"/>
      <c r="BZ249" s="8"/>
      <c r="CA249" s="8" t="s">
        <v>42</v>
      </c>
      <c r="CB249" s="8" t="s">
        <v>27</v>
      </c>
      <c r="CC249" s="8" t="s">
        <v>27</v>
      </c>
      <c r="CD249" s="8" t="s">
        <v>27</v>
      </c>
      <c r="CE249" s="8" t="s">
        <v>27</v>
      </c>
      <c r="CF249" s="8" t="s">
        <v>120</v>
      </c>
      <c r="CG249" s="8" t="s">
        <v>51</v>
      </c>
    </row>
    <row r="250" spans="1:85" ht="15.75" customHeight="1" x14ac:dyDescent="0.35">
      <c r="A250" s="8">
        <v>243</v>
      </c>
      <c r="B250" s="8" t="s">
        <v>403</v>
      </c>
      <c r="C250" s="9">
        <v>1.5E-5</v>
      </c>
      <c r="D250" s="9">
        <v>6.9999999999999999E-6</v>
      </c>
      <c r="E250" s="8"/>
      <c r="F250" s="8"/>
      <c r="G250" s="8"/>
      <c r="H250" s="8"/>
      <c r="I250" s="8"/>
      <c r="J250" s="8"/>
      <c r="K250" s="8"/>
      <c r="L250" s="8"/>
      <c r="M250" s="8"/>
      <c r="N250" s="10">
        <v>1428400</v>
      </c>
      <c r="O250" s="10">
        <v>676800</v>
      </c>
      <c r="P250" s="8"/>
      <c r="Q250" s="8"/>
      <c r="R250" s="8"/>
      <c r="S250" s="8"/>
      <c r="T250" s="8"/>
      <c r="U250" s="8"/>
      <c r="V250" s="8"/>
      <c r="W250" s="8"/>
      <c r="X250" s="8"/>
      <c r="Y250" s="13">
        <v>751600</v>
      </c>
      <c r="Z250" s="13">
        <v>676800</v>
      </c>
      <c r="AA250" s="8"/>
      <c r="AB250" s="8"/>
      <c r="AC250" s="8"/>
      <c r="AD250" s="8"/>
      <c r="AE250" s="8"/>
      <c r="AF250" s="8"/>
      <c r="AG250" s="8"/>
      <c r="AH250" s="8"/>
      <c r="AI250" s="8"/>
      <c r="AJ250" s="10">
        <v>6283074264.6000004</v>
      </c>
      <c r="AK250" s="10">
        <v>3848193329.3000002</v>
      </c>
      <c r="AL250" s="8"/>
      <c r="AM250" s="8"/>
      <c r="AN250" s="8"/>
      <c r="AO250" s="8"/>
      <c r="AP250" s="8"/>
      <c r="AQ250" s="8"/>
      <c r="AR250" s="8"/>
      <c r="AS250" s="8"/>
      <c r="AT250" s="8"/>
      <c r="AU250" s="14">
        <v>45930</v>
      </c>
      <c r="AV250" s="14">
        <v>45657</v>
      </c>
      <c r="AW250" s="8"/>
      <c r="AX250" s="8"/>
      <c r="AY250" s="8"/>
      <c r="AZ250" s="8"/>
      <c r="BA250" s="8"/>
      <c r="BB250" s="8"/>
      <c r="BC250" s="8"/>
      <c r="BD250" s="8"/>
      <c r="BE250" s="8"/>
      <c r="BF250" s="8" t="s">
        <v>35</v>
      </c>
      <c r="BG250" s="8" t="s">
        <v>35</v>
      </c>
      <c r="BH250" s="8"/>
      <c r="BI250" s="8"/>
      <c r="BJ250" s="8"/>
      <c r="BK250" s="8"/>
      <c r="BL250" s="8"/>
      <c r="BM250" s="8"/>
      <c r="BN250" s="8"/>
      <c r="BO250" s="8"/>
      <c r="BP250" s="8"/>
      <c r="BQ250" s="8" t="s">
        <v>31</v>
      </c>
      <c r="BR250" s="8" t="s">
        <v>36</v>
      </c>
      <c r="BS250" s="10">
        <v>433760806515037</v>
      </c>
      <c r="BT250" s="8" t="s">
        <v>46</v>
      </c>
      <c r="BU250" s="8" t="s">
        <v>27</v>
      </c>
      <c r="BV250" s="8" t="s">
        <v>27</v>
      </c>
      <c r="BW250" s="8"/>
      <c r="BX250" s="8"/>
      <c r="BY250" s="8"/>
      <c r="BZ250" s="8"/>
      <c r="CA250" s="8"/>
      <c r="CB250" s="8"/>
      <c r="CC250" s="8"/>
      <c r="CD250" s="8"/>
      <c r="CE250" s="8"/>
      <c r="CF250" s="8" t="s">
        <v>131</v>
      </c>
      <c r="CG250" s="8" t="s">
        <v>132</v>
      </c>
    </row>
    <row r="251" spans="1:85" ht="15.75" customHeight="1" x14ac:dyDescent="0.35">
      <c r="A251" s="8">
        <v>244</v>
      </c>
      <c r="B251" s="8" t="s">
        <v>404</v>
      </c>
      <c r="C251" s="9">
        <v>1.5E-5</v>
      </c>
      <c r="D251" s="9">
        <v>1.9999999999999999E-6</v>
      </c>
      <c r="E251" s="9">
        <v>2.02E-4</v>
      </c>
      <c r="F251" s="9">
        <v>1.8E-5</v>
      </c>
      <c r="G251" s="9">
        <v>2.0999999999999999E-5</v>
      </c>
      <c r="H251" s="9">
        <v>3.3000000000000003E-5</v>
      </c>
      <c r="I251" s="9">
        <v>2.5000000000000001E-5</v>
      </c>
      <c r="J251" s="9">
        <v>1.9000000000000001E-5</v>
      </c>
      <c r="K251" s="9">
        <v>2.4000000000000001E-5</v>
      </c>
      <c r="L251" s="9">
        <v>4.1E-5</v>
      </c>
      <c r="M251" s="9">
        <v>6.3999999999999997E-5</v>
      </c>
      <c r="N251" s="10">
        <v>1414900</v>
      </c>
      <c r="O251" s="10">
        <v>217900</v>
      </c>
      <c r="P251" s="10">
        <v>18668700</v>
      </c>
      <c r="Q251" s="10">
        <v>1708800</v>
      </c>
      <c r="R251" s="10">
        <v>1917400</v>
      </c>
      <c r="S251" s="10">
        <v>3003200</v>
      </c>
      <c r="T251" s="10">
        <v>2303000</v>
      </c>
      <c r="U251" s="10">
        <v>1777200</v>
      </c>
      <c r="V251" s="10">
        <v>2234800</v>
      </c>
      <c r="W251" s="10">
        <v>3760400</v>
      </c>
      <c r="X251" s="10">
        <v>5895200</v>
      </c>
      <c r="Y251" s="13">
        <v>1197000</v>
      </c>
      <c r="Z251" s="12">
        <v>-18450800</v>
      </c>
      <c r="AA251" s="13">
        <v>16959900</v>
      </c>
      <c r="AB251" s="12">
        <v>-208600</v>
      </c>
      <c r="AC251" s="12">
        <v>-1085800</v>
      </c>
      <c r="AD251" s="13">
        <v>700200</v>
      </c>
      <c r="AE251" s="13">
        <v>525800</v>
      </c>
      <c r="AF251" s="12">
        <v>-457600</v>
      </c>
      <c r="AG251" s="12">
        <v>-1525600</v>
      </c>
      <c r="AH251" s="12">
        <v>-2134800</v>
      </c>
      <c r="AI251" s="11">
        <v>0</v>
      </c>
      <c r="AJ251" s="10">
        <v>6406513529.5</v>
      </c>
      <c r="AK251" s="10">
        <v>1238949951.5999999</v>
      </c>
      <c r="AL251" s="10">
        <v>112945634877.39999</v>
      </c>
      <c r="AM251" s="10">
        <v>8479920021.1000004</v>
      </c>
      <c r="AN251" s="10">
        <v>6727785667.5</v>
      </c>
      <c r="AO251" s="10">
        <v>9497619986.3999996</v>
      </c>
      <c r="AP251" s="10">
        <v>8812366612.3999996</v>
      </c>
      <c r="AQ251" s="10">
        <v>6472379543.75</v>
      </c>
      <c r="AR251" s="10">
        <v>8939200028.25</v>
      </c>
      <c r="AS251" s="10">
        <v>10881657467.700001</v>
      </c>
      <c r="AT251" s="10">
        <v>14811690018.200001</v>
      </c>
      <c r="AU251" s="14">
        <v>45869</v>
      </c>
      <c r="AV251" s="14">
        <v>45657</v>
      </c>
      <c r="AW251" s="14">
        <v>45291</v>
      </c>
      <c r="AX251" s="14">
        <v>44926</v>
      </c>
      <c r="AY251" s="14">
        <v>44561</v>
      </c>
      <c r="AZ251" s="14">
        <v>44196</v>
      </c>
      <c r="BA251" s="14">
        <v>43830</v>
      </c>
      <c r="BB251" s="14">
        <v>43465</v>
      </c>
      <c r="BC251" s="14">
        <v>43100</v>
      </c>
      <c r="BD251" s="14">
        <v>42735</v>
      </c>
      <c r="BE251" s="14">
        <v>42185</v>
      </c>
      <c r="BF251" s="8" t="s">
        <v>35</v>
      </c>
      <c r="BG251" s="8" t="s">
        <v>35</v>
      </c>
      <c r="BH251" s="8" t="s">
        <v>35</v>
      </c>
      <c r="BI251" s="8" t="s">
        <v>35</v>
      </c>
      <c r="BJ251" s="8" t="s">
        <v>35</v>
      </c>
      <c r="BK251" s="8" t="s">
        <v>35</v>
      </c>
      <c r="BL251" s="8" t="s">
        <v>35</v>
      </c>
      <c r="BM251" s="8" t="s">
        <v>35</v>
      </c>
      <c r="BN251" s="8" t="s">
        <v>35</v>
      </c>
      <c r="BO251" s="8" t="s">
        <v>35</v>
      </c>
      <c r="BP251" s="8" t="s">
        <v>35</v>
      </c>
      <c r="BQ251" s="8" t="s">
        <v>31</v>
      </c>
      <c r="BR251" s="8" t="s">
        <v>36</v>
      </c>
      <c r="BS251" s="10">
        <v>51509149553972.398</v>
      </c>
      <c r="BT251" s="8"/>
      <c r="BU251" s="8" t="s">
        <v>27</v>
      </c>
      <c r="BV251" s="8" t="s">
        <v>43</v>
      </c>
      <c r="BW251" s="8" t="s">
        <v>43</v>
      </c>
      <c r="BX251" s="8" t="s">
        <v>27</v>
      </c>
      <c r="BY251" s="8" t="s">
        <v>42</v>
      </c>
      <c r="BZ251" s="8" t="s">
        <v>27</v>
      </c>
      <c r="CA251" s="8" t="s">
        <v>27</v>
      </c>
      <c r="CB251" s="8" t="s">
        <v>42</v>
      </c>
      <c r="CC251" s="8" t="s">
        <v>42</v>
      </c>
      <c r="CD251" s="8"/>
      <c r="CE251" s="8" t="s">
        <v>42</v>
      </c>
      <c r="CF251" s="8" t="s">
        <v>65</v>
      </c>
      <c r="CG251" s="8" t="s">
        <v>65</v>
      </c>
    </row>
    <row r="252" spans="1:85" ht="15.75" customHeight="1" x14ac:dyDescent="0.35">
      <c r="A252" s="8">
        <v>245</v>
      </c>
      <c r="B252" s="8" t="s">
        <v>405</v>
      </c>
      <c r="C252" s="9">
        <v>1.5E-5</v>
      </c>
      <c r="D252" s="9">
        <v>0</v>
      </c>
      <c r="E252" s="9">
        <v>2.5000000000000001E-5</v>
      </c>
      <c r="F252" s="9">
        <v>3.4E-5</v>
      </c>
      <c r="G252" s="9">
        <v>3.1000000000000001E-5</v>
      </c>
      <c r="H252" s="9">
        <v>1.4E-5</v>
      </c>
      <c r="I252" s="9">
        <v>1.8E-5</v>
      </c>
      <c r="J252" s="9">
        <v>3.0000000000000001E-6</v>
      </c>
      <c r="K252" s="8"/>
      <c r="L252" s="8"/>
      <c r="M252" s="8"/>
      <c r="N252" s="10">
        <v>1343301</v>
      </c>
      <c r="O252" s="10">
        <v>0</v>
      </c>
      <c r="P252" s="10">
        <v>2276200</v>
      </c>
      <c r="Q252" s="10">
        <v>3103002</v>
      </c>
      <c r="R252" s="10">
        <v>2888018</v>
      </c>
      <c r="S252" s="10">
        <v>1336416</v>
      </c>
      <c r="T252" s="10">
        <v>1704000</v>
      </c>
      <c r="U252" s="10">
        <v>317200</v>
      </c>
      <c r="V252" s="8"/>
      <c r="W252" s="8"/>
      <c r="X252" s="8"/>
      <c r="Y252" s="13">
        <v>1343301</v>
      </c>
      <c r="Z252" s="12">
        <v>-2276200</v>
      </c>
      <c r="AA252" s="12">
        <v>-826802</v>
      </c>
      <c r="AB252" s="13">
        <v>214984</v>
      </c>
      <c r="AC252" s="13">
        <v>1551602</v>
      </c>
      <c r="AD252" s="12">
        <v>-367584</v>
      </c>
      <c r="AE252" s="13">
        <v>1386800</v>
      </c>
      <c r="AF252" s="13">
        <v>317200</v>
      </c>
      <c r="AG252" s="8"/>
      <c r="AH252" s="8"/>
      <c r="AI252" s="8"/>
      <c r="AJ252" s="10">
        <v>5908751053.8000002</v>
      </c>
      <c r="AK252" s="10">
        <v>0</v>
      </c>
      <c r="AL252" s="10">
        <v>13771009930.75</v>
      </c>
      <c r="AM252" s="10">
        <v>15398647506</v>
      </c>
      <c r="AN252" s="10">
        <v>10133496337.5</v>
      </c>
      <c r="AO252" s="10">
        <v>4226415570</v>
      </c>
      <c r="AP252" s="10">
        <v>6520309468.3999996</v>
      </c>
      <c r="AQ252" s="10">
        <v>1173640039</v>
      </c>
      <c r="AR252" s="8"/>
      <c r="AS252" s="8"/>
      <c r="AT252" s="8"/>
      <c r="AU252" s="14">
        <v>45930</v>
      </c>
      <c r="AV252" s="14">
        <v>45443</v>
      </c>
      <c r="AW252" s="14">
        <v>45291</v>
      </c>
      <c r="AX252" s="14">
        <v>44926</v>
      </c>
      <c r="AY252" s="14">
        <v>44561</v>
      </c>
      <c r="AZ252" s="14">
        <v>44196</v>
      </c>
      <c r="BA252" s="14">
        <v>43830</v>
      </c>
      <c r="BB252" s="14">
        <v>43434</v>
      </c>
      <c r="BC252" s="8"/>
      <c r="BD252" s="8"/>
      <c r="BE252" s="8"/>
      <c r="BF252" s="8" t="s">
        <v>35</v>
      </c>
      <c r="BG252" s="8" t="s">
        <v>35</v>
      </c>
      <c r="BH252" s="8" t="s">
        <v>35</v>
      </c>
      <c r="BI252" s="8" t="s">
        <v>35</v>
      </c>
      <c r="BJ252" s="8" t="s">
        <v>35</v>
      </c>
      <c r="BK252" s="8" t="s">
        <v>35</v>
      </c>
      <c r="BL252" s="8" t="s">
        <v>35</v>
      </c>
      <c r="BM252" s="8" t="s">
        <v>35</v>
      </c>
      <c r="BN252" s="8"/>
      <c r="BO252" s="8"/>
      <c r="BP252" s="8"/>
      <c r="BQ252" s="8" t="s">
        <v>31</v>
      </c>
      <c r="BR252" s="8" t="s">
        <v>160</v>
      </c>
      <c r="BS252" s="10">
        <v>373685794600946</v>
      </c>
      <c r="BT252" s="8" t="s">
        <v>37</v>
      </c>
      <c r="BU252" s="8" t="s">
        <v>27</v>
      </c>
      <c r="BV252" s="8" t="s">
        <v>27</v>
      </c>
      <c r="BW252" s="8" t="s">
        <v>27</v>
      </c>
      <c r="BX252" s="8" t="s">
        <v>27</v>
      </c>
      <c r="BY252" s="8" t="s">
        <v>27</v>
      </c>
      <c r="BZ252" s="8" t="s">
        <v>27</v>
      </c>
      <c r="CA252" s="8" t="s">
        <v>42</v>
      </c>
      <c r="CB252" s="8" t="s">
        <v>43</v>
      </c>
      <c r="CC252" s="8"/>
      <c r="CD252" s="8"/>
      <c r="CE252" s="8"/>
      <c r="CF252" s="8" t="s">
        <v>284</v>
      </c>
      <c r="CG252" s="8" t="s">
        <v>198</v>
      </c>
    </row>
    <row r="253" spans="1:85" ht="15.75" customHeight="1" x14ac:dyDescent="0.35">
      <c r="A253" s="8">
        <v>246</v>
      </c>
      <c r="B253" s="8" t="s">
        <v>406</v>
      </c>
      <c r="C253" s="9">
        <v>1.4E-5</v>
      </c>
      <c r="D253" s="9">
        <v>1.5999999999999999E-5</v>
      </c>
      <c r="E253" s="9">
        <v>1.21E-4</v>
      </c>
      <c r="F253" s="9">
        <v>1.4100000000000001E-4</v>
      </c>
      <c r="G253" s="8"/>
      <c r="H253" s="8"/>
      <c r="I253" s="8"/>
      <c r="J253" s="8"/>
      <c r="K253" s="8"/>
      <c r="L253" s="8"/>
      <c r="M253" s="8"/>
      <c r="N253" s="10">
        <v>1307800</v>
      </c>
      <c r="O253" s="10">
        <v>1455000</v>
      </c>
      <c r="P253" s="10">
        <v>11211400</v>
      </c>
      <c r="Q253" s="10">
        <v>13003400</v>
      </c>
      <c r="R253" s="8"/>
      <c r="S253" s="8"/>
      <c r="T253" s="8"/>
      <c r="U253" s="8"/>
      <c r="V253" s="8"/>
      <c r="W253" s="8"/>
      <c r="X253" s="8"/>
      <c r="Y253" s="12">
        <v>-147200</v>
      </c>
      <c r="Z253" s="12">
        <v>-9756400</v>
      </c>
      <c r="AA253" s="12">
        <v>-1792000</v>
      </c>
      <c r="AB253" s="13">
        <v>13003400</v>
      </c>
      <c r="AC253" s="8"/>
      <c r="AD253" s="8"/>
      <c r="AE253" s="8"/>
      <c r="AF253" s="8"/>
      <c r="AG253" s="8"/>
      <c r="AH253" s="8"/>
      <c r="AI253" s="8"/>
      <c r="AJ253" s="10">
        <v>7898884740.75</v>
      </c>
      <c r="AK253" s="10">
        <v>10594936405.799999</v>
      </c>
      <c r="AL253" s="10">
        <v>67828969978.699997</v>
      </c>
      <c r="AM253" s="10">
        <v>57540044956.800003</v>
      </c>
      <c r="AN253" s="8"/>
      <c r="AO253" s="8"/>
      <c r="AP253" s="8"/>
      <c r="AQ253" s="8"/>
      <c r="AR253" s="8"/>
      <c r="AS253" s="8"/>
      <c r="AT253" s="8"/>
      <c r="AU253" s="14">
        <v>45688</v>
      </c>
      <c r="AV253" s="14">
        <v>45596</v>
      </c>
      <c r="AW253" s="14">
        <v>45291</v>
      </c>
      <c r="AX253" s="14">
        <v>44804</v>
      </c>
      <c r="AY253" s="8"/>
      <c r="AZ253" s="8"/>
      <c r="BA253" s="8"/>
      <c r="BB253" s="8"/>
      <c r="BC253" s="8"/>
      <c r="BD253" s="8"/>
      <c r="BE253" s="8"/>
      <c r="BF253" s="8" t="s">
        <v>35</v>
      </c>
      <c r="BG253" s="8" t="s">
        <v>35</v>
      </c>
      <c r="BH253" s="8" t="s">
        <v>35</v>
      </c>
      <c r="BI253" s="8" t="s">
        <v>35</v>
      </c>
      <c r="BJ253" s="8"/>
      <c r="BK253" s="8"/>
      <c r="BL253" s="8"/>
      <c r="BM253" s="8"/>
      <c r="BN253" s="8"/>
      <c r="BO253" s="8"/>
      <c r="BP253" s="8"/>
      <c r="BQ253" s="8" t="s">
        <v>31</v>
      </c>
      <c r="BR253" s="8" t="s">
        <v>49</v>
      </c>
      <c r="BS253" s="10">
        <v>351059247040480</v>
      </c>
      <c r="BT253" s="8" t="s">
        <v>41</v>
      </c>
      <c r="BU253" s="8" t="s">
        <v>27</v>
      </c>
      <c r="BV253" s="8" t="s">
        <v>42</v>
      </c>
      <c r="BW253" s="8" t="s">
        <v>42</v>
      </c>
      <c r="BX253" s="8" t="s">
        <v>42</v>
      </c>
      <c r="BY253" s="8"/>
      <c r="BZ253" s="8"/>
      <c r="CA253" s="8"/>
      <c r="CB253" s="8"/>
      <c r="CC253" s="8"/>
      <c r="CD253" s="8"/>
      <c r="CE253" s="8"/>
      <c r="CF253" s="8" t="s">
        <v>173</v>
      </c>
      <c r="CG253" s="8" t="s">
        <v>174</v>
      </c>
    </row>
    <row r="254" spans="1:85" ht="15.75" customHeight="1" x14ac:dyDescent="0.35">
      <c r="A254" s="8">
        <v>247</v>
      </c>
      <c r="B254" s="8" t="s">
        <v>407</v>
      </c>
      <c r="C254" s="9">
        <v>1.2999999999999999E-5</v>
      </c>
      <c r="D254" s="9">
        <v>6.9999999999999999E-6</v>
      </c>
      <c r="E254" s="9">
        <v>9.0000000000000002E-6</v>
      </c>
      <c r="F254" s="9">
        <v>2.8E-5</v>
      </c>
      <c r="G254" s="9">
        <v>3.0000000000000001E-6</v>
      </c>
      <c r="H254" s="9">
        <v>3.0000000000000001E-6</v>
      </c>
      <c r="I254" s="9">
        <v>1.9999999999999999E-6</v>
      </c>
      <c r="J254" s="9">
        <v>9.9999999999999995E-7</v>
      </c>
      <c r="K254" s="9">
        <v>9.9999999999999995E-7</v>
      </c>
      <c r="L254" s="9">
        <v>0</v>
      </c>
      <c r="M254" s="9">
        <v>0</v>
      </c>
      <c r="N254" s="10">
        <v>1245784</v>
      </c>
      <c r="O254" s="10">
        <v>608950</v>
      </c>
      <c r="P254" s="10">
        <v>828000</v>
      </c>
      <c r="Q254" s="10">
        <v>2548626</v>
      </c>
      <c r="R254" s="10">
        <v>248746</v>
      </c>
      <c r="S254" s="10">
        <v>269674</v>
      </c>
      <c r="T254" s="10">
        <v>174072</v>
      </c>
      <c r="U254" s="10">
        <v>61582</v>
      </c>
      <c r="V254" s="10">
        <v>64226</v>
      </c>
      <c r="W254" s="10">
        <v>0</v>
      </c>
      <c r="X254" s="10">
        <v>0</v>
      </c>
      <c r="Y254" s="13">
        <v>636834</v>
      </c>
      <c r="Z254" s="12">
        <v>-219050</v>
      </c>
      <c r="AA254" s="12">
        <v>-1720626</v>
      </c>
      <c r="AB254" s="13">
        <v>2299880</v>
      </c>
      <c r="AC254" s="12">
        <v>-20928</v>
      </c>
      <c r="AD254" s="13">
        <v>95602</v>
      </c>
      <c r="AE254" s="13">
        <v>112490</v>
      </c>
      <c r="AF254" s="12">
        <v>-2644</v>
      </c>
      <c r="AG254" s="13">
        <v>64226</v>
      </c>
      <c r="AH254" s="11">
        <v>0</v>
      </c>
      <c r="AI254" s="11">
        <v>0</v>
      </c>
      <c r="AJ254" s="10">
        <v>5479805034.1999998</v>
      </c>
      <c r="AK254" s="10">
        <v>3462407421.8000002</v>
      </c>
      <c r="AL254" s="10">
        <v>5009399987.1999998</v>
      </c>
      <c r="AM254" s="10">
        <v>12647556480.9</v>
      </c>
      <c r="AN254" s="10">
        <v>872801527.5</v>
      </c>
      <c r="AO254" s="10">
        <v>852844075.20000005</v>
      </c>
      <c r="AP254" s="10">
        <v>666081768</v>
      </c>
      <c r="AQ254" s="10">
        <v>224275300</v>
      </c>
      <c r="AR254" s="10">
        <v>256904008.09999999</v>
      </c>
      <c r="AS254" s="10">
        <v>0</v>
      </c>
      <c r="AT254" s="10">
        <v>0</v>
      </c>
      <c r="AU254" s="14">
        <v>45930</v>
      </c>
      <c r="AV254" s="14">
        <v>45657</v>
      </c>
      <c r="AW254" s="14">
        <v>45291</v>
      </c>
      <c r="AX254" s="14">
        <v>44926</v>
      </c>
      <c r="AY254" s="14">
        <v>44561</v>
      </c>
      <c r="AZ254" s="14">
        <v>44196</v>
      </c>
      <c r="BA254" s="14">
        <v>43830</v>
      </c>
      <c r="BB254" s="14">
        <v>43465</v>
      </c>
      <c r="BC254" s="14">
        <v>43100</v>
      </c>
      <c r="BD254" s="14">
        <v>42308</v>
      </c>
      <c r="BE254" s="14">
        <v>42308</v>
      </c>
      <c r="BF254" s="8" t="s">
        <v>35</v>
      </c>
      <c r="BG254" s="8" t="s">
        <v>35</v>
      </c>
      <c r="BH254" s="8" t="s">
        <v>35</v>
      </c>
      <c r="BI254" s="8" t="s">
        <v>35</v>
      </c>
      <c r="BJ254" s="8" t="s">
        <v>35</v>
      </c>
      <c r="BK254" s="8" t="s">
        <v>35</v>
      </c>
      <c r="BL254" s="8" t="s">
        <v>35</v>
      </c>
      <c r="BM254" s="8" t="s">
        <v>35</v>
      </c>
      <c r="BN254" s="8" t="s">
        <v>35</v>
      </c>
      <c r="BO254" s="8" t="s">
        <v>35</v>
      </c>
      <c r="BP254" s="8" t="s">
        <v>35</v>
      </c>
      <c r="BQ254" s="8" t="s">
        <v>31</v>
      </c>
      <c r="BR254" s="8" t="s">
        <v>36</v>
      </c>
      <c r="BS254" s="10">
        <v>2386519265161390</v>
      </c>
      <c r="BT254" s="8" t="s">
        <v>46</v>
      </c>
      <c r="BU254" s="8" t="s">
        <v>27</v>
      </c>
      <c r="BV254" s="8" t="s">
        <v>27</v>
      </c>
      <c r="BW254" s="8" t="s">
        <v>42</v>
      </c>
      <c r="BX254" s="8" t="s">
        <v>42</v>
      </c>
      <c r="BY254" s="8" t="s">
        <v>42</v>
      </c>
      <c r="BZ254" s="8" t="s">
        <v>42</v>
      </c>
      <c r="CA254" s="8" t="s">
        <v>42</v>
      </c>
      <c r="CB254" s="8" t="s">
        <v>42</v>
      </c>
      <c r="CC254" s="8" t="s">
        <v>42</v>
      </c>
      <c r="CD254" s="8" t="s">
        <v>42</v>
      </c>
      <c r="CE254" s="8" t="s">
        <v>42</v>
      </c>
      <c r="CF254" s="8" t="s">
        <v>408</v>
      </c>
      <c r="CG254" s="8" t="s">
        <v>39</v>
      </c>
    </row>
    <row r="255" spans="1:85" ht="15.75" customHeight="1" x14ac:dyDescent="0.35">
      <c r="A255" s="8">
        <v>248</v>
      </c>
      <c r="B255" s="8" t="s">
        <v>409</v>
      </c>
      <c r="C255" s="9">
        <v>1.2999999999999999E-5</v>
      </c>
      <c r="D255" s="9">
        <v>7.1000000000000005E-5</v>
      </c>
      <c r="E255" s="9">
        <v>0</v>
      </c>
      <c r="F255" s="9">
        <v>0</v>
      </c>
      <c r="G255" s="8"/>
      <c r="H255" s="9">
        <v>4.8299999999999998E-4</v>
      </c>
      <c r="I255" s="9">
        <v>4.8299999999999998E-4</v>
      </c>
      <c r="J255" s="9">
        <v>4.7199999999999998E-4</v>
      </c>
      <c r="K255" s="9">
        <v>7.1500000000000003E-4</v>
      </c>
      <c r="L255" s="9">
        <v>1.75E-4</v>
      </c>
      <c r="M255" s="9">
        <v>1.6100000000000001E-4</v>
      </c>
      <c r="N255" s="10">
        <v>1241300</v>
      </c>
      <c r="O255" s="10">
        <v>6588600</v>
      </c>
      <c r="P255" s="10">
        <v>0</v>
      </c>
      <c r="Q255" s="10">
        <v>0</v>
      </c>
      <c r="R255" s="8"/>
      <c r="S255" s="10">
        <v>44625600</v>
      </c>
      <c r="T255" s="10">
        <v>44625600</v>
      </c>
      <c r="U255" s="10">
        <v>43585800</v>
      </c>
      <c r="V255" s="10">
        <v>66053000</v>
      </c>
      <c r="W255" s="10">
        <v>16153200</v>
      </c>
      <c r="X255" s="10">
        <v>14915600</v>
      </c>
      <c r="Y255" s="12">
        <v>-5347300</v>
      </c>
      <c r="Z255" s="13">
        <v>6588600</v>
      </c>
      <c r="AA255" s="11">
        <v>0</v>
      </c>
      <c r="AB255" s="11">
        <v>0</v>
      </c>
      <c r="AC255" s="8"/>
      <c r="AD255" s="11">
        <v>0</v>
      </c>
      <c r="AE255" s="13">
        <v>1039800</v>
      </c>
      <c r="AF255" s="12">
        <v>-22467200</v>
      </c>
      <c r="AG255" s="13">
        <v>49899800</v>
      </c>
      <c r="AH255" s="13">
        <v>1237600</v>
      </c>
      <c r="AI255" s="11">
        <v>0</v>
      </c>
      <c r="AJ255" s="10">
        <v>5460081260.1999998</v>
      </c>
      <c r="AK255" s="10">
        <v>37461889078.599998</v>
      </c>
      <c r="AL255" s="10">
        <v>0</v>
      </c>
      <c r="AM255" s="10">
        <v>0</v>
      </c>
      <c r="AN255" s="8"/>
      <c r="AO255" s="10">
        <v>155631779925.60001</v>
      </c>
      <c r="AP255" s="10">
        <v>155631779925.60001</v>
      </c>
      <c r="AQ255" s="10">
        <v>158734999243.75</v>
      </c>
      <c r="AR255" s="10">
        <v>264212000057.64999</v>
      </c>
      <c r="AS255" s="10">
        <v>46743322579.5</v>
      </c>
      <c r="AT255" s="10">
        <v>34504840351.800003</v>
      </c>
      <c r="AU255" s="14">
        <v>45930</v>
      </c>
      <c r="AV255" s="14">
        <v>45657</v>
      </c>
      <c r="AW255" s="14">
        <v>44895</v>
      </c>
      <c r="AX255" s="14">
        <v>44895</v>
      </c>
      <c r="AY255" s="8"/>
      <c r="AZ255" s="14">
        <v>43738</v>
      </c>
      <c r="BA255" s="14">
        <v>43738</v>
      </c>
      <c r="BB255" s="14">
        <v>43465</v>
      </c>
      <c r="BC255" s="14">
        <v>43100</v>
      </c>
      <c r="BD255" s="14">
        <v>42735</v>
      </c>
      <c r="BE255" s="14">
        <v>42369</v>
      </c>
      <c r="BF255" s="8" t="s">
        <v>35</v>
      </c>
      <c r="BG255" s="8" t="s">
        <v>35</v>
      </c>
      <c r="BH255" s="8" t="s">
        <v>35</v>
      </c>
      <c r="BI255" s="8" t="s">
        <v>35</v>
      </c>
      <c r="BJ255" s="8"/>
      <c r="BK255" s="8" t="s">
        <v>35</v>
      </c>
      <c r="BL255" s="8" t="s">
        <v>35</v>
      </c>
      <c r="BM255" s="8" t="s">
        <v>35</v>
      </c>
      <c r="BN255" s="8" t="s">
        <v>35</v>
      </c>
      <c r="BO255" s="8" t="s">
        <v>35</v>
      </c>
      <c r="BP255" s="8" t="s">
        <v>35</v>
      </c>
      <c r="BQ255" s="8" t="s">
        <v>31</v>
      </c>
      <c r="BR255" s="8" t="s">
        <v>36</v>
      </c>
      <c r="BS255" s="10">
        <v>105148109682082</v>
      </c>
      <c r="BT255" s="8" t="s">
        <v>57</v>
      </c>
      <c r="BU255" s="8" t="s">
        <v>42</v>
      </c>
      <c r="BV255" s="8" t="s">
        <v>42</v>
      </c>
      <c r="BW255" s="8" t="s">
        <v>42</v>
      </c>
      <c r="BX255" s="8" t="s">
        <v>42</v>
      </c>
      <c r="BY255" s="8"/>
      <c r="BZ255" s="8" t="s">
        <v>42</v>
      </c>
      <c r="CA255" s="8" t="s">
        <v>27</v>
      </c>
      <c r="CB255" s="8" t="s">
        <v>27</v>
      </c>
      <c r="CC255" s="8" t="s">
        <v>27</v>
      </c>
      <c r="CD255" s="8" t="s">
        <v>27</v>
      </c>
      <c r="CE255" s="8" t="s">
        <v>27</v>
      </c>
      <c r="CF255" s="8" t="s">
        <v>73</v>
      </c>
      <c r="CG255" s="8" t="s">
        <v>39</v>
      </c>
    </row>
    <row r="256" spans="1:85" ht="15.75" customHeight="1" x14ac:dyDescent="0.35">
      <c r="A256" s="8">
        <v>249</v>
      </c>
      <c r="B256" s="8" t="s">
        <v>410</v>
      </c>
      <c r="C256" s="9">
        <v>1.2999999999999999E-5</v>
      </c>
      <c r="D256" s="9">
        <v>2.0000000000000002E-5</v>
      </c>
      <c r="E256" s="9">
        <v>2.4000000000000001E-5</v>
      </c>
      <c r="F256" s="9">
        <v>2.3E-5</v>
      </c>
      <c r="G256" s="9">
        <v>1.2E-5</v>
      </c>
      <c r="H256" s="9">
        <v>2.0000000000000002E-5</v>
      </c>
      <c r="I256" s="9">
        <v>0</v>
      </c>
      <c r="J256" s="8"/>
      <c r="K256" s="8"/>
      <c r="L256" s="8"/>
      <c r="M256" s="8"/>
      <c r="N256" s="10">
        <v>1236600</v>
      </c>
      <c r="O256" s="10">
        <v>1852900</v>
      </c>
      <c r="P256" s="10">
        <v>2188600</v>
      </c>
      <c r="Q256" s="10">
        <v>2160000</v>
      </c>
      <c r="R256" s="10">
        <v>1080000</v>
      </c>
      <c r="S256" s="10">
        <v>1833400</v>
      </c>
      <c r="T256" s="10">
        <v>0</v>
      </c>
      <c r="U256" s="8"/>
      <c r="V256" s="8"/>
      <c r="W256" s="8"/>
      <c r="X256" s="8"/>
      <c r="Y256" s="12">
        <v>-616300</v>
      </c>
      <c r="Z256" s="12">
        <v>-335700</v>
      </c>
      <c r="AA256" s="13">
        <v>28600</v>
      </c>
      <c r="AB256" s="13">
        <v>1080000</v>
      </c>
      <c r="AC256" s="12">
        <v>-753400</v>
      </c>
      <c r="AD256" s="13">
        <v>1833400</v>
      </c>
      <c r="AE256" s="11">
        <v>0</v>
      </c>
      <c r="AF256" s="8"/>
      <c r="AG256" s="8"/>
      <c r="AH256" s="8"/>
      <c r="AI256" s="8"/>
      <c r="AJ256" s="10">
        <v>5599190464</v>
      </c>
      <c r="AK256" s="10">
        <v>10535338921.299999</v>
      </c>
      <c r="AL256" s="10">
        <v>13241029974.049999</v>
      </c>
      <c r="AM256" s="10">
        <v>11394000030.049999</v>
      </c>
      <c r="AN256" s="10">
        <v>3789511050</v>
      </c>
      <c r="AO256" s="10">
        <v>5798127441.6000004</v>
      </c>
      <c r="AP256" s="10">
        <v>0</v>
      </c>
      <c r="AQ256" s="8"/>
      <c r="AR256" s="8"/>
      <c r="AS256" s="8"/>
      <c r="AT256" s="8"/>
      <c r="AU256" s="14">
        <v>45869</v>
      </c>
      <c r="AV256" s="14">
        <v>45657</v>
      </c>
      <c r="AW256" s="14">
        <v>45291</v>
      </c>
      <c r="AX256" s="14">
        <v>44865</v>
      </c>
      <c r="AY256" s="14">
        <v>44561</v>
      </c>
      <c r="AZ256" s="14">
        <v>44196</v>
      </c>
      <c r="BA256" s="14">
        <v>43616</v>
      </c>
      <c r="BB256" s="8"/>
      <c r="BC256" s="8"/>
      <c r="BD256" s="8"/>
      <c r="BE256" s="8"/>
      <c r="BF256" s="8" t="s">
        <v>35</v>
      </c>
      <c r="BG256" s="8" t="s">
        <v>35</v>
      </c>
      <c r="BH256" s="8" t="s">
        <v>35</v>
      </c>
      <c r="BI256" s="8" t="s">
        <v>35</v>
      </c>
      <c r="BJ256" s="8" t="s">
        <v>35</v>
      </c>
      <c r="BK256" s="8" t="s">
        <v>35</v>
      </c>
      <c r="BL256" s="8" t="s">
        <v>35</v>
      </c>
      <c r="BM256" s="8"/>
      <c r="BN256" s="8"/>
      <c r="BO256" s="8"/>
      <c r="BP256" s="8"/>
      <c r="BQ256" s="8" t="s">
        <v>31</v>
      </c>
      <c r="BR256" s="8" t="s">
        <v>36</v>
      </c>
      <c r="BS256" s="10">
        <v>42467571611936.398</v>
      </c>
      <c r="BT256" s="8" t="s">
        <v>57</v>
      </c>
      <c r="BU256" s="8" t="s">
        <v>27</v>
      </c>
      <c r="BV256" s="8" t="s">
        <v>42</v>
      </c>
      <c r="BW256" s="8" t="s">
        <v>42</v>
      </c>
      <c r="BX256" s="8" t="s">
        <v>42</v>
      </c>
      <c r="BY256" s="8" t="s">
        <v>27</v>
      </c>
      <c r="BZ256" s="8" t="s">
        <v>42</v>
      </c>
      <c r="CA256" s="8" t="s">
        <v>42</v>
      </c>
      <c r="CB256" s="8"/>
      <c r="CC256" s="8"/>
      <c r="CD256" s="8"/>
      <c r="CE256" s="8"/>
      <c r="CF256" s="8" t="s">
        <v>50</v>
      </c>
      <c r="CG256" s="8" t="s">
        <v>51</v>
      </c>
    </row>
    <row r="257" spans="1:85" ht="15.75" customHeight="1" x14ac:dyDescent="0.35">
      <c r="A257" s="8">
        <v>250</v>
      </c>
      <c r="B257" s="8" t="s">
        <v>411</v>
      </c>
      <c r="C257" s="9">
        <v>1.2999999999999999E-5</v>
      </c>
      <c r="D257" s="9">
        <v>1.5999999999999999E-5</v>
      </c>
      <c r="E257" s="9">
        <v>1.2999999999999999E-5</v>
      </c>
      <c r="F257" s="9">
        <v>7.9999999999999996E-6</v>
      </c>
      <c r="G257" s="9">
        <v>1.0000000000000001E-5</v>
      </c>
      <c r="H257" s="9">
        <v>6.9999999999999999E-6</v>
      </c>
      <c r="I257" s="9">
        <v>1.0000000000000001E-5</v>
      </c>
      <c r="J257" s="9">
        <v>1.18E-4</v>
      </c>
      <c r="K257" s="9">
        <v>7.9999999999999996E-6</v>
      </c>
      <c r="L257" s="9">
        <v>6.0000000000000002E-6</v>
      </c>
      <c r="M257" s="9">
        <v>9.1000000000000003E-5</v>
      </c>
      <c r="N257" s="10">
        <v>1230053</v>
      </c>
      <c r="O257" s="10">
        <v>1451653</v>
      </c>
      <c r="P257" s="10">
        <v>1216052</v>
      </c>
      <c r="Q257" s="10">
        <v>768526</v>
      </c>
      <c r="R257" s="10">
        <v>880446</v>
      </c>
      <c r="S257" s="10">
        <v>613566</v>
      </c>
      <c r="T257" s="10">
        <v>946840</v>
      </c>
      <c r="U257" s="10">
        <v>10945600</v>
      </c>
      <c r="V257" s="10">
        <v>764598</v>
      </c>
      <c r="W257" s="10">
        <v>571800</v>
      </c>
      <c r="X257" s="10">
        <v>8396000</v>
      </c>
      <c r="Y257" s="12">
        <v>-221600</v>
      </c>
      <c r="Z257" s="13">
        <v>235601</v>
      </c>
      <c r="AA257" s="13">
        <v>447526</v>
      </c>
      <c r="AB257" s="12">
        <v>-111920</v>
      </c>
      <c r="AC257" s="13">
        <v>266880</v>
      </c>
      <c r="AD257" s="12">
        <v>-333274</v>
      </c>
      <c r="AE257" s="12">
        <v>-9998760</v>
      </c>
      <c r="AF257" s="13">
        <v>10181002</v>
      </c>
      <c r="AG257" s="13">
        <v>192798</v>
      </c>
      <c r="AH257" s="12">
        <v>-7824200</v>
      </c>
      <c r="AI257" s="11">
        <v>0</v>
      </c>
      <c r="AJ257" s="10">
        <v>6525291367.6000004</v>
      </c>
      <c r="AK257" s="10">
        <v>8253902745.1000004</v>
      </c>
      <c r="AL257" s="10">
        <v>7357114548.6499996</v>
      </c>
      <c r="AM257" s="10">
        <v>4044368142.0999999</v>
      </c>
      <c r="AN257" s="10">
        <v>3081561039.1999998</v>
      </c>
      <c r="AO257" s="10">
        <v>1940402518.3</v>
      </c>
      <c r="AP257" s="10">
        <v>3623057397.1999998</v>
      </c>
      <c r="AQ257" s="10">
        <v>36804579996</v>
      </c>
      <c r="AR257" s="10">
        <v>2570960844.3000002</v>
      </c>
      <c r="AS257" s="10">
        <v>1290123717.25</v>
      </c>
      <c r="AT257" s="10">
        <v>19992975001.5</v>
      </c>
      <c r="AU257" s="14">
        <v>45808</v>
      </c>
      <c r="AV257" s="14">
        <v>45657</v>
      </c>
      <c r="AW257" s="14">
        <v>45291</v>
      </c>
      <c r="AX257" s="14">
        <v>44895</v>
      </c>
      <c r="AY257" s="14">
        <v>44530</v>
      </c>
      <c r="AZ257" s="14">
        <v>44165</v>
      </c>
      <c r="BA257" s="14">
        <v>43830</v>
      </c>
      <c r="BB257" s="14">
        <v>43373</v>
      </c>
      <c r="BC257" s="14">
        <v>43008</v>
      </c>
      <c r="BD257" s="14">
        <v>42521</v>
      </c>
      <c r="BE257" s="14">
        <v>42191</v>
      </c>
      <c r="BF257" s="8" t="s">
        <v>35</v>
      </c>
      <c r="BG257" s="8" t="s">
        <v>35</v>
      </c>
      <c r="BH257" s="8" t="s">
        <v>35</v>
      </c>
      <c r="BI257" s="8" t="s">
        <v>35</v>
      </c>
      <c r="BJ257" s="8" t="s">
        <v>35</v>
      </c>
      <c r="BK257" s="8" t="s">
        <v>35</v>
      </c>
      <c r="BL257" s="8" t="s">
        <v>35</v>
      </c>
      <c r="BM257" s="8" t="s">
        <v>35</v>
      </c>
      <c r="BN257" s="8" t="s">
        <v>35</v>
      </c>
      <c r="BO257" s="8" t="s">
        <v>35</v>
      </c>
      <c r="BP257" s="8" t="s">
        <v>35</v>
      </c>
      <c r="BQ257" s="8" t="s">
        <v>31</v>
      </c>
      <c r="BR257" s="8" t="s">
        <v>36</v>
      </c>
      <c r="BS257" s="10">
        <v>2644657439704320</v>
      </c>
      <c r="BT257" s="8" t="s">
        <v>57</v>
      </c>
      <c r="BU257" s="8" t="s">
        <v>27</v>
      </c>
      <c r="BV257" s="8" t="s">
        <v>27</v>
      </c>
      <c r="BW257" s="8" t="s">
        <v>27</v>
      </c>
      <c r="BX257" s="8" t="s">
        <v>27</v>
      </c>
      <c r="BY257" s="8" t="s">
        <v>27</v>
      </c>
      <c r="BZ257" s="8" t="s">
        <v>27</v>
      </c>
      <c r="CA257" s="8" t="s">
        <v>27</v>
      </c>
      <c r="CB257" s="8" t="s">
        <v>27</v>
      </c>
      <c r="CC257" s="8" t="s">
        <v>27</v>
      </c>
      <c r="CD257" s="8" t="s">
        <v>27</v>
      </c>
      <c r="CE257" s="8" t="s">
        <v>27</v>
      </c>
      <c r="CF257" s="8" t="s">
        <v>180</v>
      </c>
      <c r="CG257" s="8" t="s">
        <v>181</v>
      </c>
    </row>
    <row r="258" spans="1:85" ht="15.75" customHeight="1" x14ac:dyDescent="0.35">
      <c r="A258" s="8">
        <v>251</v>
      </c>
      <c r="B258" s="8" t="s">
        <v>412</v>
      </c>
      <c r="C258" s="9">
        <v>1.2999999999999999E-5</v>
      </c>
      <c r="D258" s="9">
        <v>1.9999999999999999E-6</v>
      </c>
      <c r="E258" s="9">
        <v>3.0000000000000001E-6</v>
      </c>
      <c r="F258" s="9">
        <v>9.0000000000000002E-6</v>
      </c>
      <c r="G258" s="9">
        <v>1.0000000000000001E-5</v>
      </c>
      <c r="H258" s="8"/>
      <c r="I258" s="8"/>
      <c r="J258" s="8"/>
      <c r="K258" s="8"/>
      <c r="L258" s="8"/>
      <c r="M258" s="8"/>
      <c r="N258" s="10">
        <v>1217000</v>
      </c>
      <c r="O258" s="10">
        <v>205074</v>
      </c>
      <c r="P258" s="10">
        <v>276396</v>
      </c>
      <c r="Q258" s="10">
        <v>822626</v>
      </c>
      <c r="R258" s="10">
        <v>900200</v>
      </c>
      <c r="S258" s="8"/>
      <c r="T258" s="8"/>
      <c r="U258" s="8"/>
      <c r="V258" s="8"/>
      <c r="W258" s="8"/>
      <c r="X258" s="8"/>
      <c r="Y258" s="13">
        <v>1011926</v>
      </c>
      <c r="Z258" s="12">
        <v>-71322</v>
      </c>
      <c r="AA258" s="12">
        <v>-546230</v>
      </c>
      <c r="AB258" s="12">
        <v>-77574</v>
      </c>
      <c r="AC258" s="13">
        <v>900200</v>
      </c>
      <c r="AD258" s="8"/>
      <c r="AE258" s="8"/>
      <c r="AF258" s="8"/>
      <c r="AG258" s="8"/>
      <c r="AH258" s="8"/>
      <c r="AI258" s="8"/>
      <c r="AJ258" s="10">
        <v>5807491912.9499998</v>
      </c>
      <c r="AK258" s="10">
        <v>1166022992</v>
      </c>
      <c r="AL258" s="10">
        <v>1672195816.95</v>
      </c>
      <c r="AM258" s="10">
        <v>4082281579.75</v>
      </c>
      <c r="AN258" s="10">
        <v>3158627640</v>
      </c>
      <c r="AO258" s="8"/>
      <c r="AP258" s="8"/>
      <c r="AQ258" s="8"/>
      <c r="AR258" s="8"/>
      <c r="AS258" s="8"/>
      <c r="AT258" s="8"/>
      <c r="AU258" s="14">
        <v>45900</v>
      </c>
      <c r="AV258" s="14">
        <v>45657</v>
      </c>
      <c r="AW258" s="14">
        <v>45291</v>
      </c>
      <c r="AX258" s="14">
        <v>44926</v>
      </c>
      <c r="AY258" s="14">
        <v>44561</v>
      </c>
      <c r="AZ258" s="8"/>
      <c r="BA258" s="8"/>
      <c r="BB258" s="8"/>
      <c r="BC258" s="8"/>
      <c r="BD258" s="8"/>
      <c r="BE258" s="8"/>
      <c r="BF258" s="8" t="s">
        <v>35</v>
      </c>
      <c r="BG258" s="8" t="s">
        <v>35</v>
      </c>
      <c r="BH258" s="8" t="s">
        <v>35</v>
      </c>
      <c r="BI258" s="8" t="s">
        <v>35</v>
      </c>
      <c r="BJ258" s="8" t="s">
        <v>35</v>
      </c>
      <c r="BK258" s="8"/>
      <c r="BL258" s="8"/>
      <c r="BM258" s="8"/>
      <c r="BN258" s="8"/>
      <c r="BO258" s="8"/>
      <c r="BP258" s="8"/>
      <c r="BQ258" s="8" t="s">
        <v>31</v>
      </c>
      <c r="BR258" s="8" t="s">
        <v>36</v>
      </c>
      <c r="BS258" s="10">
        <v>124760101120925</v>
      </c>
      <c r="BT258" s="8" t="s">
        <v>61</v>
      </c>
      <c r="BU258" s="8" t="s">
        <v>42</v>
      </c>
      <c r="BV258" s="8" t="s">
        <v>42</v>
      </c>
      <c r="BW258" s="8" t="s">
        <v>43</v>
      </c>
      <c r="BX258" s="8" t="s">
        <v>42</v>
      </c>
      <c r="BY258" s="8" t="s">
        <v>42</v>
      </c>
      <c r="BZ258" s="8"/>
      <c r="CA258" s="8"/>
      <c r="CB258" s="8"/>
      <c r="CC258" s="8"/>
      <c r="CD258" s="8"/>
      <c r="CE258" s="8"/>
      <c r="CF258" s="8" t="s">
        <v>158</v>
      </c>
      <c r="CG258" s="8" t="s">
        <v>115</v>
      </c>
    </row>
    <row r="259" spans="1:85" ht="15.75" customHeight="1" x14ac:dyDescent="0.35">
      <c r="A259" s="8">
        <v>252</v>
      </c>
      <c r="B259" s="8" t="s">
        <v>413</v>
      </c>
      <c r="C259" s="9">
        <v>1.2999999999999999E-5</v>
      </c>
      <c r="D259" s="9">
        <v>1.2999999999999999E-5</v>
      </c>
      <c r="E259" s="9">
        <v>9.0000000000000002E-6</v>
      </c>
      <c r="F259" s="9">
        <v>1.1E-5</v>
      </c>
      <c r="G259" s="9">
        <v>1.5999999999999999E-5</v>
      </c>
      <c r="H259" s="9">
        <v>4.0000000000000003E-5</v>
      </c>
      <c r="I259" s="9">
        <v>5.5000000000000002E-5</v>
      </c>
      <c r="J259" s="9">
        <v>5.3999999999999998E-5</v>
      </c>
      <c r="K259" s="9">
        <v>1.03E-4</v>
      </c>
      <c r="L259" s="9">
        <v>1.12E-4</v>
      </c>
      <c r="M259" s="9">
        <v>6.3999999999999997E-5</v>
      </c>
      <c r="N259" s="10">
        <v>1216000</v>
      </c>
      <c r="O259" s="10">
        <v>1216000</v>
      </c>
      <c r="P259" s="10">
        <v>834000</v>
      </c>
      <c r="Q259" s="10">
        <v>1014000</v>
      </c>
      <c r="R259" s="10">
        <v>1442788</v>
      </c>
      <c r="S259" s="10">
        <v>3673386</v>
      </c>
      <c r="T259" s="10">
        <v>5052370</v>
      </c>
      <c r="U259" s="10">
        <v>4992000</v>
      </c>
      <c r="V259" s="10">
        <v>9548200</v>
      </c>
      <c r="W259" s="10">
        <v>10340400</v>
      </c>
      <c r="X259" s="10">
        <v>5872400</v>
      </c>
      <c r="Y259" s="11">
        <v>0</v>
      </c>
      <c r="Z259" s="13">
        <v>382000</v>
      </c>
      <c r="AA259" s="12">
        <v>-180000</v>
      </c>
      <c r="AB259" s="12">
        <v>-428788</v>
      </c>
      <c r="AC259" s="12">
        <v>-2230598</v>
      </c>
      <c r="AD259" s="12">
        <v>-1378984</v>
      </c>
      <c r="AE259" s="13">
        <v>60370</v>
      </c>
      <c r="AF259" s="12">
        <v>-4556200</v>
      </c>
      <c r="AG259" s="12">
        <v>-792200</v>
      </c>
      <c r="AH259" s="13">
        <v>4468000</v>
      </c>
      <c r="AI259" s="11">
        <v>0</v>
      </c>
      <c r="AJ259" s="10">
        <v>5945436085.5</v>
      </c>
      <c r="AK259" s="10">
        <v>6914011695.8000002</v>
      </c>
      <c r="AL259" s="10">
        <v>5045700011.6499996</v>
      </c>
      <c r="AM259" s="10">
        <v>5031975073.9499998</v>
      </c>
      <c r="AN259" s="10">
        <v>5062463977.5</v>
      </c>
      <c r="AO259" s="10">
        <v>11617083223.200001</v>
      </c>
      <c r="AP259" s="10">
        <v>19332755918</v>
      </c>
      <c r="AQ259" s="10">
        <v>18180350431.25</v>
      </c>
      <c r="AR259" s="10">
        <v>38192799964.349998</v>
      </c>
      <c r="AS259" s="10">
        <v>29922532518.599998</v>
      </c>
      <c r="AT259" s="10">
        <v>13584852414.450001</v>
      </c>
      <c r="AU259" s="14">
        <v>45838</v>
      </c>
      <c r="AV259" s="14">
        <v>45657</v>
      </c>
      <c r="AW259" s="14">
        <v>45291</v>
      </c>
      <c r="AX259" s="14">
        <v>44926</v>
      </c>
      <c r="AY259" s="14">
        <v>44561</v>
      </c>
      <c r="AZ259" s="14">
        <v>44196</v>
      </c>
      <c r="BA259" s="14">
        <v>43830</v>
      </c>
      <c r="BB259" s="14">
        <v>43465</v>
      </c>
      <c r="BC259" s="14">
        <v>43100</v>
      </c>
      <c r="BD259" s="14">
        <v>42735</v>
      </c>
      <c r="BE259" s="14">
        <v>42369</v>
      </c>
      <c r="BF259" s="8" t="s">
        <v>35</v>
      </c>
      <c r="BG259" s="8" t="s">
        <v>35</v>
      </c>
      <c r="BH259" s="8" t="s">
        <v>35</v>
      </c>
      <c r="BI259" s="8" t="s">
        <v>35</v>
      </c>
      <c r="BJ259" s="8" t="s">
        <v>35</v>
      </c>
      <c r="BK259" s="8" t="s">
        <v>35</v>
      </c>
      <c r="BL259" s="8" t="s">
        <v>35</v>
      </c>
      <c r="BM259" s="8" t="s">
        <v>35</v>
      </c>
      <c r="BN259" s="8" t="s">
        <v>35</v>
      </c>
      <c r="BO259" s="8" t="s">
        <v>35</v>
      </c>
      <c r="BP259" s="8" t="s">
        <v>35</v>
      </c>
      <c r="BQ259" s="8" t="s">
        <v>31</v>
      </c>
      <c r="BR259" s="8" t="s">
        <v>36</v>
      </c>
      <c r="BS259" s="10">
        <v>451800292350163</v>
      </c>
      <c r="BT259" s="8" t="s">
        <v>57</v>
      </c>
      <c r="BU259" s="8" t="s">
        <v>27</v>
      </c>
      <c r="BV259" s="8" t="s">
        <v>43</v>
      </c>
      <c r="BW259" s="8" t="s">
        <v>42</v>
      </c>
      <c r="BX259" s="8" t="s">
        <v>42</v>
      </c>
      <c r="BY259" s="8" t="s">
        <v>27</v>
      </c>
      <c r="BZ259" s="8" t="s">
        <v>42</v>
      </c>
      <c r="CA259" s="8" t="s">
        <v>27</v>
      </c>
      <c r="CB259" s="8" t="s">
        <v>42</v>
      </c>
      <c r="CC259" s="8" t="s">
        <v>27</v>
      </c>
      <c r="CD259" s="8" t="s">
        <v>27</v>
      </c>
      <c r="CE259" s="8" t="s">
        <v>42</v>
      </c>
      <c r="CF259" s="8" t="s">
        <v>377</v>
      </c>
      <c r="CG259" s="8" t="s">
        <v>378</v>
      </c>
    </row>
    <row r="260" spans="1:85" ht="15.75" customHeight="1" x14ac:dyDescent="0.35">
      <c r="A260" s="8">
        <v>253</v>
      </c>
      <c r="B260" s="8" t="s">
        <v>414</v>
      </c>
      <c r="C260" s="9">
        <v>1.2999999999999999E-5</v>
      </c>
      <c r="D260" s="9">
        <v>4.8000000000000001E-5</v>
      </c>
      <c r="E260" s="9">
        <v>2.6800000000000001E-4</v>
      </c>
      <c r="F260" s="9">
        <v>3.6200000000000002E-4</v>
      </c>
      <c r="G260" s="9">
        <v>2.14E-4</v>
      </c>
      <c r="H260" s="9">
        <v>2.14E-4</v>
      </c>
      <c r="I260" s="9">
        <v>0</v>
      </c>
      <c r="J260" s="8"/>
      <c r="K260" s="8"/>
      <c r="L260" s="8"/>
      <c r="M260" s="8"/>
      <c r="N260" s="10">
        <v>1208400</v>
      </c>
      <c r="O260" s="10">
        <v>4410800</v>
      </c>
      <c r="P260" s="10">
        <v>24758200</v>
      </c>
      <c r="Q260" s="10">
        <v>33464000</v>
      </c>
      <c r="R260" s="10">
        <v>19766400</v>
      </c>
      <c r="S260" s="10">
        <v>19766400</v>
      </c>
      <c r="T260" s="10">
        <v>0</v>
      </c>
      <c r="U260" s="8"/>
      <c r="V260" s="8"/>
      <c r="W260" s="8"/>
      <c r="X260" s="8"/>
      <c r="Y260" s="12">
        <v>-3202400</v>
      </c>
      <c r="Z260" s="12">
        <v>-20347400</v>
      </c>
      <c r="AA260" s="12">
        <v>-8705800</v>
      </c>
      <c r="AB260" s="13">
        <v>13697600</v>
      </c>
      <c r="AC260" s="11">
        <v>0</v>
      </c>
      <c r="AD260" s="13">
        <v>19766400</v>
      </c>
      <c r="AE260" s="11">
        <v>0</v>
      </c>
      <c r="AF260" s="8"/>
      <c r="AG260" s="8"/>
      <c r="AH260" s="8"/>
      <c r="AI260" s="8"/>
      <c r="AJ260" s="10">
        <v>5315364836.6000004</v>
      </c>
      <c r="AK260" s="10">
        <v>25079212688</v>
      </c>
      <c r="AL260" s="10">
        <v>149787109944.64999</v>
      </c>
      <c r="AM260" s="10">
        <v>166065100127.85001</v>
      </c>
      <c r="AN260" s="10">
        <v>62511239980.800003</v>
      </c>
      <c r="AO260" s="10">
        <v>62511239980.800003</v>
      </c>
      <c r="AP260" s="10">
        <v>0</v>
      </c>
      <c r="AQ260" s="8"/>
      <c r="AR260" s="8"/>
      <c r="AS260" s="8"/>
      <c r="AT260" s="8"/>
      <c r="AU260" s="14">
        <v>45930</v>
      </c>
      <c r="AV260" s="14">
        <v>45657</v>
      </c>
      <c r="AW260" s="14">
        <v>45291</v>
      </c>
      <c r="AX260" s="14">
        <v>44926</v>
      </c>
      <c r="AY260" s="14">
        <v>44196</v>
      </c>
      <c r="AZ260" s="14">
        <v>44196</v>
      </c>
      <c r="BA260" s="14">
        <v>43830</v>
      </c>
      <c r="BB260" s="8"/>
      <c r="BC260" s="8"/>
      <c r="BD260" s="8"/>
      <c r="BE260" s="8"/>
      <c r="BF260" s="8" t="s">
        <v>35</v>
      </c>
      <c r="BG260" s="8" t="s">
        <v>35</v>
      </c>
      <c r="BH260" s="8" t="s">
        <v>35</v>
      </c>
      <c r="BI260" s="8" t="s">
        <v>35</v>
      </c>
      <c r="BJ260" s="8" t="s">
        <v>35</v>
      </c>
      <c r="BK260" s="8" t="s">
        <v>35</v>
      </c>
      <c r="BL260" s="8" t="s">
        <v>35</v>
      </c>
      <c r="BM260" s="8"/>
      <c r="BN260" s="8"/>
      <c r="BO260" s="8"/>
      <c r="BP260" s="8"/>
      <c r="BQ260" s="8" t="s">
        <v>31</v>
      </c>
      <c r="BR260" s="8" t="s">
        <v>36</v>
      </c>
      <c r="BS260" s="10">
        <v>857356395937772</v>
      </c>
      <c r="BT260" s="8" t="s">
        <v>41</v>
      </c>
      <c r="BU260" s="8" t="s">
        <v>42</v>
      </c>
      <c r="BV260" s="8" t="s">
        <v>42</v>
      </c>
      <c r="BW260" s="8" t="s">
        <v>42</v>
      </c>
      <c r="BX260" s="8" t="s">
        <v>42</v>
      </c>
      <c r="BY260" s="8" t="s">
        <v>42</v>
      </c>
      <c r="BZ260" s="8" t="s">
        <v>42</v>
      </c>
      <c r="CA260" s="8" t="s">
        <v>42</v>
      </c>
      <c r="CB260" s="8"/>
      <c r="CC260" s="8"/>
      <c r="CD260" s="8"/>
      <c r="CE260" s="8"/>
      <c r="CF260" s="8" t="s">
        <v>382</v>
      </c>
      <c r="CG260" s="8" t="s">
        <v>383</v>
      </c>
    </row>
    <row r="261" spans="1:85" ht="15.75" customHeight="1" x14ac:dyDescent="0.35">
      <c r="A261" s="8">
        <v>254</v>
      </c>
      <c r="B261" s="8" t="s">
        <v>415</v>
      </c>
      <c r="C261" s="9">
        <v>1.2999999999999999E-5</v>
      </c>
      <c r="D261" s="9">
        <v>1.2999999999999999E-5</v>
      </c>
      <c r="E261" s="9">
        <v>3.0000000000000001E-6</v>
      </c>
      <c r="F261" s="9">
        <v>1.5999999999999999E-5</v>
      </c>
      <c r="G261" s="9">
        <v>2.5000000000000001E-5</v>
      </c>
      <c r="H261" s="9">
        <v>0</v>
      </c>
      <c r="I261" s="8"/>
      <c r="J261" s="8"/>
      <c r="K261" s="8"/>
      <c r="L261" s="8"/>
      <c r="M261" s="8"/>
      <c r="N261" s="10">
        <v>1193500</v>
      </c>
      <c r="O261" s="10">
        <v>1193500</v>
      </c>
      <c r="P261" s="10">
        <v>256000</v>
      </c>
      <c r="Q261" s="10">
        <v>1434000</v>
      </c>
      <c r="R261" s="10">
        <v>2274000</v>
      </c>
      <c r="S261" s="10">
        <v>0</v>
      </c>
      <c r="T261" s="8"/>
      <c r="U261" s="8"/>
      <c r="V261" s="8"/>
      <c r="W261" s="8"/>
      <c r="X261" s="8"/>
      <c r="Y261" s="11">
        <v>0</v>
      </c>
      <c r="Z261" s="13">
        <v>937500</v>
      </c>
      <c r="AA261" s="12">
        <v>-1178000</v>
      </c>
      <c r="AB261" s="12">
        <v>-840000</v>
      </c>
      <c r="AC261" s="13">
        <v>2274000</v>
      </c>
      <c r="AD261" s="11">
        <v>0</v>
      </c>
      <c r="AE261" s="8"/>
      <c r="AF261" s="8"/>
      <c r="AG261" s="8"/>
      <c r="AH261" s="8"/>
      <c r="AI261" s="8"/>
      <c r="AJ261" s="10">
        <v>8264987545.3500004</v>
      </c>
      <c r="AK261" s="10">
        <v>8264987545.3500004</v>
      </c>
      <c r="AL261" s="10">
        <v>1548799965.55</v>
      </c>
      <c r="AM261" s="10">
        <v>7116225076.9499998</v>
      </c>
      <c r="AN261" s="10">
        <v>7979026012.5</v>
      </c>
      <c r="AO261" s="10">
        <v>0</v>
      </c>
      <c r="AP261" s="8"/>
      <c r="AQ261" s="8"/>
      <c r="AR261" s="8"/>
      <c r="AS261" s="8"/>
      <c r="AT261" s="8"/>
      <c r="AU261" s="14">
        <v>45565</v>
      </c>
      <c r="AV261" s="14">
        <v>45565</v>
      </c>
      <c r="AW261" s="14">
        <v>45291</v>
      </c>
      <c r="AX261" s="14">
        <v>44926</v>
      </c>
      <c r="AY261" s="14">
        <v>44561</v>
      </c>
      <c r="AZ261" s="14">
        <v>44165</v>
      </c>
      <c r="BA261" s="8"/>
      <c r="BB261" s="8"/>
      <c r="BC261" s="8"/>
      <c r="BD261" s="8"/>
      <c r="BE261" s="8"/>
      <c r="BF261" s="8" t="s">
        <v>35</v>
      </c>
      <c r="BG261" s="8" t="s">
        <v>35</v>
      </c>
      <c r="BH261" s="8" t="s">
        <v>35</v>
      </c>
      <c r="BI261" s="8" t="s">
        <v>35</v>
      </c>
      <c r="BJ261" s="8" t="s">
        <v>35</v>
      </c>
      <c r="BK261" s="8" t="s">
        <v>35</v>
      </c>
      <c r="BL261" s="8"/>
      <c r="BM261" s="8"/>
      <c r="BN261" s="8"/>
      <c r="BO261" s="8"/>
      <c r="BP261" s="8"/>
      <c r="BQ261" s="8" t="s">
        <v>31</v>
      </c>
      <c r="BR261" s="8" t="s">
        <v>36</v>
      </c>
      <c r="BS261" s="10">
        <v>1781567793276</v>
      </c>
      <c r="BT261" s="8"/>
      <c r="BU261" s="8"/>
      <c r="BV261" s="8" t="s">
        <v>42</v>
      </c>
      <c r="BW261" s="8" t="s">
        <v>42</v>
      </c>
      <c r="BX261" s="8" t="s">
        <v>43</v>
      </c>
      <c r="BY261" s="8" t="s">
        <v>42</v>
      </c>
      <c r="BZ261" s="8" t="s">
        <v>42</v>
      </c>
      <c r="CA261" s="8"/>
      <c r="CB261" s="8"/>
      <c r="CC261" s="8"/>
      <c r="CD261" s="8"/>
      <c r="CE261" s="8"/>
      <c r="CF261" s="8" t="s">
        <v>98</v>
      </c>
      <c r="CG261" s="8" t="s">
        <v>99</v>
      </c>
    </row>
    <row r="262" spans="1:85" ht="15.75" customHeight="1" x14ac:dyDescent="0.35">
      <c r="A262" s="8">
        <v>255</v>
      </c>
      <c r="B262" s="8" t="s">
        <v>416</v>
      </c>
      <c r="C262" s="9">
        <v>1.2999999999999999E-5</v>
      </c>
      <c r="D262" s="9">
        <v>1.1E-5</v>
      </c>
      <c r="E262" s="9">
        <v>3.0000000000000001E-6</v>
      </c>
      <c r="F262" s="9">
        <v>1.9999999999999999E-6</v>
      </c>
      <c r="G262" s="9">
        <v>0</v>
      </c>
      <c r="H262" s="9">
        <v>0</v>
      </c>
      <c r="I262" s="9">
        <v>0</v>
      </c>
      <c r="J262" s="9">
        <v>9.9999999999999995E-7</v>
      </c>
      <c r="K262" s="9">
        <v>1.9999999999999999E-6</v>
      </c>
      <c r="L262" s="9">
        <v>9.9999999999999995E-7</v>
      </c>
      <c r="M262" s="9">
        <v>0</v>
      </c>
      <c r="N262" s="10">
        <v>1176000</v>
      </c>
      <c r="O262" s="10">
        <v>1008000</v>
      </c>
      <c r="P262" s="10">
        <v>280000</v>
      </c>
      <c r="Q262" s="10">
        <v>160000</v>
      </c>
      <c r="R262" s="10">
        <v>25200</v>
      </c>
      <c r="S262" s="10">
        <v>0</v>
      </c>
      <c r="T262" s="10">
        <v>20800</v>
      </c>
      <c r="U262" s="10">
        <v>59800</v>
      </c>
      <c r="V262" s="10">
        <v>171600</v>
      </c>
      <c r="W262" s="10">
        <v>82800</v>
      </c>
      <c r="X262" s="10">
        <v>0</v>
      </c>
      <c r="Y262" s="13">
        <v>168000</v>
      </c>
      <c r="Z262" s="13">
        <v>728000</v>
      </c>
      <c r="AA262" s="13">
        <v>120000</v>
      </c>
      <c r="AB262" s="13">
        <v>134800</v>
      </c>
      <c r="AC262" s="13">
        <v>25200</v>
      </c>
      <c r="AD262" s="12">
        <v>-20800</v>
      </c>
      <c r="AE262" s="12">
        <v>-39000</v>
      </c>
      <c r="AF262" s="12">
        <v>-111800</v>
      </c>
      <c r="AG262" s="13">
        <v>88800</v>
      </c>
      <c r="AH262" s="13">
        <v>82800</v>
      </c>
      <c r="AI262" s="12">
        <v>-491600</v>
      </c>
      <c r="AJ262" s="10">
        <v>5749862475.6000004</v>
      </c>
      <c r="AK262" s="10">
        <v>6189431371.1999998</v>
      </c>
      <c r="AL262" s="10">
        <v>1694000063.3499999</v>
      </c>
      <c r="AM262" s="10">
        <v>794000067.85000002</v>
      </c>
      <c r="AN262" s="10">
        <v>88421962.5</v>
      </c>
      <c r="AO262" s="10">
        <v>0</v>
      </c>
      <c r="AP262" s="10">
        <v>72539988</v>
      </c>
      <c r="AQ262" s="10">
        <v>221260039</v>
      </c>
      <c r="AR262" s="10">
        <v>634920018.60000002</v>
      </c>
      <c r="AS262" s="10">
        <v>232357566.34999999</v>
      </c>
      <c r="AT262" s="10">
        <v>0</v>
      </c>
      <c r="AU262" s="14">
        <v>45838</v>
      </c>
      <c r="AV262" s="14">
        <v>45626</v>
      </c>
      <c r="AW262" s="14">
        <v>45291</v>
      </c>
      <c r="AX262" s="14">
        <v>44926</v>
      </c>
      <c r="AY262" s="14">
        <v>44561</v>
      </c>
      <c r="AZ262" s="14">
        <v>44165</v>
      </c>
      <c r="BA262" s="14">
        <v>43799</v>
      </c>
      <c r="BB262" s="14">
        <v>43434</v>
      </c>
      <c r="BC262" s="14">
        <v>43069</v>
      </c>
      <c r="BD262" s="14">
        <v>42613</v>
      </c>
      <c r="BE262" s="14">
        <v>42369</v>
      </c>
      <c r="BF262" s="8" t="s">
        <v>35</v>
      </c>
      <c r="BG262" s="8" t="s">
        <v>35</v>
      </c>
      <c r="BH262" s="8" t="s">
        <v>35</v>
      </c>
      <c r="BI262" s="8" t="s">
        <v>35</v>
      </c>
      <c r="BJ262" s="8" t="s">
        <v>35</v>
      </c>
      <c r="BK262" s="8" t="s">
        <v>35</v>
      </c>
      <c r="BL262" s="8" t="s">
        <v>35</v>
      </c>
      <c r="BM262" s="8" t="s">
        <v>35</v>
      </c>
      <c r="BN262" s="8" t="s">
        <v>35</v>
      </c>
      <c r="BO262" s="8" t="s">
        <v>35</v>
      </c>
      <c r="BP262" s="8" t="s">
        <v>35</v>
      </c>
      <c r="BQ262" s="8" t="s">
        <v>31</v>
      </c>
      <c r="BR262" s="8" t="s">
        <v>36</v>
      </c>
      <c r="BS262" s="10">
        <v>5276075676552</v>
      </c>
      <c r="BT262" s="8"/>
      <c r="BU262" s="8" t="s">
        <v>27</v>
      </c>
      <c r="BV262" s="8" t="s">
        <v>42</v>
      </c>
      <c r="BW262" s="8" t="s">
        <v>42</v>
      </c>
      <c r="BX262" s="8" t="s">
        <v>27</v>
      </c>
      <c r="BY262" s="8" t="s">
        <v>42</v>
      </c>
      <c r="BZ262" s="8" t="s">
        <v>27</v>
      </c>
      <c r="CA262" s="8" t="s">
        <v>42</v>
      </c>
      <c r="CB262" s="8" t="s">
        <v>27</v>
      </c>
      <c r="CC262" s="8" t="s">
        <v>42</v>
      </c>
      <c r="CD262" s="8" t="s">
        <v>27</v>
      </c>
      <c r="CE262" s="8" t="s">
        <v>27</v>
      </c>
      <c r="CF262" s="8" t="s">
        <v>58</v>
      </c>
      <c r="CG262" s="8" t="s">
        <v>59</v>
      </c>
    </row>
    <row r="263" spans="1:85" ht="15.75" customHeight="1" x14ac:dyDescent="0.35">
      <c r="A263" s="8">
        <v>256</v>
      </c>
      <c r="B263" s="8" t="s">
        <v>417</v>
      </c>
      <c r="C263" s="9">
        <v>1.2999999999999999E-5</v>
      </c>
      <c r="D263" s="9">
        <v>1.2999999999999999E-5</v>
      </c>
      <c r="E263" s="9">
        <v>1.0000000000000001E-5</v>
      </c>
      <c r="F263" s="9">
        <v>3.9999999999999998E-6</v>
      </c>
      <c r="G263" s="8"/>
      <c r="H263" s="8"/>
      <c r="I263" s="8"/>
      <c r="J263" s="8"/>
      <c r="K263" s="8"/>
      <c r="L263" s="8"/>
      <c r="M263" s="8"/>
      <c r="N263" s="10">
        <v>1170260</v>
      </c>
      <c r="O263" s="10">
        <v>1170260</v>
      </c>
      <c r="P263" s="10">
        <v>907860</v>
      </c>
      <c r="Q263" s="10">
        <v>386660</v>
      </c>
      <c r="R263" s="8"/>
      <c r="S263" s="8"/>
      <c r="T263" s="8"/>
      <c r="U263" s="8"/>
      <c r="V263" s="8"/>
      <c r="W263" s="8"/>
      <c r="X263" s="8"/>
      <c r="Y263" s="11">
        <v>0</v>
      </c>
      <c r="Z263" s="13">
        <v>262400</v>
      </c>
      <c r="AA263" s="13">
        <v>521200</v>
      </c>
      <c r="AB263" s="13">
        <v>386660</v>
      </c>
      <c r="AC263" s="8"/>
      <c r="AD263" s="8"/>
      <c r="AE263" s="8"/>
      <c r="AF263" s="8"/>
      <c r="AG263" s="8"/>
      <c r="AH263" s="8"/>
      <c r="AI263" s="8"/>
      <c r="AJ263" s="10">
        <v>8104050430.9499998</v>
      </c>
      <c r="AK263" s="10">
        <v>8104050430.9499998</v>
      </c>
      <c r="AL263" s="10">
        <v>5492552972.3999996</v>
      </c>
      <c r="AM263" s="10">
        <v>1918800279</v>
      </c>
      <c r="AN263" s="8"/>
      <c r="AO263" s="8"/>
      <c r="AP263" s="8"/>
      <c r="AQ263" s="8"/>
      <c r="AR263" s="8"/>
      <c r="AS263" s="8"/>
      <c r="AT263" s="8"/>
      <c r="AU263" s="14">
        <v>45565</v>
      </c>
      <c r="AV263" s="14">
        <v>45565</v>
      </c>
      <c r="AW263" s="14">
        <v>45291</v>
      </c>
      <c r="AX263" s="14">
        <v>44926</v>
      </c>
      <c r="AY263" s="8"/>
      <c r="AZ263" s="8"/>
      <c r="BA263" s="8"/>
      <c r="BB263" s="8"/>
      <c r="BC263" s="8"/>
      <c r="BD263" s="8"/>
      <c r="BE263" s="8"/>
      <c r="BF263" s="8" t="s">
        <v>35</v>
      </c>
      <c r="BG263" s="8" t="s">
        <v>35</v>
      </c>
      <c r="BH263" s="8" t="s">
        <v>35</v>
      </c>
      <c r="BI263" s="8" t="s">
        <v>35</v>
      </c>
      <c r="BJ263" s="8"/>
      <c r="BK263" s="8"/>
      <c r="BL263" s="8"/>
      <c r="BM263" s="8"/>
      <c r="BN263" s="8"/>
      <c r="BO263" s="8"/>
      <c r="BP263" s="8"/>
      <c r="BQ263" s="8" t="s">
        <v>31</v>
      </c>
      <c r="BR263" s="8" t="s">
        <v>36</v>
      </c>
      <c r="BS263" s="10">
        <v>16090554696033.6</v>
      </c>
      <c r="BT263" s="8"/>
      <c r="BU263" s="8" t="s">
        <v>27</v>
      </c>
      <c r="BV263" s="8" t="s">
        <v>27</v>
      </c>
      <c r="BW263" s="8" t="s">
        <v>27</v>
      </c>
      <c r="BX263" s="8" t="s">
        <v>42</v>
      </c>
      <c r="BY263" s="8"/>
      <c r="BZ263" s="8"/>
      <c r="CA263" s="8"/>
      <c r="CB263" s="8"/>
      <c r="CC263" s="8"/>
      <c r="CD263" s="8"/>
      <c r="CE263" s="8"/>
      <c r="CF263" s="8" t="s">
        <v>418</v>
      </c>
      <c r="CG263" s="8" t="s">
        <v>419</v>
      </c>
    </row>
    <row r="264" spans="1:85" ht="15.75" customHeight="1" x14ac:dyDescent="0.35">
      <c r="A264" s="8">
        <v>257</v>
      </c>
      <c r="B264" s="8" t="s">
        <v>420</v>
      </c>
      <c r="C264" s="9">
        <v>1.2E-5</v>
      </c>
      <c r="D264" s="9">
        <v>1.2E-5</v>
      </c>
      <c r="E264" s="9">
        <v>1.2E-5</v>
      </c>
      <c r="F264" s="9">
        <v>2.1999999999999999E-5</v>
      </c>
      <c r="G264" s="9">
        <v>0</v>
      </c>
      <c r="H264" s="9">
        <v>2.0000000000000002E-5</v>
      </c>
      <c r="I264" s="9">
        <v>0</v>
      </c>
      <c r="J264" s="8"/>
      <c r="K264" s="8"/>
      <c r="L264" s="9">
        <v>0</v>
      </c>
      <c r="M264" s="9">
        <v>0</v>
      </c>
      <c r="N264" s="10">
        <v>1140900</v>
      </c>
      <c r="O264" s="10">
        <v>1140900</v>
      </c>
      <c r="P264" s="10">
        <v>1075500</v>
      </c>
      <c r="Q264" s="10">
        <v>2023200</v>
      </c>
      <c r="R264" s="10">
        <v>0</v>
      </c>
      <c r="S264" s="10">
        <v>1869200</v>
      </c>
      <c r="T264" s="10">
        <v>0</v>
      </c>
      <c r="U264" s="8"/>
      <c r="V264" s="8"/>
      <c r="W264" s="10">
        <v>0</v>
      </c>
      <c r="X264" s="10">
        <v>0</v>
      </c>
      <c r="Y264" s="11">
        <v>0</v>
      </c>
      <c r="Z264" s="13">
        <v>65400</v>
      </c>
      <c r="AA264" s="12">
        <v>-947700</v>
      </c>
      <c r="AB264" s="13">
        <v>2023200</v>
      </c>
      <c r="AC264" s="12">
        <v>-1869200</v>
      </c>
      <c r="AD264" s="13">
        <v>1869200</v>
      </c>
      <c r="AE264" s="11">
        <v>0</v>
      </c>
      <c r="AF264" s="8"/>
      <c r="AG264" s="8"/>
      <c r="AH264" s="11">
        <v>0</v>
      </c>
      <c r="AI264" s="11">
        <v>0</v>
      </c>
      <c r="AJ264" s="10">
        <v>7900732440.8999996</v>
      </c>
      <c r="AK264" s="10">
        <v>7900732440.8999996</v>
      </c>
      <c r="AL264" s="10">
        <v>6506774956.6000004</v>
      </c>
      <c r="AM264" s="10">
        <v>10040129938.85</v>
      </c>
      <c r="AN264" s="10">
        <v>0</v>
      </c>
      <c r="AO264" s="10">
        <v>5911345018.8000002</v>
      </c>
      <c r="AP264" s="10">
        <v>0</v>
      </c>
      <c r="AQ264" s="8"/>
      <c r="AR264" s="8"/>
      <c r="AS264" s="10">
        <v>0</v>
      </c>
      <c r="AT264" s="10">
        <v>0</v>
      </c>
      <c r="AU264" s="14">
        <v>45565</v>
      </c>
      <c r="AV264" s="14">
        <v>45565</v>
      </c>
      <c r="AW264" s="14">
        <v>45291</v>
      </c>
      <c r="AX264" s="14">
        <v>44926</v>
      </c>
      <c r="AY264" s="14">
        <v>44316</v>
      </c>
      <c r="AZ264" s="14">
        <v>44196</v>
      </c>
      <c r="BA264" s="14">
        <v>43769</v>
      </c>
      <c r="BB264" s="8"/>
      <c r="BC264" s="8"/>
      <c r="BD264" s="14">
        <v>42185</v>
      </c>
      <c r="BE264" s="14">
        <v>42185</v>
      </c>
      <c r="BF264" s="8" t="s">
        <v>35</v>
      </c>
      <c r="BG264" s="8" t="s">
        <v>35</v>
      </c>
      <c r="BH264" s="8" t="s">
        <v>35</v>
      </c>
      <c r="BI264" s="8" t="s">
        <v>35</v>
      </c>
      <c r="BJ264" s="8" t="s">
        <v>35</v>
      </c>
      <c r="BK264" s="8" t="s">
        <v>35</v>
      </c>
      <c r="BL264" s="8" t="s">
        <v>35</v>
      </c>
      <c r="BM264" s="8"/>
      <c r="BN264" s="8"/>
      <c r="BO264" s="8" t="s">
        <v>35</v>
      </c>
      <c r="BP264" s="8" t="s">
        <v>35</v>
      </c>
      <c r="BQ264" s="8" t="s">
        <v>31</v>
      </c>
      <c r="BR264" s="8" t="s">
        <v>49</v>
      </c>
      <c r="BS264" s="10">
        <v>8199841616756.4004</v>
      </c>
      <c r="BT264" s="8" t="s">
        <v>61</v>
      </c>
      <c r="BU264" s="8" t="s">
        <v>27</v>
      </c>
      <c r="BV264" s="8" t="s">
        <v>42</v>
      </c>
      <c r="BW264" s="8" t="s">
        <v>42</v>
      </c>
      <c r="BX264" s="8" t="s">
        <v>42</v>
      </c>
      <c r="BY264" s="8" t="s">
        <v>42</v>
      </c>
      <c r="BZ264" s="8" t="s">
        <v>27</v>
      </c>
      <c r="CA264" s="8" t="s">
        <v>27</v>
      </c>
      <c r="CB264" s="8"/>
      <c r="CC264" s="8"/>
      <c r="CD264" s="8" t="s">
        <v>42</v>
      </c>
      <c r="CE264" s="8" t="s">
        <v>27</v>
      </c>
      <c r="CF264" s="8" t="s">
        <v>82</v>
      </c>
      <c r="CG264" s="8" t="s">
        <v>39</v>
      </c>
    </row>
    <row r="265" spans="1:85" ht="15.75" customHeight="1" x14ac:dyDescent="0.35">
      <c r="A265" s="8">
        <v>258</v>
      </c>
      <c r="B265" s="8" t="s">
        <v>421</v>
      </c>
      <c r="C265" s="9">
        <v>1.2E-5</v>
      </c>
      <c r="D265" s="9">
        <v>1.2E-5</v>
      </c>
      <c r="E265" s="9">
        <v>1.1E-5</v>
      </c>
      <c r="F265" s="9">
        <v>7.9999999999999996E-6</v>
      </c>
      <c r="G265" s="9">
        <v>5.0000000000000004E-6</v>
      </c>
      <c r="H265" s="9">
        <v>3.9999999999999998E-6</v>
      </c>
      <c r="I265" s="9">
        <v>3.0000000000000001E-6</v>
      </c>
      <c r="J265" s="9">
        <v>9.9999999999999995E-7</v>
      </c>
      <c r="K265" s="9">
        <v>6.9999999999999999E-6</v>
      </c>
      <c r="L265" s="9">
        <v>6.9999999999999999E-6</v>
      </c>
      <c r="M265" s="9">
        <v>4.1E-5</v>
      </c>
      <c r="N265" s="10">
        <v>1101059</v>
      </c>
      <c r="O265" s="10">
        <v>1101059</v>
      </c>
      <c r="P265" s="10">
        <v>1014808</v>
      </c>
      <c r="Q265" s="10">
        <v>722348</v>
      </c>
      <c r="R265" s="10">
        <v>483026</v>
      </c>
      <c r="S265" s="10">
        <v>357698</v>
      </c>
      <c r="T265" s="10">
        <v>259170</v>
      </c>
      <c r="U265" s="10">
        <v>88136</v>
      </c>
      <c r="V265" s="10">
        <v>678000</v>
      </c>
      <c r="W265" s="10">
        <v>678000</v>
      </c>
      <c r="X265" s="10">
        <v>3782000</v>
      </c>
      <c r="Y265" s="11">
        <v>0</v>
      </c>
      <c r="Z265" s="13">
        <v>86251</v>
      </c>
      <c r="AA265" s="13">
        <v>292460</v>
      </c>
      <c r="AB265" s="13">
        <v>239322</v>
      </c>
      <c r="AC265" s="13">
        <v>125328</v>
      </c>
      <c r="AD265" s="13">
        <v>98528</v>
      </c>
      <c r="AE265" s="13">
        <v>171034</v>
      </c>
      <c r="AF265" s="12">
        <v>-589864</v>
      </c>
      <c r="AG265" s="11">
        <v>0</v>
      </c>
      <c r="AH265" s="12">
        <v>-3104000</v>
      </c>
      <c r="AI265" s="11">
        <v>0</v>
      </c>
      <c r="AJ265" s="10">
        <v>6260472581</v>
      </c>
      <c r="AK265" s="10">
        <v>6260472581</v>
      </c>
      <c r="AL265" s="10">
        <v>6139588349.75</v>
      </c>
      <c r="AM265" s="10">
        <v>3584651875.1999998</v>
      </c>
      <c r="AN265" s="10">
        <v>1694844840</v>
      </c>
      <c r="AO265" s="10">
        <v>1131219928.8</v>
      </c>
      <c r="AP265" s="10">
        <v>991706984.39999998</v>
      </c>
      <c r="AQ265" s="10">
        <v>326103206</v>
      </c>
      <c r="AR265" s="10">
        <v>1711949994.5799999</v>
      </c>
      <c r="AS265" s="10">
        <v>1711949994.5799999</v>
      </c>
      <c r="AT265" s="10">
        <v>9502275037.2000008</v>
      </c>
      <c r="AU265" s="14">
        <v>45657</v>
      </c>
      <c r="AV265" s="14">
        <v>45657</v>
      </c>
      <c r="AW265" s="14">
        <v>45291</v>
      </c>
      <c r="AX265" s="14">
        <v>44926</v>
      </c>
      <c r="AY265" s="14">
        <v>44561</v>
      </c>
      <c r="AZ265" s="14">
        <v>44196</v>
      </c>
      <c r="BA265" s="14">
        <v>43830</v>
      </c>
      <c r="BB265" s="14">
        <v>43434</v>
      </c>
      <c r="BC265" s="14">
        <v>42582</v>
      </c>
      <c r="BD265" s="14">
        <v>42582</v>
      </c>
      <c r="BE265" s="14">
        <v>42185</v>
      </c>
      <c r="BF265" s="8" t="s">
        <v>35</v>
      </c>
      <c r="BG265" s="8" t="s">
        <v>35</v>
      </c>
      <c r="BH265" s="8" t="s">
        <v>35</v>
      </c>
      <c r="BI265" s="8" t="s">
        <v>35</v>
      </c>
      <c r="BJ265" s="8" t="s">
        <v>35</v>
      </c>
      <c r="BK265" s="8" t="s">
        <v>35</v>
      </c>
      <c r="BL265" s="8" t="s">
        <v>35</v>
      </c>
      <c r="BM265" s="8" t="s">
        <v>35</v>
      </c>
      <c r="BN265" s="8" t="s">
        <v>35</v>
      </c>
      <c r="BO265" s="8" t="s">
        <v>35</v>
      </c>
      <c r="BP265" s="8" t="s">
        <v>35</v>
      </c>
      <c r="BQ265" s="8" t="s">
        <v>31</v>
      </c>
      <c r="BR265" s="8" t="s">
        <v>49</v>
      </c>
      <c r="BS265" s="10">
        <v>433788454483732</v>
      </c>
      <c r="BT265" s="8" t="s">
        <v>57</v>
      </c>
      <c r="BU265" s="8" t="s">
        <v>27</v>
      </c>
      <c r="BV265" s="8" t="s">
        <v>27</v>
      </c>
      <c r="BW265" s="8" t="s">
        <v>27</v>
      </c>
      <c r="BX265" s="8" t="s">
        <v>27</v>
      </c>
      <c r="BY265" s="8" t="s">
        <v>27</v>
      </c>
      <c r="BZ265" s="8" t="s">
        <v>42</v>
      </c>
      <c r="CA265" s="8" t="s">
        <v>42</v>
      </c>
      <c r="CB265" s="8" t="s">
        <v>42</v>
      </c>
      <c r="CC265" s="8" t="s">
        <v>42</v>
      </c>
      <c r="CD265" s="8" t="s">
        <v>43</v>
      </c>
      <c r="CE265" s="8" t="s">
        <v>42</v>
      </c>
      <c r="CF265" s="8" t="s">
        <v>373</v>
      </c>
      <c r="CG265" s="8" t="s">
        <v>181</v>
      </c>
    </row>
    <row r="266" spans="1:85" ht="15.75" customHeight="1" x14ac:dyDescent="0.35">
      <c r="A266" s="8">
        <v>259</v>
      </c>
      <c r="B266" s="8" t="s">
        <v>422</v>
      </c>
      <c r="C266" s="9">
        <v>1.2E-5</v>
      </c>
      <c r="D266" s="9">
        <v>2.6999999999999999E-5</v>
      </c>
      <c r="E266" s="9">
        <v>2.6999999999999999E-5</v>
      </c>
      <c r="F266" s="9">
        <v>1.2E-5</v>
      </c>
      <c r="G266" s="9">
        <v>6.8999999999999997E-5</v>
      </c>
      <c r="H266" s="9">
        <v>1.2999999999999999E-5</v>
      </c>
      <c r="I266" s="9">
        <v>0</v>
      </c>
      <c r="J266" s="8"/>
      <c r="K266" s="8"/>
      <c r="L266" s="8"/>
      <c r="M266" s="8"/>
      <c r="N266" s="10">
        <v>1100000</v>
      </c>
      <c r="O266" s="10">
        <v>2514400</v>
      </c>
      <c r="P266" s="10">
        <v>2514400</v>
      </c>
      <c r="Q266" s="10">
        <v>1122400</v>
      </c>
      <c r="R266" s="10">
        <v>6340000</v>
      </c>
      <c r="S266" s="10">
        <v>1244000</v>
      </c>
      <c r="T266" s="10">
        <v>0</v>
      </c>
      <c r="U266" s="8"/>
      <c r="V266" s="8"/>
      <c r="W266" s="8"/>
      <c r="X266" s="8"/>
      <c r="Y266" s="12">
        <v>-1414400</v>
      </c>
      <c r="Z266" s="11">
        <v>0</v>
      </c>
      <c r="AA266" s="13">
        <v>1392000</v>
      </c>
      <c r="AB266" s="12">
        <v>-5217600</v>
      </c>
      <c r="AC266" s="13">
        <v>5096000</v>
      </c>
      <c r="AD266" s="13">
        <v>1244000</v>
      </c>
      <c r="AE266" s="11">
        <v>0</v>
      </c>
      <c r="AF266" s="8"/>
      <c r="AG266" s="8"/>
      <c r="AH266" s="8"/>
      <c r="AI266" s="8"/>
      <c r="AJ266" s="10">
        <v>4838547806.3999996</v>
      </c>
      <c r="AK266" s="10">
        <v>14296538608.5</v>
      </c>
      <c r="AL266" s="10">
        <v>15212120023.9</v>
      </c>
      <c r="AM266" s="10">
        <v>5569910034.6999998</v>
      </c>
      <c r="AN266" s="10">
        <v>22245833317.5</v>
      </c>
      <c r="AO266" s="10">
        <v>3934150058.4000001</v>
      </c>
      <c r="AP266" s="10">
        <v>0</v>
      </c>
      <c r="AQ266" s="8"/>
      <c r="AR266" s="8"/>
      <c r="AS266" s="8"/>
      <c r="AT266" s="8"/>
      <c r="AU266" s="14">
        <v>45930</v>
      </c>
      <c r="AV266" s="14">
        <v>45657</v>
      </c>
      <c r="AW266" s="14">
        <v>45291</v>
      </c>
      <c r="AX266" s="14">
        <v>44926</v>
      </c>
      <c r="AY266" s="14">
        <v>44561</v>
      </c>
      <c r="AZ266" s="14">
        <v>44165</v>
      </c>
      <c r="BA266" s="14">
        <v>43799</v>
      </c>
      <c r="BB266" s="8"/>
      <c r="BC266" s="8"/>
      <c r="BD266" s="8"/>
      <c r="BE266" s="8"/>
      <c r="BF266" s="8" t="s">
        <v>35</v>
      </c>
      <c r="BG266" s="8" t="s">
        <v>35</v>
      </c>
      <c r="BH266" s="8" t="s">
        <v>35</v>
      </c>
      <c r="BI266" s="8" t="s">
        <v>35</v>
      </c>
      <c r="BJ266" s="8" t="s">
        <v>35</v>
      </c>
      <c r="BK266" s="8" t="s">
        <v>35</v>
      </c>
      <c r="BL266" s="8" t="s">
        <v>35</v>
      </c>
      <c r="BM266" s="8"/>
      <c r="BN266" s="8"/>
      <c r="BO266" s="8"/>
      <c r="BP266" s="8"/>
      <c r="BQ266" s="8" t="s">
        <v>31</v>
      </c>
      <c r="BR266" s="8" t="s">
        <v>36</v>
      </c>
      <c r="BS266" s="10">
        <v>284758589271.59998</v>
      </c>
      <c r="BT266" s="8"/>
      <c r="BU266" s="8" t="s">
        <v>27</v>
      </c>
      <c r="BV266" s="8" t="s">
        <v>27</v>
      </c>
      <c r="BW266" s="8" t="s">
        <v>42</v>
      </c>
      <c r="BX266" s="8" t="s">
        <v>43</v>
      </c>
      <c r="BY266" s="8" t="s">
        <v>27</v>
      </c>
      <c r="BZ266" s="8" t="s">
        <v>43</v>
      </c>
      <c r="CA266" s="8" t="s">
        <v>43</v>
      </c>
      <c r="CB266" s="8"/>
      <c r="CC266" s="8"/>
      <c r="CD266" s="8"/>
      <c r="CE266" s="8"/>
      <c r="CF266" s="8" t="s">
        <v>65</v>
      </c>
      <c r="CG266" s="8" t="s">
        <v>65</v>
      </c>
    </row>
    <row r="267" spans="1:85" ht="15.75" customHeight="1" x14ac:dyDescent="0.35">
      <c r="A267" s="8">
        <v>260</v>
      </c>
      <c r="B267" s="8" t="s">
        <v>423</v>
      </c>
      <c r="C267" s="9">
        <v>1.2E-5</v>
      </c>
      <c r="D267" s="9">
        <v>6.9999999999999999E-6</v>
      </c>
      <c r="E267" s="8"/>
      <c r="F267" s="8"/>
      <c r="G267" s="8"/>
      <c r="H267" s="8"/>
      <c r="I267" s="8"/>
      <c r="J267" s="8"/>
      <c r="K267" s="8"/>
      <c r="L267" s="8"/>
      <c r="M267" s="8"/>
      <c r="N267" s="10">
        <v>1083900</v>
      </c>
      <c r="O267" s="10">
        <v>635300</v>
      </c>
      <c r="P267" s="8"/>
      <c r="Q267" s="8"/>
      <c r="R267" s="8"/>
      <c r="S267" s="8"/>
      <c r="T267" s="8"/>
      <c r="U267" s="8"/>
      <c r="V267" s="8"/>
      <c r="W267" s="8"/>
      <c r="X267" s="8"/>
      <c r="Y267" s="13">
        <v>448600</v>
      </c>
      <c r="Z267" s="13">
        <v>635300</v>
      </c>
      <c r="AA267" s="8"/>
      <c r="AB267" s="8"/>
      <c r="AC267" s="8"/>
      <c r="AD267" s="8"/>
      <c r="AE267" s="8"/>
      <c r="AF267" s="8"/>
      <c r="AG267" s="8"/>
      <c r="AH267" s="8"/>
      <c r="AI267" s="8"/>
      <c r="AJ267" s="10">
        <v>5172342337.0500002</v>
      </c>
      <c r="AK267" s="10">
        <v>3612229939.5</v>
      </c>
      <c r="AL267" s="8"/>
      <c r="AM267" s="8"/>
      <c r="AN267" s="8"/>
      <c r="AO267" s="8"/>
      <c r="AP267" s="8"/>
      <c r="AQ267" s="8"/>
      <c r="AR267" s="8"/>
      <c r="AS267" s="8"/>
      <c r="AT267" s="8"/>
      <c r="AU267" s="14">
        <v>45900</v>
      </c>
      <c r="AV267" s="14">
        <v>45657</v>
      </c>
      <c r="AW267" s="8"/>
      <c r="AX267" s="8"/>
      <c r="AY267" s="8"/>
      <c r="AZ267" s="8"/>
      <c r="BA267" s="8"/>
      <c r="BB267" s="8"/>
      <c r="BC267" s="8"/>
      <c r="BD267" s="8"/>
      <c r="BE267" s="8"/>
      <c r="BF267" s="8" t="s">
        <v>35</v>
      </c>
      <c r="BG267" s="8" t="s">
        <v>35</v>
      </c>
      <c r="BH267" s="8"/>
      <c r="BI267" s="8"/>
      <c r="BJ267" s="8"/>
      <c r="BK267" s="8"/>
      <c r="BL267" s="8"/>
      <c r="BM267" s="8"/>
      <c r="BN267" s="8"/>
      <c r="BO267" s="8"/>
      <c r="BP267" s="8"/>
      <c r="BQ267" s="8" t="s">
        <v>31</v>
      </c>
      <c r="BR267" s="8" t="s">
        <v>36</v>
      </c>
      <c r="BS267" s="10">
        <v>59934024663783.602</v>
      </c>
      <c r="BT267" s="8" t="s">
        <v>57</v>
      </c>
      <c r="BU267" s="8" t="s">
        <v>27</v>
      </c>
      <c r="BV267" s="8" t="s">
        <v>27</v>
      </c>
      <c r="BW267" s="8"/>
      <c r="BX267" s="8"/>
      <c r="BY267" s="8"/>
      <c r="BZ267" s="8"/>
      <c r="CA267" s="8"/>
      <c r="CB267" s="8"/>
      <c r="CC267" s="8"/>
      <c r="CD267" s="8"/>
      <c r="CE267" s="8"/>
      <c r="CF267" s="8" t="s">
        <v>173</v>
      </c>
      <c r="CG267" s="8" t="s">
        <v>174</v>
      </c>
    </row>
    <row r="268" spans="1:85" ht="15.75" customHeight="1" x14ac:dyDescent="0.35">
      <c r="A268" s="8">
        <v>261</v>
      </c>
      <c r="B268" s="8" t="s">
        <v>424</v>
      </c>
      <c r="C268" s="9">
        <v>1.1E-5</v>
      </c>
      <c r="D268" s="9">
        <v>1.0000000000000001E-5</v>
      </c>
      <c r="E268" s="9">
        <v>1.1E-5</v>
      </c>
      <c r="F268" s="9">
        <v>2.4000000000000001E-5</v>
      </c>
      <c r="G268" s="9">
        <v>3.1000000000000001E-5</v>
      </c>
      <c r="H268" s="9">
        <v>2.9E-5</v>
      </c>
      <c r="I268" s="9">
        <v>1.4E-5</v>
      </c>
      <c r="J268" s="9">
        <v>4.8999999999999998E-5</v>
      </c>
      <c r="K268" s="9">
        <v>4.6E-5</v>
      </c>
      <c r="L268" s="9">
        <v>1.54E-4</v>
      </c>
      <c r="M268" s="9">
        <v>1.4200000000000001E-4</v>
      </c>
      <c r="N268" s="10">
        <v>1046712</v>
      </c>
      <c r="O268" s="10">
        <v>961479</v>
      </c>
      <c r="P268" s="10">
        <v>972093</v>
      </c>
      <c r="Q268" s="10">
        <v>2256402</v>
      </c>
      <c r="R268" s="10">
        <v>2818954</v>
      </c>
      <c r="S268" s="10">
        <v>2706352</v>
      </c>
      <c r="T268" s="10">
        <v>1286046</v>
      </c>
      <c r="U268" s="10">
        <v>4542746</v>
      </c>
      <c r="V268" s="10">
        <v>4279916</v>
      </c>
      <c r="W268" s="10">
        <v>14254104</v>
      </c>
      <c r="X268" s="10">
        <v>13117224</v>
      </c>
      <c r="Y268" s="13">
        <v>85233</v>
      </c>
      <c r="Z268" s="12">
        <v>-10614</v>
      </c>
      <c r="AA268" s="12">
        <v>-1284309</v>
      </c>
      <c r="AB268" s="12">
        <v>-562552</v>
      </c>
      <c r="AC268" s="13">
        <v>112602</v>
      </c>
      <c r="AD268" s="13">
        <v>1420306</v>
      </c>
      <c r="AE268" s="12">
        <v>-3256700</v>
      </c>
      <c r="AF268" s="13">
        <v>262830</v>
      </c>
      <c r="AG268" s="12">
        <v>-9974188</v>
      </c>
      <c r="AH268" s="13">
        <v>1136880</v>
      </c>
      <c r="AI268" s="11">
        <v>0</v>
      </c>
      <c r="AJ268" s="10">
        <v>4994882136.3000002</v>
      </c>
      <c r="AK268" s="10">
        <v>5466839606.1000004</v>
      </c>
      <c r="AL268" s="10">
        <v>5881162645.4499998</v>
      </c>
      <c r="AM268" s="10">
        <v>11197395004.4</v>
      </c>
      <c r="AN268" s="10">
        <v>9891164115</v>
      </c>
      <c r="AO268" s="10">
        <v>8558838194.3999996</v>
      </c>
      <c r="AP268" s="10">
        <v>4935201585.8000002</v>
      </c>
      <c r="AQ268" s="10">
        <v>16013179701.9</v>
      </c>
      <c r="AR268" s="10">
        <v>13481735448.719999</v>
      </c>
      <c r="AS268" s="10">
        <v>32160822136.299999</v>
      </c>
      <c r="AT268" s="10">
        <v>31235389695</v>
      </c>
      <c r="AU268" s="14">
        <v>45900</v>
      </c>
      <c r="AV268" s="14">
        <v>45657</v>
      </c>
      <c r="AW268" s="14">
        <v>45291</v>
      </c>
      <c r="AX268" s="14">
        <v>44926</v>
      </c>
      <c r="AY268" s="14">
        <v>44561</v>
      </c>
      <c r="AZ268" s="14">
        <v>44196</v>
      </c>
      <c r="BA268" s="14">
        <v>43616</v>
      </c>
      <c r="BB268" s="14">
        <v>43251</v>
      </c>
      <c r="BC268" s="14">
        <v>42886</v>
      </c>
      <c r="BD268" s="14">
        <v>42521</v>
      </c>
      <c r="BE268" s="14">
        <v>42216</v>
      </c>
      <c r="BF268" s="8" t="s">
        <v>35</v>
      </c>
      <c r="BG268" s="8" t="s">
        <v>35</v>
      </c>
      <c r="BH268" s="8" t="s">
        <v>35</v>
      </c>
      <c r="BI268" s="8" t="s">
        <v>35</v>
      </c>
      <c r="BJ268" s="8" t="s">
        <v>35</v>
      </c>
      <c r="BK268" s="8" t="s">
        <v>35</v>
      </c>
      <c r="BL268" s="8" t="s">
        <v>35</v>
      </c>
      <c r="BM268" s="8" t="s">
        <v>35</v>
      </c>
      <c r="BN268" s="8" t="s">
        <v>35</v>
      </c>
      <c r="BO268" s="8" t="s">
        <v>35</v>
      </c>
      <c r="BP268" s="8" t="s">
        <v>35</v>
      </c>
      <c r="BQ268" s="8" t="s">
        <v>31</v>
      </c>
      <c r="BR268" s="8" t="s">
        <v>36</v>
      </c>
      <c r="BS268" s="10">
        <v>3178214026918170</v>
      </c>
      <c r="BT268" s="8" t="s">
        <v>41</v>
      </c>
      <c r="BU268" s="8" t="s">
        <v>27</v>
      </c>
      <c r="BV268" s="8" t="s">
        <v>27</v>
      </c>
      <c r="BW268" s="8" t="s">
        <v>27</v>
      </c>
      <c r="BX268" s="8" t="s">
        <v>27</v>
      </c>
      <c r="BY268" s="8" t="s">
        <v>27</v>
      </c>
      <c r="BZ268" s="8" t="s">
        <v>27</v>
      </c>
      <c r="CA268" s="8" t="s">
        <v>27</v>
      </c>
      <c r="CB268" s="8" t="s">
        <v>27</v>
      </c>
      <c r="CC268" s="8" t="s">
        <v>27</v>
      </c>
      <c r="CD268" s="8" t="s">
        <v>27</v>
      </c>
      <c r="CE268" s="8" t="s">
        <v>27</v>
      </c>
      <c r="CF268" s="8" t="s">
        <v>373</v>
      </c>
      <c r="CG268" s="8" t="s">
        <v>181</v>
      </c>
    </row>
    <row r="269" spans="1:85" ht="15.75" customHeight="1" x14ac:dyDescent="0.35">
      <c r="A269" s="8">
        <v>262</v>
      </c>
      <c r="B269" s="8" t="s">
        <v>425</v>
      </c>
      <c r="C269" s="9">
        <v>1.1E-5</v>
      </c>
      <c r="D269" s="9">
        <v>2.8E-5</v>
      </c>
      <c r="E269" s="9">
        <v>6.3E-5</v>
      </c>
      <c r="F269" s="9">
        <v>5.7000000000000003E-5</v>
      </c>
      <c r="G269" s="9">
        <v>2.4000000000000001E-5</v>
      </c>
      <c r="H269" s="9">
        <v>6.9999999999999999E-6</v>
      </c>
      <c r="I269" s="9">
        <v>3.0000000000000001E-6</v>
      </c>
      <c r="J269" s="8"/>
      <c r="K269" s="8"/>
      <c r="L269" s="8"/>
      <c r="M269" s="8"/>
      <c r="N269" s="10">
        <v>1017000</v>
      </c>
      <c r="O269" s="10">
        <v>2542000</v>
      </c>
      <c r="P269" s="10">
        <v>5818100</v>
      </c>
      <c r="Q269" s="10">
        <v>5282200</v>
      </c>
      <c r="R269" s="10">
        <v>2182400</v>
      </c>
      <c r="S269" s="10">
        <v>665000</v>
      </c>
      <c r="T269" s="10">
        <v>304600</v>
      </c>
      <c r="U269" s="8"/>
      <c r="V269" s="8"/>
      <c r="W269" s="8"/>
      <c r="X269" s="8"/>
      <c r="Y269" s="12">
        <v>-1525000</v>
      </c>
      <c r="Z269" s="12">
        <v>-3276100</v>
      </c>
      <c r="AA269" s="13">
        <v>535900</v>
      </c>
      <c r="AB269" s="13">
        <v>3099800</v>
      </c>
      <c r="AC269" s="13">
        <v>1517400</v>
      </c>
      <c r="AD269" s="13">
        <v>360400</v>
      </c>
      <c r="AE269" s="13">
        <v>304600</v>
      </c>
      <c r="AF269" s="8"/>
      <c r="AG269" s="8"/>
      <c r="AH269" s="8"/>
      <c r="AI269" s="8"/>
      <c r="AJ269" s="10">
        <v>4972457648.1000004</v>
      </c>
      <c r="AK269" s="10">
        <v>14453468401</v>
      </c>
      <c r="AL269" s="10">
        <v>35199505023.550003</v>
      </c>
      <c r="AM269" s="10">
        <v>26212917506.599998</v>
      </c>
      <c r="AN269" s="10">
        <v>7657619400</v>
      </c>
      <c r="AO269" s="10">
        <v>2103062551.2</v>
      </c>
      <c r="AP269" s="10">
        <v>1165543574.4000001</v>
      </c>
      <c r="AQ269" s="8"/>
      <c r="AR269" s="8"/>
      <c r="AS269" s="8"/>
      <c r="AT269" s="8"/>
      <c r="AU269" s="14">
        <v>45838</v>
      </c>
      <c r="AV269" s="14">
        <v>45657</v>
      </c>
      <c r="AW269" s="14">
        <v>45291</v>
      </c>
      <c r="AX269" s="14">
        <v>44926</v>
      </c>
      <c r="AY269" s="14">
        <v>44561</v>
      </c>
      <c r="AZ269" s="14">
        <v>44196</v>
      </c>
      <c r="BA269" s="14">
        <v>43830</v>
      </c>
      <c r="BB269" s="8"/>
      <c r="BC269" s="8"/>
      <c r="BD269" s="8"/>
      <c r="BE269" s="8"/>
      <c r="BF269" s="8" t="s">
        <v>35</v>
      </c>
      <c r="BG269" s="8" t="s">
        <v>35</v>
      </c>
      <c r="BH269" s="8" t="s">
        <v>35</v>
      </c>
      <c r="BI269" s="8" t="s">
        <v>35</v>
      </c>
      <c r="BJ269" s="8" t="s">
        <v>35</v>
      </c>
      <c r="BK269" s="8" t="s">
        <v>35</v>
      </c>
      <c r="BL269" s="8" t="s">
        <v>35</v>
      </c>
      <c r="BM269" s="8"/>
      <c r="BN269" s="8"/>
      <c r="BO269" s="8"/>
      <c r="BP269" s="8"/>
      <c r="BQ269" s="8" t="s">
        <v>31</v>
      </c>
      <c r="BR269" s="8" t="s">
        <v>36</v>
      </c>
      <c r="BS269" s="10">
        <v>450239182798667</v>
      </c>
      <c r="BT269" s="8" t="s">
        <v>37</v>
      </c>
      <c r="BU269" s="8" t="s">
        <v>27</v>
      </c>
      <c r="BV269" s="8" t="s">
        <v>27</v>
      </c>
      <c r="BW269" s="8" t="s">
        <v>27</v>
      </c>
      <c r="BX269" s="8" t="s">
        <v>27</v>
      </c>
      <c r="BY269" s="8" t="s">
        <v>27</v>
      </c>
      <c r="BZ269" s="8" t="s">
        <v>27</v>
      </c>
      <c r="CA269" s="8" t="s">
        <v>27</v>
      </c>
      <c r="CB269" s="8"/>
      <c r="CC269" s="8"/>
      <c r="CD269" s="8"/>
      <c r="CE269" s="8"/>
      <c r="CF269" s="8" t="s">
        <v>426</v>
      </c>
      <c r="CG269" s="8" t="s">
        <v>39</v>
      </c>
    </row>
    <row r="270" spans="1:85" ht="15.75" customHeight="1" x14ac:dyDescent="0.35">
      <c r="A270" s="8">
        <v>263</v>
      </c>
      <c r="B270" s="8" t="s">
        <v>427</v>
      </c>
      <c r="C270" s="9">
        <v>1.1E-5</v>
      </c>
      <c r="D270" s="9">
        <v>1.4E-5</v>
      </c>
      <c r="E270" s="9">
        <v>1.4E-5</v>
      </c>
      <c r="F270" s="9">
        <v>1.4E-5</v>
      </c>
      <c r="G270" s="9">
        <v>1.5E-5</v>
      </c>
      <c r="H270" s="9">
        <v>1.5E-5</v>
      </c>
      <c r="I270" s="9">
        <v>1.5999999999999999E-5</v>
      </c>
      <c r="J270" s="9">
        <v>0</v>
      </c>
      <c r="K270" s="9">
        <v>0</v>
      </c>
      <c r="L270" s="9">
        <v>4.6E-5</v>
      </c>
      <c r="M270" s="9">
        <v>3.8999999999999999E-5</v>
      </c>
      <c r="N270" s="10">
        <v>1000000</v>
      </c>
      <c r="O270" s="10">
        <v>1263361</v>
      </c>
      <c r="P270" s="10">
        <v>1268072</v>
      </c>
      <c r="Q270" s="10">
        <v>1264820</v>
      </c>
      <c r="R270" s="10">
        <v>1386400</v>
      </c>
      <c r="S270" s="10">
        <v>1406628</v>
      </c>
      <c r="T270" s="10">
        <v>1508246</v>
      </c>
      <c r="U270" s="10">
        <v>0</v>
      </c>
      <c r="V270" s="10">
        <v>0</v>
      </c>
      <c r="W270" s="10">
        <v>4219880</v>
      </c>
      <c r="X270" s="10">
        <v>3569740</v>
      </c>
      <c r="Y270" s="12">
        <v>-263361</v>
      </c>
      <c r="Z270" s="12">
        <v>-4711</v>
      </c>
      <c r="AA270" s="13">
        <v>3252</v>
      </c>
      <c r="AB270" s="12">
        <v>-121580</v>
      </c>
      <c r="AC270" s="12">
        <v>-20228</v>
      </c>
      <c r="AD270" s="12">
        <v>-101618</v>
      </c>
      <c r="AE270" s="13">
        <v>1508246</v>
      </c>
      <c r="AF270" s="11">
        <v>0</v>
      </c>
      <c r="AG270" s="12">
        <v>-4219880</v>
      </c>
      <c r="AH270" s="13">
        <v>650140</v>
      </c>
      <c r="AI270" s="12">
        <v>-704856</v>
      </c>
      <c r="AJ270" s="10">
        <v>4398679824</v>
      </c>
      <c r="AK270" s="10">
        <v>7183299889.1000004</v>
      </c>
      <c r="AL270" s="10">
        <v>7671835611.3000002</v>
      </c>
      <c r="AM270" s="10">
        <v>6276669211.4499998</v>
      </c>
      <c r="AN270" s="10">
        <v>4864609425</v>
      </c>
      <c r="AO270" s="10">
        <v>4448460978</v>
      </c>
      <c r="AP270" s="10">
        <v>5771262082.3999996</v>
      </c>
      <c r="AQ270" s="10">
        <v>0</v>
      </c>
      <c r="AR270" s="10">
        <v>0</v>
      </c>
      <c r="AS270" s="10">
        <v>12211277800.200001</v>
      </c>
      <c r="AT270" s="10">
        <v>8258019079.0500002</v>
      </c>
      <c r="AU270" s="14">
        <v>45930</v>
      </c>
      <c r="AV270" s="14">
        <v>45657</v>
      </c>
      <c r="AW270" s="14">
        <v>45291</v>
      </c>
      <c r="AX270" s="14">
        <v>44926</v>
      </c>
      <c r="AY270" s="14">
        <v>44561</v>
      </c>
      <c r="AZ270" s="14">
        <v>44196</v>
      </c>
      <c r="BA270" s="14">
        <v>43830</v>
      </c>
      <c r="BB270" s="14">
        <v>43100</v>
      </c>
      <c r="BC270" s="14">
        <v>43100</v>
      </c>
      <c r="BD270" s="14">
        <v>42735</v>
      </c>
      <c r="BE270" s="14">
        <v>42369</v>
      </c>
      <c r="BF270" s="8" t="s">
        <v>35</v>
      </c>
      <c r="BG270" s="8" t="s">
        <v>35</v>
      </c>
      <c r="BH270" s="8" t="s">
        <v>35</v>
      </c>
      <c r="BI270" s="8" t="s">
        <v>35</v>
      </c>
      <c r="BJ270" s="8" t="s">
        <v>35</v>
      </c>
      <c r="BK270" s="8" t="s">
        <v>35</v>
      </c>
      <c r="BL270" s="8" t="s">
        <v>35</v>
      </c>
      <c r="BM270" s="8" t="s">
        <v>35</v>
      </c>
      <c r="BN270" s="8" t="s">
        <v>35</v>
      </c>
      <c r="BO270" s="8" t="s">
        <v>35</v>
      </c>
      <c r="BP270" s="8" t="s">
        <v>35</v>
      </c>
      <c r="BQ270" s="8" t="s">
        <v>31</v>
      </c>
      <c r="BR270" s="8" t="s">
        <v>36</v>
      </c>
      <c r="BS270" s="10">
        <v>199835068231876</v>
      </c>
      <c r="BT270" s="8" t="s">
        <v>61</v>
      </c>
      <c r="BU270" s="8" t="s">
        <v>27</v>
      </c>
      <c r="BV270" s="8" t="s">
        <v>42</v>
      </c>
      <c r="BW270" s="8" t="s">
        <v>43</v>
      </c>
      <c r="BX270" s="8" t="s">
        <v>43</v>
      </c>
      <c r="BY270" s="8" t="s">
        <v>43</v>
      </c>
      <c r="BZ270" s="8" t="s">
        <v>43</v>
      </c>
      <c r="CA270" s="8" t="s">
        <v>43</v>
      </c>
      <c r="CB270" s="8" t="s">
        <v>43</v>
      </c>
      <c r="CC270" s="8" t="s">
        <v>43</v>
      </c>
      <c r="CD270" s="8" t="s">
        <v>42</v>
      </c>
      <c r="CE270" s="8" t="s">
        <v>42</v>
      </c>
      <c r="CF270" s="8" t="s">
        <v>346</v>
      </c>
      <c r="CG270" s="8" t="s">
        <v>347</v>
      </c>
    </row>
    <row r="271" spans="1:85" ht="15.75" customHeight="1" x14ac:dyDescent="0.35">
      <c r="A271" s="8">
        <v>264</v>
      </c>
      <c r="B271" s="8" t="s">
        <v>428</v>
      </c>
      <c r="C271" s="9">
        <v>1.1E-5</v>
      </c>
      <c r="D271" s="9">
        <v>7.9999999999999996E-6</v>
      </c>
      <c r="E271" s="9">
        <v>8.2000000000000001E-5</v>
      </c>
      <c r="F271" s="9">
        <v>0</v>
      </c>
      <c r="G271" s="9">
        <v>0</v>
      </c>
      <c r="H271" s="9">
        <v>1.7E-5</v>
      </c>
      <c r="I271" s="8"/>
      <c r="J271" s="8"/>
      <c r="K271" s="8"/>
      <c r="L271" s="8"/>
      <c r="M271" s="8"/>
      <c r="N271" s="10">
        <v>988558</v>
      </c>
      <c r="O271" s="10">
        <v>755058</v>
      </c>
      <c r="P271" s="10">
        <v>7590360</v>
      </c>
      <c r="Q271" s="10">
        <v>0</v>
      </c>
      <c r="R271" s="10">
        <v>0</v>
      </c>
      <c r="S271" s="10">
        <v>1570094</v>
      </c>
      <c r="T271" s="8"/>
      <c r="U271" s="8"/>
      <c r="V271" s="8"/>
      <c r="W271" s="8"/>
      <c r="X271" s="8"/>
      <c r="Y271" s="13">
        <v>233500</v>
      </c>
      <c r="Z271" s="12">
        <v>-6835302</v>
      </c>
      <c r="AA271" s="13">
        <v>7590360</v>
      </c>
      <c r="AB271" s="11">
        <v>0</v>
      </c>
      <c r="AC271" s="12">
        <v>-1570094</v>
      </c>
      <c r="AD271" s="13">
        <v>1570094</v>
      </c>
      <c r="AE271" s="8"/>
      <c r="AF271" s="8"/>
      <c r="AG271" s="8"/>
      <c r="AH271" s="8"/>
      <c r="AI271" s="8"/>
      <c r="AJ271" s="10">
        <v>4717372822.0500002</v>
      </c>
      <c r="AK271" s="10">
        <v>4293157774.0999999</v>
      </c>
      <c r="AL271" s="10">
        <v>45921677915.949997</v>
      </c>
      <c r="AM271" s="10">
        <v>0</v>
      </c>
      <c r="AN271" s="10">
        <v>0</v>
      </c>
      <c r="AO271" s="10">
        <v>4965422202</v>
      </c>
      <c r="AP271" s="8"/>
      <c r="AQ271" s="8"/>
      <c r="AR271" s="8"/>
      <c r="AS271" s="8"/>
      <c r="AT271" s="8"/>
      <c r="AU271" s="14">
        <v>45900</v>
      </c>
      <c r="AV271" s="14">
        <v>45657</v>
      </c>
      <c r="AW271" s="14">
        <v>45291</v>
      </c>
      <c r="AX271" s="14">
        <v>44377</v>
      </c>
      <c r="AY271" s="14">
        <v>44377</v>
      </c>
      <c r="AZ271" s="14">
        <v>44196</v>
      </c>
      <c r="BA271" s="8"/>
      <c r="BB271" s="8"/>
      <c r="BC271" s="8"/>
      <c r="BD271" s="8"/>
      <c r="BE271" s="8"/>
      <c r="BF271" s="8" t="s">
        <v>35</v>
      </c>
      <c r="BG271" s="8" t="s">
        <v>35</v>
      </c>
      <c r="BH271" s="8" t="s">
        <v>35</v>
      </c>
      <c r="BI271" s="8" t="s">
        <v>35</v>
      </c>
      <c r="BJ271" s="8" t="s">
        <v>35</v>
      </c>
      <c r="BK271" s="8" t="s">
        <v>35</v>
      </c>
      <c r="BL271" s="8"/>
      <c r="BM271" s="8"/>
      <c r="BN271" s="8"/>
      <c r="BO271" s="8"/>
      <c r="BP271" s="8"/>
      <c r="BQ271" s="8" t="s">
        <v>31</v>
      </c>
      <c r="BR271" s="8" t="s">
        <v>49</v>
      </c>
      <c r="BS271" s="10">
        <v>555798326405870</v>
      </c>
      <c r="BT271" s="8" t="s">
        <v>61</v>
      </c>
      <c r="BU271" s="8" t="s">
        <v>42</v>
      </c>
      <c r="BV271" s="8" t="s">
        <v>43</v>
      </c>
      <c r="BW271" s="8" t="s">
        <v>43</v>
      </c>
      <c r="BX271" s="8" t="s">
        <v>43</v>
      </c>
      <c r="BY271" s="8" t="s">
        <v>43</v>
      </c>
      <c r="BZ271" s="8" t="s">
        <v>43</v>
      </c>
      <c r="CA271" s="8"/>
      <c r="CB271" s="8"/>
      <c r="CC271" s="8"/>
      <c r="CD271" s="8"/>
      <c r="CE271" s="8"/>
      <c r="CF271" s="8" t="s">
        <v>85</v>
      </c>
      <c r="CG271" s="8" t="s">
        <v>39</v>
      </c>
    </row>
    <row r="272" spans="1:85" ht="15.75" customHeight="1" x14ac:dyDescent="0.35">
      <c r="A272" s="8">
        <v>265</v>
      </c>
      <c r="B272" s="8" t="s">
        <v>429</v>
      </c>
      <c r="C272" s="9">
        <v>1.1E-5</v>
      </c>
      <c r="D272" s="9">
        <v>1.1E-5</v>
      </c>
      <c r="E272" s="9">
        <v>1.5E-5</v>
      </c>
      <c r="F272" s="9">
        <v>1.5E-5</v>
      </c>
      <c r="G272" s="9">
        <v>1.8E-5</v>
      </c>
      <c r="H272" s="9">
        <v>2.9E-5</v>
      </c>
      <c r="I272" s="8"/>
      <c r="J272" s="8"/>
      <c r="K272" s="8"/>
      <c r="L272" s="8"/>
      <c r="M272" s="8"/>
      <c r="N272" s="10">
        <v>973700</v>
      </c>
      <c r="O272" s="10">
        <v>1028800</v>
      </c>
      <c r="P272" s="10">
        <v>1396800</v>
      </c>
      <c r="Q272" s="10">
        <v>1382600</v>
      </c>
      <c r="R272" s="10">
        <v>1663000</v>
      </c>
      <c r="S272" s="10">
        <v>2673400</v>
      </c>
      <c r="T272" s="8"/>
      <c r="U272" s="8"/>
      <c r="V272" s="8"/>
      <c r="W272" s="8"/>
      <c r="X272" s="8"/>
      <c r="Y272" s="12">
        <v>-55100</v>
      </c>
      <c r="Z272" s="12">
        <v>-368000</v>
      </c>
      <c r="AA272" s="13">
        <v>14200</v>
      </c>
      <c r="AB272" s="12">
        <v>-280400</v>
      </c>
      <c r="AC272" s="12">
        <v>-1010400</v>
      </c>
      <c r="AD272" s="13">
        <v>2673400</v>
      </c>
      <c r="AE272" s="8"/>
      <c r="AF272" s="8"/>
      <c r="AG272" s="8"/>
      <c r="AH272" s="8"/>
      <c r="AI272" s="8"/>
      <c r="AJ272" s="10">
        <v>4715924616.8000002</v>
      </c>
      <c r="AK272" s="10">
        <v>7098720074.6999998</v>
      </c>
      <c r="AL272" s="10">
        <v>7228439946.3500004</v>
      </c>
      <c r="AM272" s="10">
        <v>6187134944.25</v>
      </c>
      <c r="AN272" s="10">
        <v>5134512530.3999996</v>
      </c>
      <c r="AO272" s="10">
        <v>5961682062.75</v>
      </c>
      <c r="AP272" s="8"/>
      <c r="AQ272" s="8"/>
      <c r="AR272" s="8"/>
      <c r="AS272" s="8"/>
      <c r="AT272" s="8"/>
      <c r="AU272" s="14">
        <v>45777</v>
      </c>
      <c r="AV272" s="14">
        <v>45412</v>
      </c>
      <c r="AW272" s="14">
        <v>45046</v>
      </c>
      <c r="AX272" s="14">
        <v>44681</v>
      </c>
      <c r="AY272" s="14">
        <v>44316</v>
      </c>
      <c r="AZ272" s="14">
        <v>43951</v>
      </c>
      <c r="BA272" s="8"/>
      <c r="BB272" s="8"/>
      <c r="BC272" s="8"/>
      <c r="BD272" s="8"/>
      <c r="BE272" s="8"/>
      <c r="BF272" s="8" t="s">
        <v>35</v>
      </c>
      <c r="BG272" s="8" t="s">
        <v>35</v>
      </c>
      <c r="BH272" s="8" t="s">
        <v>35</v>
      </c>
      <c r="BI272" s="8" t="s">
        <v>35</v>
      </c>
      <c r="BJ272" s="8" t="s">
        <v>35</v>
      </c>
      <c r="BK272" s="8" t="s">
        <v>35</v>
      </c>
      <c r="BL272" s="8"/>
      <c r="BM272" s="8"/>
      <c r="BN272" s="8"/>
      <c r="BO272" s="8"/>
      <c r="BP272" s="8"/>
      <c r="BQ272" s="8" t="s">
        <v>31</v>
      </c>
      <c r="BR272" s="8" t="s">
        <v>49</v>
      </c>
      <c r="BS272" s="10">
        <v>748489037529960</v>
      </c>
      <c r="BT272" s="8"/>
      <c r="BU272" s="8" t="s">
        <v>27</v>
      </c>
      <c r="BV272" s="8" t="s">
        <v>27</v>
      </c>
      <c r="BW272" s="8" t="s">
        <v>27</v>
      </c>
      <c r="BX272" s="8" t="s">
        <v>27</v>
      </c>
      <c r="BY272" s="8" t="s">
        <v>42</v>
      </c>
      <c r="BZ272" s="8" t="s">
        <v>42</v>
      </c>
      <c r="CA272" s="8"/>
      <c r="CB272" s="8"/>
      <c r="CC272" s="8"/>
      <c r="CD272" s="8"/>
      <c r="CE272" s="8"/>
      <c r="CF272" s="8" t="s">
        <v>373</v>
      </c>
      <c r="CG272" s="8" t="s">
        <v>181</v>
      </c>
    </row>
    <row r="273" spans="1:85" ht="15.75" customHeight="1" x14ac:dyDescent="0.35">
      <c r="A273" s="8">
        <v>266</v>
      </c>
      <c r="B273" s="8" t="s">
        <v>430</v>
      </c>
      <c r="C273" s="9">
        <v>1.0000000000000001E-5</v>
      </c>
      <c r="D273" s="9">
        <v>6.9999999999999999E-6</v>
      </c>
      <c r="E273" s="9">
        <v>1.1E-5</v>
      </c>
      <c r="F273" s="8"/>
      <c r="G273" s="8"/>
      <c r="H273" s="8"/>
      <c r="I273" s="8"/>
      <c r="J273" s="8"/>
      <c r="K273" s="8"/>
      <c r="L273" s="8"/>
      <c r="M273" s="8"/>
      <c r="N273" s="10">
        <v>957162</v>
      </c>
      <c r="O273" s="10">
        <v>620885</v>
      </c>
      <c r="P273" s="10">
        <v>1027837</v>
      </c>
      <c r="Q273" s="8"/>
      <c r="R273" s="8"/>
      <c r="S273" s="8"/>
      <c r="T273" s="8"/>
      <c r="U273" s="8"/>
      <c r="V273" s="8"/>
      <c r="W273" s="8"/>
      <c r="X273" s="8"/>
      <c r="Y273" s="13">
        <v>336277</v>
      </c>
      <c r="Z273" s="12">
        <v>-406952</v>
      </c>
      <c r="AA273" s="13">
        <v>1027837</v>
      </c>
      <c r="AB273" s="8"/>
      <c r="AC273" s="8"/>
      <c r="AD273" s="8"/>
      <c r="AE273" s="8"/>
      <c r="AF273" s="8"/>
      <c r="AG273" s="8"/>
      <c r="AH273" s="8"/>
      <c r="AI273" s="8"/>
      <c r="AJ273" s="10">
        <v>4567551866.8500004</v>
      </c>
      <c r="AK273" s="10">
        <v>3812425689.5999999</v>
      </c>
      <c r="AL273" s="10">
        <v>6218413828.75</v>
      </c>
      <c r="AM273" s="8"/>
      <c r="AN273" s="8"/>
      <c r="AO273" s="8"/>
      <c r="AP273" s="8"/>
      <c r="AQ273" s="8"/>
      <c r="AR273" s="8"/>
      <c r="AS273" s="8"/>
      <c r="AT273" s="8"/>
      <c r="AU273" s="14">
        <v>45900</v>
      </c>
      <c r="AV273" s="14">
        <v>45626</v>
      </c>
      <c r="AW273" s="14">
        <v>45291</v>
      </c>
      <c r="AX273" s="8"/>
      <c r="AY273" s="8"/>
      <c r="AZ273" s="8"/>
      <c r="BA273" s="8"/>
      <c r="BB273" s="8"/>
      <c r="BC273" s="8"/>
      <c r="BD273" s="8"/>
      <c r="BE273" s="8"/>
      <c r="BF273" s="8" t="s">
        <v>35</v>
      </c>
      <c r="BG273" s="8" t="s">
        <v>35</v>
      </c>
      <c r="BH273" s="8" t="s">
        <v>35</v>
      </c>
      <c r="BI273" s="8"/>
      <c r="BJ273" s="8"/>
      <c r="BK273" s="8"/>
      <c r="BL273" s="8"/>
      <c r="BM273" s="8"/>
      <c r="BN273" s="8"/>
      <c r="BO273" s="8"/>
      <c r="BP273" s="8"/>
      <c r="BQ273" s="8" t="s">
        <v>31</v>
      </c>
      <c r="BR273" s="8" t="s">
        <v>101</v>
      </c>
      <c r="BS273" s="10">
        <v>4473748456855.2002</v>
      </c>
      <c r="BT273" s="8" t="s">
        <v>101</v>
      </c>
      <c r="BU273" s="8" t="s">
        <v>27</v>
      </c>
      <c r="BV273" s="8" t="s">
        <v>43</v>
      </c>
      <c r="BW273" s="8" t="s">
        <v>43</v>
      </c>
      <c r="BX273" s="8"/>
      <c r="BY273" s="8"/>
      <c r="BZ273" s="8"/>
      <c r="CA273" s="8"/>
      <c r="CB273" s="8"/>
      <c r="CC273" s="8"/>
      <c r="CD273" s="8"/>
      <c r="CE273" s="8"/>
      <c r="CF273" s="8" t="s">
        <v>82</v>
      </c>
      <c r="CG273" s="8" t="s">
        <v>39</v>
      </c>
    </row>
    <row r="274" spans="1:85" ht="15.75" customHeight="1" x14ac:dyDescent="0.35">
      <c r="A274" s="8">
        <v>267</v>
      </c>
      <c r="B274" s="8" t="s">
        <v>431</v>
      </c>
      <c r="C274" s="9">
        <v>1.0000000000000001E-5</v>
      </c>
      <c r="D274" s="9">
        <v>1.0000000000000001E-5</v>
      </c>
      <c r="E274" s="9">
        <v>1.2999999999999999E-5</v>
      </c>
      <c r="F274" s="9">
        <v>2.5000000000000001E-5</v>
      </c>
      <c r="G274" s="9">
        <v>4.0000000000000003E-5</v>
      </c>
      <c r="H274" s="9">
        <v>6.7000000000000002E-5</v>
      </c>
      <c r="I274" s="8"/>
      <c r="J274" s="8"/>
      <c r="K274" s="8"/>
      <c r="L274" s="8"/>
      <c r="M274" s="9">
        <v>0</v>
      </c>
      <c r="N274" s="10">
        <v>907911</v>
      </c>
      <c r="O274" s="10">
        <v>899843</v>
      </c>
      <c r="P274" s="10">
        <v>1242234</v>
      </c>
      <c r="Q274" s="10">
        <v>2302502</v>
      </c>
      <c r="R274" s="10">
        <v>3654324</v>
      </c>
      <c r="S274" s="10">
        <v>6191436</v>
      </c>
      <c r="T274" s="8"/>
      <c r="U274" s="8"/>
      <c r="V274" s="8"/>
      <c r="W274" s="8"/>
      <c r="X274" s="10">
        <v>0</v>
      </c>
      <c r="Y274" s="13">
        <v>8068</v>
      </c>
      <c r="Z274" s="12">
        <v>-342391</v>
      </c>
      <c r="AA274" s="12">
        <v>-1060268</v>
      </c>
      <c r="AB274" s="12">
        <v>-1351822</v>
      </c>
      <c r="AC274" s="12">
        <v>-2537112</v>
      </c>
      <c r="AD274" s="13">
        <v>6191436</v>
      </c>
      <c r="AE274" s="8"/>
      <c r="AF274" s="8"/>
      <c r="AG274" s="8"/>
      <c r="AH274" s="8"/>
      <c r="AI274" s="11">
        <v>0</v>
      </c>
      <c r="AJ274" s="10">
        <v>4439084503.8000002</v>
      </c>
      <c r="AK274" s="10">
        <v>5116385729.6000004</v>
      </c>
      <c r="AL274" s="10">
        <v>7515515705</v>
      </c>
      <c r="AM274" s="10">
        <v>11426166261.4</v>
      </c>
      <c r="AN274" s="10">
        <v>12822315870</v>
      </c>
      <c r="AO274" s="10">
        <v>19580416362</v>
      </c>
      <c r="AP274" s="8"/>
      <c r="AQ274" s="8"/>
      <c r="AR274" s="8"/>
      <c r="AS274" s="8"/>
      <c r="AT274" s="10">
        <v>0</v>
      </c>
      <c r="AU274" s="14">
        <v>45838</v>
      </c>
      <c r="AV274" s="14">
        <v>45657</v>
      </c>
      <c r="AW274" s="14">
        <v>45291</v>
      </c>
      <c r="AX274" s="14">
        <v>44926</v>
      </c>
      <c r="AY274" s="14">
        <v>44561</v>
      </c>
      <c r="AZ274" s="14">
        <v>44196</v>
      </c>
      <c r="BA274" s="8"/>
      <c r="BB274" s="8"/>
      <c r="BC274" s="8"/>
      <c r="BD274" s="8"/>
      <c r="BE274" s="14">
        <v>42004</v>
      </c>
      <c r="BF274" s="8" t="s">
        <v>35</v>
      </c>
      <c r="BG274" s="8" t="s">
        <v>35</v>
      </c>
      <c r="BH274" s="8" t="s">
        <v>35</v>
      </c>
      <c r="BI274" s="8" t="s">
        <v>35</v>
      </c>
      <c r="BJ274" s="8" t="s">
        <v>35</v>
      </c>
      <c r="BK274" s="8" t="s">
        <v>35</v>
      </c>
      <c r="BL274" s="8"/>
      <c r="BM274" s="8"/>
      <c r="BN274" s="8"/>
      <c r="BO274" s="8"/>
      <c r="BP274" s="8" t="s">
        <v>35</v>
      </c>
      <c r="BQ274" s="8" t="s">
        <v>31</v>
      </c>
      <c r="BR274" s="8" t="s">
        <v>36</v>
      </c>
      <c r="BS274" s="10">
        <v>68837233748052</v>
      </c>
      <c r="BT274" s="8" t="s">
        <v>37</v>
      </c>
      <c r="BU274" s="8" t="s">
        <v>27</v>
      </c>
      <c r="BV274" s="8" t="s">
        <v>27</v>
      </c>
      <c r="BW274" s="8" t="s">
        <v>42</v>
      </c>
      <c r="BX274" s="8" t="s">
        <v>42</v>
      </c>
      <c r="BY274" s="8" t="s">
        <v>42</v>
      </c>
      <c r="BZ274" s="8" t="s">
        <v>42</v>
      </c>
      <c r="CA274" s="8"/>
      <c r="CB274" s="8"/>
      <c r="CC274" s="8"/>
      <c r="CD274" s="8"/>
      <c r="CE274" s="8" t="s">
        <v>42</v>
      </c>
      <c r="CF274" s="8" t="s">
        <v>432</v>
      </c>
      <c r="CG274" s="8" t="s">
        <v>433</v>
      </c>
    </row>
    <row r="275" spans="1:85" ht="15.75" customHeight="1" x14ac:dyDescent="0.35">
      <c r="A275" s="8">
        <v>268</v>
      </c>
      <c r="B275" s="8" t="s">
        <v>434</v>
      </c>
      <c r="C275" s="9">
        <v>1.0000000000000001E-5</v>
      </c>
      <c r="D275" s="9">
        <v>8.2999999999999998E-5</v>
      </c>
      <c r="E275" s="9">
        <v>7.6000000000000004E-5</v>
      </c>
      <c r="F275" s="9">
        <v>1.76E-4</v>
      </c>
      <c r="G275" s="9">
        <v>3.68E-4</v>
      </c>
      <c r="H275" s="9">
        <v>4.0099999999999999E-4</v>
      </c>
      <c r="I275" s="9">
        <v>0</v>
      </c>
      <c r="J275" s="9">
        <v>2.52E-4</v>
      </c>
      <c r="K275" s="9">
        <v>4.3600000000000003E-4</v>
      </c>
      <c r="L275" s="9">
        <v>4.2200000000000001E-4</v>
      </c>
      <c r="M275" s="9">
        <v>5.5699999999999999E-4</v>
      </c>
      <c r="N275" s="10">
        <v>890820</v>
      </c>
      <c r="O275" s="10">
        <v>7648412</v>
      </c>
      <c r="P275" s="10">
        <v>7043212</v>
      </c>
      <c r="Q275" s="10">
        <v>16277512</v>
      </c>
      <c r="R275" s="10">
        <v>34004400</v>
      </c>
      <c r="S275" s="10">
        <v>37047200</v>
      </c>
      <c r="T275" s="10">
        <v>0</v>
      </c>
      <c r="U275" s="10">
        <v>23288200</v>
      </c>
      <c r="V275" s="10">
        <v>40303200</v>
      </c>
      <c r="W275" s="10">
        <v>38970000</v>
      </c>
      <c r="X275" s="10">
        <v>51430288</v>
      </c>
      <c r="Y275" s="12">
        <v>-6757592</v>
      </c>
      <c r="Z275" s="13">
        <v>605200</v>
      </c>
      <c r="AA275" s="12">
        <v>-9234300</v>
      </c>
      <c r="AB275" s="12">
        <v>-17726888</v>
      </c>
      <c r="AC275" s="12">
        <v>-3042800</v>
      </c>
      <c r="AD275" s="13">
        <v>37047200</v>
      </c>
      <c r="AE275" s="12">
        <v>-23288200</v>
      </c>
      <c r="AF275" s="12">
        <v>-17015000</v>
      </c>
      <c r="AG275" s="13">
        <v>1333200</v>
      </c>
      <c r="AH275" s="12">
        <v>-12460288</v>
      </c>
      <c r="AI275" s="11">
        <v>0</v>
      </c>
      <c r="AJ275" s="10">
        <v>4725698877.6999998</v>
      </c>
      <c r="AK275" s="10">
        <v>46963611921.599998</v>
      </c>
      <c r="AL275" s="10">
        <v>41202790241.550003</v>
      </c>
      <c r="AM275" s="10">
        <v>85660406874.899994</v>
      </c>
      <c r="AN275" s="10">
        <v>119314860405</v>
      </c>
      <c r="AO275" s="10">
        <v>117161769816</v>
      </c>
      <c r="AP275" s="10">
        <v>0</v>
      </c>
      <c r="AQ275" s="10">
        <v>86166339974</v>
      </c>
      <c r="AR275" s="10">
        <v>149121840036.12</v>
      </c>
      <c r="AS275" s="10">
        <v>102296250062.5</v>
      </c>
      <c r="AT275" s="10">
        <v>109289362061.7</v>
      </c>
      <c r="AU275" s="14">
        <v>45808</v>
      </c>
      <c r="AV275" s="14">
        <v>45626</v>
      </c>
      <c r="AW275" s="14">
        <v>45260</v>
      </c>
      <c r="AX275" s="14">
        <v>44895</v>
      </c>
      <c r="AY275" s="14">
        <v>44561</v>
      </c>
      <c r="AZ275" s="14">
        <v>44196</v>
      </c>
      <c r="BA275" s="14">
        <v>43524</v>
      </c>
      <c r="BB275" s="14">
        <v>43434</v>
      </c>
      <c r="BC275" s="14">
        <v>43069</v>
      </c>
      <c r="BD275" s="14">
        <v>42704</v>
      </c>
      <c r="BE275" s="14">
        <v>42338</v>
      </c>
      <c r="BF275" s="8" t="s">
        <v>35</v>
      </c>
      <c r="BG275" s="8" t="s">
        <v>35</v>
      </c>
      <c r="BH275" s="8" t="s">
        <v>35</v>
      </c>
      <c r="BI275" s="8" t="s">
        <v>35</v>
      </c>
      <c r="BJ275" s="8" t="s">
        <v>35</v>
      </c>
      <c r="BK275" s="8" t="s">
        <v>35</v>
      </c>
      <c r="BL275" s="8" t="s">
        <v>35</v>
      </c>
      <c r="BM275" s="8" t="s">
        <v>35</v>
      </c>
      <c r="BN275" s="8" t="s">
        <v>35</v>
      </c>
      <c r="BO275" s="8" t="s">
        <v>35</v>
      </c>
      <c r="BP275" s="8" t="s">
        <v>35</v>
      </c>
      <c r="BQ275" s="8" t="s">
        <v>31</v>
      </c>
      <c r="BR275" s="8" t="s">
        <v>49</v>
      </c>
      <c r="BS275" s="10">
        <v>801210466668361</v>
      </c>
      <c r="BT275" s="8" t="s">
        <v>61</v>
      </c>
      <c r="BU275" s="8" t="s">
        <v>27</v>
      </c>
      <c r="BV275" s="8" t="s">
        <v>27</v>
      </c>
      <c r="BW275" s="8" t="s">
        <v>27</v>
      </c>
      <c r="BX275" s="8" t="s">
        <v>27</v>
      </c>
      <c r="BY275" s="8" t="s">
        <v>42</v>
      </c>
      <c r="BZ275" s="8" t="s">
        <v>42</v>
      </c>
      <c r="CA275" s="8" t="s">
        <v>42</v>
      </c>
      <c r="CB275" s="8" t="s">
        <v>42</v>
      </c>
      <c r="CC275" s="8" t="s">
        <v>42</v>
      </c>
      <c r="CD275" s="8" t="s">
        <v>42</v>
      </c>
      <c r="CE275" s="8" t="s">
        <v>42</v>
      </c>
      <c r="CF275" s="8" t="s">
        <v>85</v>
      </c>
      <c r="CG275" s="8" t="s">
        <v>39</v>
      </c>
    </row>
    <row r="276" spans="1:85" ht="15.75" customHeight="1" x14ac:dyDescent="0.35">
      <c r="A276" s="8">
        <v>269</v>
      </c>
      <c r="B276" s="8" t="s">
        <v>435</v>
      </c>
      <c r="C276" s="9">
        <v>9.0000000000000002E-6</v>
      </c>
      <c r="D276" s="9">
        <v>9.0000000000000002E-6</v>
      </c>
      <c r="E276" s="9">
        <v>1.8E-5</v>
      </c>
      <c r="F276" s="9">
        <v>2.6999999999999999E-5</v>
      </c>
      <c r="G276" s="9">
        <v>2.6999999999999999E-5</v>
      </c>
      <c r="H276" s="9">
        <v>3.6999999999999998E-5</v>
      </c>
      <c r="I276" s="9">
        <v>1.9999999999999999E-6</v>
      </c>
      <c r="J276" s="9">
        <v>5.0000000000000004E-6</v>
      </c>
      <c r="K276" s="9">
        <v>5.0000000000000004E-6</v>
      </c>
      <c r="L276" s="9">
        <v>6.7000000000000002E-5</v>
      </c>
      <c r="M276" s="9">
        <v>1.2999999999999999E-5</v>
      </c>
      <c r="N276" s="10">
        <v>847900</v>
      </c>
      <c r="O276" s="10">
        <v>847900</v>
      </c>
      <c r="P276" s="10">
        <v>1620800</v>
      </c>
      <c r="Q276" s="10">
        <v>2537000</v>
      </c>
      <c r="R276" s="10">
        <v>2458000</v>
      </c>
      <c r="S276" s="10">
        <v>3405200</v>
      </c>
      <c r="T276" s="10">
        <v>216800</v>
      </c>
      <c r="U276" s="10">
        <v>483200</v>
      </c>
      <c r="V276" s="10">
        <v>483200</v>
      </c>
      <c r="W276" s="10">
        <v>6193600</v>
      </c>
      <c r="X276" s="10">
        <v>1226800</v>
      </c>
      <c r="Y276" s="11">
        <v>0</v>
      </c>
      <c r="Z276" s="12">
        <v>-772900</v>
      </c>
      <c r="AA276" s="12">
        <v>-916200</v>
      </c>
      <c r="AB276" s="13">
        <v>79000</v>
      </c>
      <c r="AC276" s="12">
        <v>-947200</v>
      </c>
      <c r="AD276" s="13">
        <v>3188400</v>
      </c>
      <c r="AE276" s="12">
        <v>-266400</v>
      </c>
      <c r="AF276" s="11">
        <v>0</v>
      </c>
      <c r="AG276" s="12">
        <v>-5710400</v>
      </c>
      <c r="AH276" s="13">
        <v>4966800</v>
      </c>
      <c r="AI276" s="12">
        <v>-4760800</v>
      </c>
      <c r="AJ276" s="10">
        <v>5002610061.6000004</v>
      </c>
      <c r="AK276" s="10">
        <v>5002610061.6000004</v>
      </c>
      <c r="AL276" s="10">
        <v>9805840015.7000008</v>
      </c>
      <c r="AM276" s="10">
        <v>12589862473.65</v>
      </c>
      <c r="AN276" s="10">
        <v>8624646487.5</v>
      </c>
      <c r="AO276" s="10">
        <v>10768944934.799999</v>
      </c>
      <c r="AP276" s="10">
        <v>829579284.79999995</v>
      </c>
      <c r="AQ276" s="10">
        <v>1624760070</v>
      </c>
      <c r="AR276" s="10">
        <v>1932799936.45</v>
      </c>
      <c r="AS276" s="10">
        <v>15638839958.91</v>
      </c>
      <c r="AT276" s="10">
        <v>2838004381.9499998</v>
      </c>
      <c r="AU276" s="14">
        <v>45443</v>
      </c>
      <c r="AV276" s="14">
        <v>45443</v>
      </c>
      <c r="AW276" s="14">
        <v>45291</v>
      </c>
      <c r="AX276" s="14">
        <v>44926</v>
      </c>
      <c r="AY276" s="14">
        <v>44561</v>
      </c>
      <c r="AZ276" s="14">
        <v>44196</v>
      </c>
      <c r="BA276" s="14">
        <v>43830</v>
      </c>
      <c r="BB276" s="14">
        <v>43373</v>
      </c>
      <c r="BC276" s="14">
        <v>43100</v>
      </c>
      <c r="BD276" s="14">
        <v>42582</v>
      </c>
      <c r="BE276" s="14">
        <v>42369</v>
      </c>
      <c r="BF276" s="8" t="s">
        <v>35</v>
      </c>
      <c r="BG276" s="8" t="s">
        <v>35</v>
      </c>
      <c r="BH276" s="8" t="s">
        <v>35</v>
      </c>
      <c r="BI276" s="8" t="s">
        <v>35</v>
      </c>
      <c r="BJ276" s="8" t="s">
        <v>35</v>
      </c>
      <c r="BK276" s="8" t="s">
        <v>35</v>
      </c>
      <c r="BL276" s="8" t="s">
        <v>35</v>
      </c>
      <c r="BM276" s="8" t="s">
        <v>35</v>
      </c>
      <c r="BN276" s="8" t="s">
        <v>35</v>
      </c>
      <c r="BO276" s="8" t="s">
        <v>35</v>
      </c>
      <c r="BP276" s="8" t="s">
        <v>35</v>
      </c>
      <c r="BQ276" s="8" t="s">
        <v>31</v>
      </c>
      <c r="BR276" s="8" t="s">
        <v>49</v>
      </c>
      <c r="BS276" s="10">
        <v>363096165040910</v>
      </c>
      <c r="BT276" s="8" t="s">
        <v>57</v>
      </c>
      <c r="BU276" s="8" t="s">
        <v>27</v>
      </c>
      <c r="BV276" s="8" t="s">
        <v>27</v>
      </c>
      <c r="BW276" s="8" t="s">
        <v>42</v>
      </c>
      <c r="BX276" s="8" t="s">
        <v>42</v>
      </c>
      <c r="BY276" s="8" t="s">
        <v>42</v>
      </c>
      <c r="BZ276" s="8" t="s">
        <v>42</v>
      </c>
      <c r="CA276" s="8" t="s">
        <v>43</v>
      </c>
      <c r="CB276" s="8" t="s">
        <v>42</v>
      </c>
      <c r="CC276" s="8" t="s">
        <v>42</v>
      </c>
      <c r="CD276" s="8" t="s">
        <v>43</v>
      </c>
      <c r="CE276" s="8" t="s">
        <v>43</v>
      </c>
      <c r="CF276" s="8" t="s">
        <v>194</v>
      </c>
      <c r="CG276" s="8" t="s">
        <v>195</v>
      </c>
    </row>
    <row r="277" spans="1:85" ht="15.75" customHeight="1" x14ac:dyDescent="0.35">
      <c r="A277" s="8">
        <v>270</v>
      </c>
      <c r="B277" s="8" t="s">
        <v>436</v>
      </c>
      <c r="C277" s="9">
        <v>9.0000000000000002E-6</v>
      </c>
      <c r="D277" s="9">
        <v>9.0000000000000002E-6</v>
      </c>
      <c r="E277" s="9">
        <v>9.0000000000000002E-6</v>
      </c>
      <c r="F277" s="8"/>
      <c r="G277" s="9">
        <v>9.0000000000000002E-6</v>
      </c>
      <c r="H277" s="9">
        <v>9.0000000000000002E-6</v>
      </c>
      <c r="I277" s="9">
        <v>1.0000000000000001E-5</v>
      </c>
      <c r="J277" s="9">
        <v>1.0000000000000001E-5</v>
      </c>
      <c r="K277" s="9">
        <v>1.0000000000000001E-5</v>
      </c>
      <c r="L277" s="9">
        <v>6.9999999999999999E-6</v>
      </c>
      <c r="M277" s="9">
        <v>6.9999999999999999E-6</v>
      </c>
      <c r="N277" s="10">
        <v>826800</v>
      </c>
      <c r="O277" s="10">
        <v>826800</v>
      </c>
      <c r="P277" s="10">
        <v>826800</v>
      </c>
      <c r="Q277" s="8"/>
      <c r="R277" s="10">
        <v>826800</v>
      </c>
      <c r="S277" s="10">
        <v>826800</v>
      </c>
      <c r="T277" s="10">
        <v>960800</v>
      </c>
      <c r="U277" s="10">
        <v>960800</v>
      </c>
      <c r="V277" s="10">
        <v>960800</v>
      </c>
      <c r="W277" s="10">
        <v>640000</v>
      </c>
      <c r="X277" s="10">
        <v>640000</v>
      </c>
      <c r="Y277" s="11">
        <v>0</v>
      </c>
      <c r="Z277" s="11">
        <v>0</v>
      </c>
      <c r="AA277" s="13">
        <v>826800</v>
      </c>
      <c r="AB277" s="8"/>
      <c r="AC277" s="11">
        <v>0</v>
      </c>
      <c r="AD277" s="12">
        <v>-134000</v>
      </c>
      <c r="AE277" s="11">
        <v>0</v>
      </c>
      <c r="AF277" s="11">
        <v>0</v>
      </c>
      <c r="AG277" s="13">
        <v>320800</v>
      </c>
      <c r="AH277" s="11">
        <v>0</v>
      </c>
      <c r="AI277" s="11">
        <v>0</v>
      </c>
      <c r="AJ277" s="10">
        <v>5725590024.1499996</v>
      </c>
      <c r="AK277" s="10">
        <v>5725590024.1499996</v>
      </c>
      <c r="AL277" s="10">
        <v>5002140013.1000004</v>
      </c>
      <c r="AM277" s="8"/>
      <c r="AN277" s="10">
        <v>2614754990.6999998</v>
      </c>
      <c r="AO277" s="10">
        <v>2614754990.6999998</v>
      </c>
      <c r="AP277" s="10">
        <v>3831190044.8400002</v>
      </c>
      <c r="AQ277" s="10">
        <v>3499134756.25</v>
      </c>
      <c r="AR277" s="10">
        <v>3554960023.4400001</v>
      </c>
      <c r="AS277" s="10">
        <v>1527999949.1199999</v>
      </c>
      <c r="AT277" s="10">
        <v>1391999993.25</v>
      </c>
      <c r="AU277" s="14">
        <v>45565</v>
      </c>
      <c r="AV277" s="14">
        <v>45565</v>
      </c>
      <c r="AW277" s="14">
        <v>45291</v>
      </c>
      <c r="AX277" s="8"/>
      <c r="AY277" s="14">
        <v>44165</v>
      </c>
      <c r="AZ277" s="14">
        <v>44165</v>
      </c>
      <c r="BA277" s="14">
        <v>43677</v>
      </c>
      <c r="BB277" s="14">
        <v>43465</v>
      </c>
      <c r="BC277" s="14">
        <v>43069</v>
      </c>
      <c r="BD277" s="14">
        <v>42429</v>
      </c>
      <c r="BE277" s="14">
        <v>42308</v>
      </c>
      <c r="BF277" s="8" t="s">
        <v>35</v>
      </c>
      <c r="BG277" s="8" t="s">
        <v>35</v>
      </c>
      <c r="BH277" s="8" t="s">
        <v>35</v>
      </c>
      <c r="BI277" s="8"/>
      <c r="BJ277" s="8" t="s">
        <v>35</v>
      </c>
      <c r="BK277" s="8" t="s">
        <v>35</v>
      </c>
      <c r="BL277" s="8" t="s">
        <v>35</v>
      </c>
      <c r="BM277" s="8" t="s">
        <v>35</v>
      </c>
      <c r="BN277" s="8" t="s">
        <v>35</v>
      </c>
      <c r="BO277" s="8" t="s">
        <v>35</v>
      </c>
      <c r="BP277" s="8" t="s">
        <v>35</v>
      </c>
      <c r="BQ277" s="8" t="s">
        <v>31</v>
      </c>
      <c r="BR277" s="8" t="s">
        <v>49</v>
      </c>
      <c r="BS277" s="10">
        <v>42022296413025.602</v>
      </c>
      <c r="BT277" s="8" t="s">
        <v>61</v>
      </c>
      <c r="BU277" s="8" t="s">
        <v>27</v>
      </c>
      <c r="BV277" s="8" t="s">
        <v>27</v>
      </c>
      <c r="BW277" s="8" t="s">
        <v>27</v>
      </c>
      <c r="BX277" s="8"/>
      <c r="BY277" s="8" t="s">
        <v>27</v>
      </c>
      <c r="BZ277" s="8" t="s">
        <v>42</v>
      </c>
      <c r="CA277" s="8" t="s">
        <v>42</v>
      </c>
      <c r="CB277" s="8" t="s">
        <v>42</v>
      </c>
      <c r="CC277" s="8" t="s">
        <v>43</v>
      </c>
      <c r="CD277" s="8" t="s">
        <v>42</v>
      </c>
      <c r="CE277" s="8" t="s">
        <v>27</v>
      </c>
      <c r="CF277" s="8" t="s">
        <v>437</v>
      </c>
      <c r="CG277" s="8" t="s">
        <v>198</v>
      </c>
    </row>
    <row r="278" spans="1:85" ht="15.75" customHeight="1" x14ac:dyDescent="0.35">
      <c r="A278" s="8">
        <v>271</v>
      </c>
      <c r="B278" s="8" t="s">
        <v>438</v>
      </c>
      <c r="C278" s="9">
        <v>9.0000000000000002E-6</v>
      </c>
      <c r="D278" s="9">
        <v>9.0000000000000002E-6</v>
      </c>
      <c r="E278" s="8"/>
      <c r="F278" s="9">
        <v>9.0000000000000002E-6</v>
      </c>
      <c r="G278" s="9">
        <v>9.0000000000000002E-6</v>
      </c>
      <c r="H278" s="9">
        <v>9.0000000000000002E-6</v>
      </c>
      <c r="I278" s="8"/>
      <c r="J278" s="8"/>
      <c r="K278" s="8"/>
      <c r="L278" s="8"/>
      <c r="M278" s="8"/>
      <c r="N278" s="10">
        <v>826800</v>
      </c>
      <c r="O278" s="10">
        <v>826800</v>
      </c>
      <c r="P278" s="8"/>
      <c r="Q278" s="10">
        <v>826800</v>
      </c>
      <c r="R278" s="10">
        <v>826800</v>
      </c>
      <c r="S278" s="10">
        <v>826800</v>
      </c>
      <c r="T278" s="8"/>
      <c r="U278" s="8"/>
      <c r="V278" s="8"/>
      <c r="W278" s="8"/>
      <c r="X278" s="8"/>
      <c r="Y278" s="11">
        <v>0</v>
      </c>
      <c r="Z278" s="13">
        <v>826800</v>
      </c>
      <c r="AA278" s="8"/>
      <c r="AB278" s="11">
        <v>0</v>
      </c>
      <c r="AC278" s="11">
        <v>0</v>
      </c>
      <c r="AD278" s="13">
        <v>826800</v>
      </c>
      <c r="AE278" s="8"/>
      <c r="AF278" s="8"/>
      <c r="AG278" s="8"/>
      <c r="AH278" s="8"/>
      <c r="AI278" s="8"/>
      <c r="AJ278" s="10">
        <v>3945467807.4000001</v>
      </c>
      <c r="AK278" s="10">
        <v>4701073063.1000004</v>
      </c>
      <c r="AL278" s="8"/>
      <c r="AM278" s="10">
        <v>2901081262.5</v>
      </c>
      <c r="AN278" s="10">
        <v>2901081262.5</v>
      </c>
      <c r="AO278" s="10">
        <v>2614754984.4000001</v>
      </c>
      <c r="AP278" s="8"/>
      <c r="AQ278" s="8"/>
      <c r="AR278" s="8"/>
      <c r="AS278" s="8"/>
      <c r="AT278" s="8"/>
      <c r="AU278" s="14">
        <v>45900</v>
      </c>
      <c r="AV278" s="14">
        <v>45657</v>
      </c>
      <c r="AW278" s="8"/>
      <c r="AX278" s="14">
        <v>44561</v>
      </c>
      <c r="AY278" s="14">
        <v>44561</v>
      </c>
      <c r="AZ278" s="14">
        <v>44196</v>
      </c>
      <c r="BA278" s="8"/>
      <c r="BB278" s="8"/>
      <c r="BC278" s="8"/>
      <c r="BD278" s="8"/>
      <c r="BE278" s="8"/>
      <c r="BF278" s="8" t="s">
        <v>35</v>
      </c>
      <c r="BG278" s="8" t="s">
        <v>35</v>
      </c>
      <c r="BH278" s="8"/>
      <c r="BI278" s="8" t="s">
        <v>35</v>
      </c>
      <c r="BJ278" s="8" t="s">
        <v>35</v>
      </c>
      <c r="BK278" s="8" t="s">
        <v>35</v>
      </c>
      <c r="BL278" s="8"/>
      <c r="BM278" s="8"/>
      <c r="BN278" s="8"/>
      <c r="BO278" s="8"/>
      <c r="BP278" s="8"/>
      <c r="BQ278" s="8" t="s">
        <v>31</v>
      </c>
      <c r="BR278" s="8" t="s">
        <v>36</v>
      </c>
      <c r="BS278" s="10">
        <v>83601609145056</v>
      </c>
      <c r="BT278" s="8" t="s">
        <v>61</v>
      </c>
      <c r="BU278" s="8" t="s">
        <v>27</v>
      </c>
      <c r="BV278" s="8" t="s">
        <v>27</v>
      </c>
      <c r="BW278" s="8"/>
      <c r="BX278" s="8" t="s">
        <v>42</v>
      </c>
      <c r="BY278" s="8" t="s">
        <v>27</v>
      </c>
      <c r="BZ278" s="8" t="s">
        <v>42</v>
      </c>
      <c r="CA278" s="8"/>
      <c r="CB278" s="8"/>
      <c r="CC278" s="8"/>
      <c r="CD278" s="8"/>
      <c r="CE278" s="8"/>
      <c r="CF278" s="8" t="s">
        <v>232</v>
      </c>
      <c r="CG278" s="8" t="s">
        <v>232</v>
      </c>
    </row>
    <row r="279" spans="1:85" ht="15.75" customHeight="1" x14ac:dyDescent="0.35">
      <c r="A279" s="8">
        <v>272</v>
      </c>
      <c r="B279" s="8" t="s">
        <v>439</v>
      </c>
      <c r="C279" s="9">
        <v>9.0000000000000002E-6</v>
      </c>
      <c r="D279" s="9">
        <v>9.0000000000000002E-6</v>
      </c>
      <c r="E279" s="9">
        <v>9.0000000000000002E-6</v>
      </c>
      <c r="F279" s="9">
        <v>1.0000000000000001E-5</v>
      </c>
      <c r="G279" s="9">
        <v>9.0000000000000002E-6</v>
      </c>
      <c r="H279" s="9">
        <v>1.0000000000000001E-5</v>
      </c>
      <c r="I279" s="9">
        <v>1.1E-5</v>
      </c>
      <c r="J279" s="9">
        <v>1.2E-5</v>
      </c>
      <c r="K279" s="9">
        <v>3.2899999999999997E-4</v>
      </c>
      <c r="L279" s="9">
        <v>3.9199999999999999E-4</v>
      </c>
      <c r="M279" s="9">
        <v>3.7500000000000001E-4</v>
      </c>
      <c r="N279" s="10">
        <v>826534</v>
      </c>
      <c r="O279" s="10">
        <v>810994</v>
      </c>
      <c r="P279" s="10">
        <v>865434</v>
      </c>
      <c r="Q279" s="10">
        <v>965970</v>
      </c>
      <c r="R279" s="10">
        <v>819144</v>
      </c>
      <c r="S279" s="10">
        <v>943320</v>
      </c>
      <c r="T279" s="10">
        <v>1019006</v>
      </c>
      <c r="U279" s="10">
        <v>1071904</v>
      </c>
      <c r="V279" s="10">
        <v>30430300</v>
      </c>
      <c r="W279" s="10">
        <v>36212108</v>
      </c>
      <c r="X279" s="10">
        <v>34650220</v>
      </c>
      <c r="Y279" s="13">
        <v>15540</v>
      </c>
      <c r="Z279" s="12">
        <v>-54440</v>
      </c>
      <c r="AA279" s="12">
        <v>-100536</v>
      </c>
      <c r="AB279" s="13">
        <v>146826</v>
      </c>
      <c r="AC279" s="12">
        <v>-124176</v>
      </c>
      <c r="AD279" s="12">
        <v>-75686</v>
      </c>
      <c r="AE279" s="12">
        <v>-52898</v>
      </c>
      <c r="AF279" s="12">
        <v>-29358396</v>
      </c>
      <c r="AG279" s="12">
        <v>-5781808</v>
      </c>
      <c r="AH279" s="13">
        <v>1561888</v>
      </c>
      <c r="AI279" s="13">
        <v>33349584</v>
      </c>
      <c r="AJ279" s="10">
        <v>4041204755.4000001</v>
      </c>
      <c r="AK279" s="10">
        <v>4611202207.1999998</v>
      </c>
      <c r="AL279" s="10">
        <v>5235875678.25</v>
      </c>
      <c r="AM279" s="10">
        <v>4793626205.5</v>
      </c>
      <c r="AN279" s="10">
        <v>2874217875</v>
      </c>
      <c r="AO279" s="10">
        <v>2983249526.4000001</v>
      </c>
      <c r="AP279" s="10">
        <v>3899198609.1999998</v>
      </c>
      <c r="AQ279" s="10">
        <v>3903764125</v>
      </c>
      <c r="AR279" s="10">
        <v>121721199993.7</v>
      </c>
      <c r="AS279" s="10">
        <v>104788787534.7</v>
      </c>
      <c r="AT279" s="10">
        <v>80157708077.100006</v>
      </c>
      <c r="AU279" s="14">
        <v>45838</v>
      </c>
      <c r="AV279" s="14">
        <v>45657</v>
      </c>
      <c r="AW279" s="14">
        <v>45291</v>
      </c>
      <c r="AX279" s="14">
        <v>44926</v>
      </c>
      <c r="AY279" s="14">
        <v>44561</v>
      </c>
      <c r="AZ279" s="14">
        <v>44196</v>
      </c>
      <c r="BA279" s="14">
        <v>43830</v>
      </c>
      <c r="BB279" s="14">
        <v>43465</v>
      </c>
      <c r="BC279" s="14">
        <v>43100</v>
      </c>
      <c r="BD279" s="14">
        <v>42735</v>
      </c>
      <c r="BE279" s="14">
        <v>42369</v>
      </c>
      <c r="BF279" s="8" t="s">
        <v>35</v>
      </c>
      <c r="BG279" s="8" t="s">
        <v>35</v>
      </c>
      <c r="BH279" s="8" t="s">
        <v>35</v>
      </c>
      <c r="BI279" s="8" t="s">
        <v>35</v>
      </c>
      <c r="BJ279" s="8" t="s">
        <v>35</v>
      </c>
      <c r="BK279" s="8" t="s">
        <v>35</v>
      </c>
      <c r="BL279" s="8" t="s">
        <v>35</v>
      </c>
      <c r="BM279" s="8" t="s">
        <v>35</v>
      </c>
      <c r="BN279" s="8" t="s">
        <v>35</v>
      </c>
      <c r="BO279" s="8" t="s">
        <v>35</v>
      </c>
      <c r="BP279" s="8" t="s">
        <v>35</v>
      </c>
      <c r="BQ279" s="8" t="s">
        <v>31</v>
      </c>
      <c r="BR279" s="8" t="s">
        <v>36</v>
      </c>
      <c r="BS279" s="10">
        <v>692167008961056</v>
      </c>
      <c r="BT279" s="8" t="s">
        <v>61</v>
      </c>
      <c r="BU279" s="8" t="s">
        <v>27</v>
      </c>
      <c r="BV279" s="8" t="s">
        <v>27</v>
      </c>
      <c r="BW279" s="8" t="s">
        <v>27</v>
      </c>
      <c r="BX279" s="8" t="s">
        <v>27</v>
      </c>
      <c r="BY279" s="8" t="s">
        <v>27</v>
      </c>
      <c r="BZ279" s="8" t="s">
        <v>27</v>
      </c>
      <c r="CA279" s="8" t="s">
        <v>27</v>
      </c>
      <c r="CB279" s="8" t="s">
        <v>27</v>
      </c>
      <c r="CC279" s="8" t="s">
        <v>27</v>
      </c>
      <c r="CD279" s="8" t="s">
        <v>27</v>
      </c>
      <c r="CE279" s="8" t="s">
        <v>27</v>
      </c>
      <c r="CF279" s="8" t="s">
        <v>114</v>
      </c>
      <c r="CG279" s="8" t="s">
        <v>115</v>
      </c>
    </row>
    <row r="280" spans="1:85" ht="15.75" customHeight="1" x14ac:dyDescent="0.35">
      <c r="A280" s="8">
        <v>273</v>
      </c>
      <c r="B280" s="8" t="s">
        <v>440</v>
      </c>
      <c r="C280" s="9">
        <v>9.0000000000000002E-6</v>
      </c>
      <c r="D280" s="9">
        <v>3.1999999999999999E-5</v>
      </c>
      <c r="E280" s="9">
        <v>1.4E-5</v>
      </c>
      <c r="F280" s="9">
        <v>4.1999999999999998E-5</v>
      </c>
      <c r="G280" s="9">
        <v>5.1E-5</v>
      </c>
      <c r="H280" s="9">
        <v>4.1999999999999998E-5</v>
      </c>
      <c r="I280" s="9">
        <v>8.7000000000000001E-5</v>
      </c>
      <c r="J280" s="8"/>
      <c r="K280" s="8"/>
      <c r="L280" s="9">
        <v>0</v>
      </c>
      <c r="M280" s="9">
        <v>0</v>
      </c>
      <c r="N280" s="10">
        <v>824700</v>
      </c>
      <c r="O280" s="10">
        <v>3000100</v>
      </c>
      <c r="P280" s="10">
        <v>1277300</v>
      </c>
      <c r="Q280" s="10">
        <v>3861800</v>
      </c>
      <c r="R280" s="10">
        <v>4711800</v>
      </c>
      <c r="S280" s="10">
        <v>3847800</v>
      </c>
      <c r="T280" s="10">
        <v>8057200</v>
      </c>
      <c r="U280" s="8"/>
      <c r="V280" s="8"/>
      <c r="W280" s="10">
        <v>0</v>
      </c>
      <c r="X280" s="10">
        <v>0</v>
      </c>
      <c r="Y280" s="12">
        <v>-2175400</v>
      </c>
      <c r="Z280" s="13">
        <v>1722800</v>
      </c>
      <c r="AA280" s="12">
        <v>-2584500</v>
      </c>
      <c r="AB280" s="12">
        <v>-850000</v>
      </c>
      <c r="AC280" s="13">
        <v>864000</v>
      </c>
      <c r="AD280" s="12">
        <v>-4209400</v>
      </c>
      <c r="AE280" s="13">
        <v>8057200</v>
      </c>
      <c r="AF280" s="8"/>
      <c r="AG280" s="8"/>
      <c r="AH280" s="11">
        <v>0</v>
      </c>
      <c r="AI280" s="11">
        <v>0</v>
      </c>
      <c r="AJ280" s="10">
        <v>3627591216.1999998</v>
      </c>
      <c r="AK280" s="10">
        <v>17058163135.700001</v>
      </c>
      <c r="AL280" s="10">
        <v>7727664963</v>
      </c>
      <c r="AM280" s="10">
        <v>19164182580.950001</v>
      </c>
      <c r="AN280" s="10">
        <v>13899809933.75</v>
      </c>
      <c r="AO280" s="10">
        <v>12168667508.4</v>
      </c>
      <c r="AP280" s="10">
        <v>30830655882.799999</v>
      </c>
      <c r="AQ280" s="8"/>
      <c r="AR280" s="8"/>
      <c r="AS280" s="10">
        <v>0</v>
      </c>
      <c r="AT280" s="10">
        <v>0</v>
      </c>
      <c r="AU280" s="14">
        <v>45930</v>
      </c>
      <c r="AV280" s="14">
        <v>45657</v>
      </c>
      <c r="AW280" s="14">
        <v>45291</v>
      </c>
      <c r="AX280" s="14">
        <v>44926</v>
      </c>
      <c r="AY280" s="14">
        <v>44377</v>
      </c>
      <c r="AZ280" s="14">
        <v>44196</v>
      </c>
      <c r="BA280" s="14">
        <v>43830</v>
      </c>
      <c r="BB280" s="8"/>
      <c r="BC280" s="8"/>
      <c r="BD280" s="14">
        <v>42277</v>
      </c>
      <c r="BE280" s="14">
        <v>42277</v>
      </c>
      <c r="BF280" s="8" t="s">
        <v>35</v>
      </c>
      <c r="BG280" s="8" t="s">
        <v>35</v>
      </c>
      <c r="BH280" s="8" t="s">
        <v>35</v>
      </c>
      <c r="BI280" s="8" t="s">
        <v>35</v>
      </c>
      <c r="BJ280" s="8" t="s">
        <v>35</v>
      </c>
      <c r="BK280" s="8" t="s">
        <v>35</v>
      </c>
      <c r="BL280" s="8" t="s">
        <v>35</v>
      </c>
      <c r="BM280" s="8"/>
      <c r="BN280" s="8"/>
      <c r="BO280" s="8" t="s">
        <v>35</v>
      </c>
      <c r="BP280" s="8" t="s">
        <v>35</v>
      </c>
      <c r="BQ280" s="8" t="s">
        <v>31</v>
      </c>
      <c r="BR280" s="8" t="s">
        <v>36</v>
      </c>
      <c r="BS280" s="10">
        <v>3338674189474.7998</v>
      </c>
      <c r="BT280" s="8"/>
      <c r="BU280" s="8" t="s">
        <v>27</v>
      </c>
      <c r="BV280" s="8" t="s">
        <v>42</v>
      </c>
      <c r="BW280" s="8" t="s">
        <v>42</v>
      </c>
      <c r="BX280" s="8"/>
      <c r="BY280" s="8" t="s">
        <v>42</v>
      </c>
      <c r="BZ280" s="8" t="s">
        <v>42</v>
      </c>
      <c r="CA280" s="8" t="s">
        <v>42</v>
      </c>
      <c r="CB280" s="8"/>
      <c r="CC280" s="8"/>
      <c r="CD280" s="8" t="s">
        <v>42</v>
      </c>
      <c r="CE280" s="8" t="s">
        <v>27</v>
      </c>
      <c r="CF280" s="8" t="s">
        <v>50</v>
      </c>
      <c r="CG280" s="8" t="s">
        <v>51</v>
      </c>
    </row>
    <row r="281" spans="1:85" ht="15.75" customHeight="1" x14ac:dyDescent="0.35">
      <c r="A281" s="8">
        <v>274</v>
      </c>
      <c r="B281" s="8" t="s">
        <v>441</v>
      </c>
      <c r="C281" s="9">
        <v>9.0000000000000002E-6</v>
      </c>
      <c r="D281" s="9">
        <v>9.0000000000000002E-6</v>
      </c>
      <c r="E281" s="9">
        <v>6.0000000000000002E-6</v>
      </c>
      <c r="F281" s="8"/>
      <c r="G281" s="8"/>
      <c r="H281" s="8"/>
      <c r="I281" s="8"/>
      <c r="J281" s="8"/>
      <c r="K281" s="8"/>
      <c r="L281" s="8"/>
      <c r="M281" s="8"/>
      <c r="N281" s="10">
        <v>812300</v>
      </c>
      <c r="O281" s="10">
        <v>812300</v>
      </c>
      <c r="P281" s="10">
        <v>518000</v>
      </c>
      <c r="Q281" s="8"/>
      <c r="R281" s="8"/>
      <c r="S281" s="8"/>
      <c r="T281" s="8"/>
      <c r="U281" s="8"/>
      <c r="V281" s="8"/>
      <c r="W281" s="8"/>
      <c r="X281" s="8"/>
      <c r="Y281" s="11">
        <v>0</v>
      </c>
      <c r="Z281" s="13">
        <v>294300</v>
      </c>
      <c r="AA281" s="13">
        <v>518000</v>
      </c>
      <c r="AB281" s="8"/>
      <c r="AC281" s="8"/>
      <c r="AD281" s="8"/>
      <c r="AE281" s="8"/>
      <c r="AF281" s="8"/>
      <c r="AG281" s="8"/>
      <c r="AH281" s="8"/>
      <c r="AI281" s="8"/>
      <c r="AJ281" s="10">
        <v>5625177472.0500002</v>
      </c>
      <c r="AK281" s="10">
        <v>5625177472.0500002</v>
      </c>
      <c r="AL281" s="10">
        <v>3133899955.5500002</v>
      </c>
      <c r="AM281" s="8"/>
      <c r="AN281" s="8"/>
      <c r="AO281" s="8"/>
      <c r="AP281" s="8"/>
      <c r="AQ281" s="8"/>
      <c r="AR281" s="8"/>
      <c r="AS281" s="8"/>
      <c r="AT281" s="8"/>
      <c r="AU281" s="14">
        <v>45565</v>
      </c>
      <c r="AV281" s="14">
        <v>45565</v>
      </c>
      <c r="AW281" s="14">
        <v>45291</v>
      </c>
      <c r="AX281" s="8"/>
      <c r="AY281" s="8"/>
      <c r="AZ281" s="8"/>
      <c r="BA281" s="8"/>
      <c r="BB281" s="8"/>
      <c r="BC281" s="8"/>
      <c r="BD281" s="8"/>
      <c r="BE281" s="8"/>
      <c r="BF281" s="8" t="s">
        <v>35</v>
      </c>
      <c r="BG281" s="8" t="s">
        <v>35</v>
      </c>
      <c r="BH281" s="8" t="s">
        <v>35</v>
      </c>
      <c r="BI281" s="8"/>
      <c r="BJ281" s="8"/>
      <c r="BK281" s="8"/>
      <c r="BL281" s="8"/>
      <c r="BM281" s="8"/>
      <c r="BN281" s="8"/>
      <c r="BO281" s="8"/>
      <c r="BP281" s="8"/>
      <c r="BQ281" s="8" t="s">
        <v>31</v>
      </c>
      <c r="BR281" s="8" t="s">
        <v>36</v>
      </c>
      <c r="BS281" s="10">
        <v>3064097835541550</v>
      </c>
      <c r="BT281" s="8" t="s">
        <v>57</v>
      </c>
      <c r="BU281" s="8" t="s">
        <v>27</v>
      </c>
      <c r="BV281" s="8" t="s">
        <v>27</v>
      </c>
      <c r="BW281" s="8" t="s">
        <v>27</v>
      </c>
      <c r="BX281" s="8"/>
      <c r="BY281" s="8"/>
      <c r="BZ281" s="8"/>
      <c r="CA281" s="8"/>
      <c r="CB281" s="8"/>
      <c r="CC281" s="8"/>
      <c r="CD281" s="8"/>
      <c r="CE281" s="8"/>
      <c r="CF281" s="8" t="s">
        <v>171</v>
      </c>
      <c r="CG281" s="8" t="s">
        <v>39</v>
      </c>
    </row>
    <row r="282" spans="1:85" ht="15.75" customHeight="1" x14ac:dyDescent="0.35">
      <c r="A282" s="8">
        <v>275</v>
      </c>
      <c r="B282" s="8" t="s">
        <v>442</v>
      </c>
      <c r="C282" s="9">
        <v>9.0000000000000002E-6</v>
      </c>
      <c r="D282" s="9">
        <v>5.0000000000000004E-6</v>
      </c>
      <c r="E282" s="9">
        <v>6.0000000000000002E-6</v>
      </c>
      <c r="F282" s="8"/>
      <c r="G282" s="8"/>
      <c r="H282" s="8"/>
      <c r="I282" s="8"/>
      <c r="J282" s="8"/>
      <c r="K282" s="8"/>
      <c r="L282" s="8"/>
      <c r="M282" s="8"/>
      <c r="N282" s="10">
        <v>787951</v>
      </c>
      <c r="O282" s="10">
        <v>447331</v>
      </c>
      <c r="P282" s="10">
        <v>585850</v>
      </c>
      <c r="Q282" s="8"/>
      <c r="R282" s="8"/>
      <c r="S282" s="8"/>
      <c r="T282" s="8"/>
      <c r="U282" s="8"/>
      <c r="V282" s="8"/>
      <c r="W282" s="8"/>
      <c r="X282" s="8"/>
      <c r="Y282" s="13">
        <v>340620</v>
      </c>
      <c r="Z282" s="12">
        <v>-138519</v>
      </c>
      <c r="AA282" s="13">
        <v>585850</v>
      </c>
      <c r="AB282" s="8"/>
      <c r="AC282" s="8"/>
      <c r="AD282" s="8"/>
      <c r="AE282" s="8"/>
      <c r="AF282" s="8"/>
      <c r="AG282" s="8"/>
      <c r="AH282" s="8"/>
      <c r="AI282" s="8"/>
      <c r="AJ282" s="10">
        <v>3760081453.8000002</v>
      </c>
      <c r="AK282" s="10">
        <v>2543463596.0999999</v>
      </c>
      <c r="AL282" s="10">
        <v>3544392543.4499998</v>
      </c>
      <c r="AM282" s="8"/>
      <c r="AN282" s="8"/>
      <c r="AO282" s="8"/>
      <c r="AP282" s="8"/>
      <c r="AQ282" s="8"/>
      <c r="AR282" s="8"/>
      <c r="AS282" s="8"/>
      <c r="AT282" s="8"/>
      <c r="AU282" s="14">
        <v>45900</v>
      </c>
      <c r="AV282" s="14">
        <v>45657</v>
      </c>
      <c r="AW282" s="14">
        <v>45291</v>
      </c>
      <c r="AX282" s="8"/>
      <c r="AY282" s="8"/>
      <c r="AZ282" s="8"/>
      <c r="BA282" s="8"/>
      <c r="BB282" s="8"/>
      <c r="BC282" s="8"/>
      <c r="BD282" s="8"/>
      <c r="BE282" s="8"/>
      <c r="BF282" s="8" t="s">
        <v>35</v>
      </c>
      <c r="BG282" s="8" t="s">
        <v>35</v>
      </c>
      <c r="BH282" s="8" t="s">
        <v>35</v>
      </c>
      <c r="BI282" s="8"/>
      <c r="BJ282" s="8"/>
      <c r="BK282" s="8"/>
      <c r="BL282" s="8"/>
      <c r="BM282" s="8"/>
      <c r="BN282" s="8"/>
      <c r="BO282" s="8"/>
      <c r="BP282" s="8"/>
      <c r="BQ282" s="8" t="s">
        <v>31</v>
      </c>
      <c r="BR282" s="8" t="s">
        <v>101</v>
      </c>
      <c r="BS282" s="10">
        <v>2532275483526</v>
      </c>
      <c r="BT282" s="8" t="s">
        <v>101</v>
      </c>
      <c r="BU282" s="8" t="s">
        <v>42</v>
      </c>
      <c r="BV282" s="8" t="s">
        <v>43</v>
      </c>
      <c r="BW282" s="8" t="s">
        <v>43</v>
      </c>
      <c r="BX282" s="8"/>
      <c r="BY282" s="8"/>
      <c r="BZ282" s="8"/>
      <c r="CA282" s="8"/>
      <c r="CB282" s="8"/>
      <c r="CC282" s="8"/>
      <c r="CD282" s="8"/>
      <c r="CE282" s="8"/>
      <c r="CF282" s="8" t="s">
        <v>50</v>
      </c>
      <c r="CG282" s="8" t="s">
        <v>51</v>
      </c>
    </row>
    <row r="283" spans="1:85" ht="15.75" customHeight="1" x14ac:dyDescent="0.35">
      <c r="A283" s="8">
        <v>276</v>
      </c>
      <c r="B283" s="8" t="s">
        <v>443</v>
      </c>
      <c r="C283" s="9">
        <v>7.9999999999999996E-6</v>
      </c>
      <c r="D283" s="9">
        <v>2.1999999999999999E-5</v>
      </c>
      <c r="E283" s="9">
        <v>1.4E-5</v>
      </c>
      <c r="F283" s="9">
        <v>1.9999999999999999E-6</v>
      </c>
      <c r="G283" s="9">
        <v>1.9999999999999999E-6</v>
      </c>
      <c r="H283" s="9">
        <v>9.9999999999999995E-7</v>
      </c>
      <c r="I283" s="8"/>
      <c r="J283" s="9">
        <v>0</v>
      </c>
      <c r="K283" s="9">
        <v>0</v>
      </c>
      <c r="L283" s="9">
        <v>1.5E-5</v>
      </c>
      <c r="M283" s="9">
        <v>1.5999999999999999E-5</v>
      </c>
      <c r="N283" s="10">
        <v>756144</v>
      </c>
      <c r="O283" s="10">
        <v>2065685</v>
      </c>
      <c r="P283" s="10">
        <v>1248878</v>
      </c>
      <c r="Q283" s="10">
        <v>219442</v>
      </c>
      <c r="R283" s="10">
        <v>174200</v>
      </c>
      <c r="S283" s="10">
        <v>109366</v>
      </c>
      <c r="T283" s="8"/>
      <c r="U283" s="10">
        <v>0</v>
      </c>
      <c r="V283" s="10">
        <v>0</v>
      </c>
      <c r="W283" s="10">
        <v>1416476</v>
      </c>
      <c r="X283" s="10">
        <v>1495248</v>
      </c>
      <c r="Y283" s="12">
        <v>-1309541</v>
      </c>
      <c r="Z283" s="13">
        <v>816807</v>
      </c>
      <c r="AA283" s="13">
        <v>1029436</v>
      </c>
      <c r="AB283" s="13">
        <v>45242</v>
      </c>
      <c r="AC283" s="13">
        <v>64834</v>
      </c>
      <c r="AD283" s="13">
        <v>109366</v>
      </c>
      <c r="AE283" s="8"/>
      <c r="AF283" s="11">
        <v>0</v>
      </c>
      <c r="AG283" s="12">
        <v>-1416476</v>
      </c>
      <c r="AH283" s="12">
        <v>-78772</v>
      </c>
      <c r="AI283" s="11">
        <v>0</v>
      </c>
      <c r="AJ283" s="10">
        <v>3697044197.0999999</v>
      </c>
      <c r="AK283" s="10">
        <v>11745205715.200001</v>
      </c>
      <c r="AL283" s="10">
        <v>7087382632.3999996</v>
      </c>
      <c r="AM283" s="10">
        <v>932628508.20000005</v>
      </c>
      <c r="AN283" s="10">
        <v>535664942.10000002</v>
      </c>
      <c r="AO283" s="10">
        <v>345869907.10000002</v>
      </c>
      <c r="AP283" s="8"/>
      <c r="AQ283" s="10">
        <v>0</v>
      </c>
      <c r="AR283" s="10">
        <v>0</v>
      </c>
      <c r="AS283" s="10">
        <v>4098927465.5999999</v>
      </c>
      <c r="AT283" s="10">
        <v>3252164432</v>
      </c>
      <c r="AU283" s="14">
        <v>45838</v>
      </c>
      <c r="AV283" s="14">
        <v>45657</v>
      </c>
      <c r="AW283" s="14">
        <v>45230</v>
      </c>
      <c r="AX283" s="14">
        <v>44712</v>
      </c>
      <c r="AY283" s="14">
        <v>44469</v>
      </c>
      <c r="AZ283" s="14">
        <v>44165</v>
      </c>
      <c r="BA283" s="8"/>
      <c r="BB283" s="14">
        <v>43069</v>
      </c>
      <c r="BC283" s="14">
        <v>43069</v>
      </c>
      <c r="BD283" s="14">
        <v>42735</v>
      </c>
      <c r="BE283" s="14">
        <v>42308</v>
      </c>
      <c r="BF283" s="8" t="s">
        <v>35</v>
      </c>
      <c r="BG283" s="8" t="s">
        <v>35</v>
      </c>
      <c r="BH283" s="8" t="s">
        <v>35</v>
      </c>
      <c r="BI283" s="8" t="s">
        <v>35</v>
      </c>
      <c r="BJ283" s="8" t="s">
        <v>35</v>
      </c>
      <c r="BK283" s="8" t="s">
        <v>35</v>
      </c>
      <c r="BL283" s="8"/>
      <c r="BM283" s="8" t="s">
        <v>35</v>
      </c>
      <c r="BN283" s="8" t="s">
        <v>35</v>
      </c>
      <c r="BO283" s="8" t="s">
        <v>35</v>
      </c>
      <c r="BP283" s="8" t="s">
        <v>35</v>
      </c>
      <c r="BQ283" s="8" t="s">
        <v>31</v>
      </c>
      <c r="BR283" s="8" t="s">
        <v>36</v>
      </c>
      <c r="BS283" s="10">
        <v>167274353894939</v>
      </c>
      <c r="BT283" s="8"/>
      <c r="BU283" s="8" t="s">
        <v>27</v>
      </c>
      <c r="BV283" s="8" t="s">
        <v>27</v>
      </c>
      <c r="BW283" s="8" t="s">
        <v>27</v>
      </c>
      <c r="BX283" s="8" t="s">
        <v>27</v>
      </c>
      <c r="BY283" s="8" t="s">
        <v>27</v>
      </c>
      <c r="BZ283" s="8" t="s">
        <v>27</v>
      </c>
      <c r="CA283" s="8"/>
      <c r="CB283" s="8" t="s">
        <v>27</v>
      </c>
      <c r="CC283" s="8" t="s">
        <v>27</v>
      </c>
      <c r="CD283" s="8"/>
      <c r="CE283" s="8"/>
      <c r="CF283" s="8" t="s">
        <v>131</v>
      </c>
      <c r="CG283" s="8" t="s">
        <v>132</v>
      </c>
    </row>
    <row r="284" spans="1:85" ht="15.75" customHeight="1" x14ac:dyDescent="0.35">
      <c r="A284" s="8">
        <v>277</v>
      </c>
      <c r="B284" s="8" t="s">
        <v>444</v>
      </c>
      <c r="C284" s="9">
        <v>7.9999999999999996E-6</v>
      </c>
      <c r="D284" s="9">
        <v>3.5100000000000002E-4</v>
      </c>
      <c r="E284" s="9">
        <v>3.6699999999999998E-4</v>
      </c>
      <c r="F284" s="9">
        <v>6.29E-4</v>
      </c>
      <c r="G284" s="9">
        <v>2.3599999999999999E-4</v>
      </c>
      <c r="H284" s="9">
        <v>0</v>
      </c>
      <c r="I284" s="9">
        <v>0</v>
      </c>
      <c r="J284" s="9">
        <v>0</v>
      </c>
      <c r="K284" s="9">
        <v>0</v>
      </c>
      <c r="L284" s="9">
        <v>6.9999999999999994E-5</v>
      </c>
      <c r="M284" s="9">
        <v>0</v>
      </c>
      <c r="N284" s="10">
        <v>736800</v>
      </c>
      <c r="O284" s="10">
        <v>32399100</v>
      </c>
      <c r="P284" s="10">
        <v>33926500</v>
      </c>
      <c r="Q284" s="10">
        <v>58139200</v>
      </c>
      <c r="R284" s="10">
        <v>21790400</v>
      </c>
      <c r="S284" s="10">
        <v>0</v>
      </c>
      <c r="T284" s="10">
        <v>0</v>
      </c>
      <c r="U284" s="10">
        <v>0</v>
      </c>
      <c r="V284" s="10">
        <v>0</v>
      </c>
      <c r="W284" s="10">
        <v>6505200</v>
      </c>
      <c r="X284" s="10">
        <v>0</v>
      </c>
      <c r="Y284" s="12">
        <v>-31662300</v>
      </c>
      <c r="Z284" s="12">
        <v>-1527400</v>
      </c>
      <c r="AA284" s="12">
        <v>-24212700</v>
      </c>
      <c r="AB284" s="13">
        <v>36348800</v>
      </c>
      <c r="AC284" s="13">
        <v>21790400</v>
      </c>
      <c r="AD284" s="11">
        <v>0</v>
      </c>
      <c r="AE284" s="11">
        <v>0</v>
      </c>
      <c r="AF284" s="11">
        <v>0</v>
      </c>
      <c r="AG284" s="12">
        <v>-6505200</v>
      </c>
      <c r="AH284" s="13">
        <v>6505200</v>
      </c>
      <c r="AI284" s="12">
        <v>-2100000</v>
      </c>
      <c r="AJ284" s="10">
        <v>3515990201.8499999</v>
      </c>
      <c r="AK284" s="10">
        <v>184216903628.20001</v>
      </c>
      <c r="AL284" s="10">
        <v>205255324810.95001</v>
      </c>
      <c r="AM284" s="10">
        <v>288515780228.5</v>
      </c>
      <c r="AN284" s="10">
        <v>76458297622.5</v>
      </c>
      <c r="AO284" s="10">
        <v>0</v>
      </c>
      <c r="AP284" s="10">
        <v>0</v>
      </c>
      <c r="AQ284" s="10">
        <v>0</v>
      </c>
      <c r="AR284" s="10">
        <v>0</v>
      </c>
      <c r="AS284" s="10">
        <v>18824422522.799999</v>
      </c>
      <c r="AT284" s="10">
        <v>0</v>
      </c>
      <c r="AU284" s="14">
        <v>45900</v>
      </c>
      <c r="AV284" s="14">
        <v>45657</v>
      </c>
      <c r="AW284" s="14">
        <v>45291</v>
      </c>
      <c r="AX284" s="14">
        <v>44926</v>
      </c>
      <c r="AY284" s="14">
        <v>44561</v>
      </c>
      <c r="AZ284" s="14">
        <v>44165</v>
      </c>
      <c r="BA284" s="14">
        <v>43830</v>
      </c>
      <c r="BB284" s="14">
        <v>43100</v>
      </c>
      <c r="BC284" s="14">
        <v>43100</v>
      </c>
      <c r="BD284" s="14">
        <v>42735</v>
      </c>
      <c r="BE284" s="14">
        <v>42369</v>
      </c>
      <c r="BF284" s="8" t="s">
        <v>35</v>
      </c>
      <c r="BG284" s="8" t="s">
        <v>35</v>
      </c>
      <c r="BH284" s="8" t="s">
        <v>35</v>
      </c>
      <c r="BI284" s="8" t="s">
        <v>35</v>
      </c>
      <c r="BJ284" s="8" t="s">
        <v>35</v>
      </c>
      <c r="BK284" s="8" t="s">
        <v>35</v>
      </c>
      <c r="BL284" s="8" t="s">
        <v>35</v>
      </c>
      <c r="BM284" s="8" t="s">
        <v>35</v>
      </c>
      <c r="BN284" s="8" t="s">
        <v>35</v>
      </c>
      <c r="BO284" s="8" t="s">
        <v>35</v>
      </c>
      <c r="BP284" s="8" t="s">
        <v>35</v>
      </c>
      <c r="BQ284" s="8" t="s">
        <v>31</v>
      </c>
      <c r="BR284" s="8" t="s">
        <v>36</v>
      </c>
      <c r="BS284" s="10">
        <v>1132917301303060</v>
      </c>
      <c r="BT284" s="8" t="s">
        <v>57</v>
      </c>
      <c r="BU284" s="8" t="s">
        <v>27</v>
      </c>
      <c r="BV284" s="8" t="s">
        <v>27</v>
      </c>
      <c r="BW284" s="8" t="s">
        <v>27</v>
      </c>
      <c r="BX284" s="8" t="s">
        <v>27</v>
      </c>
      <c r="BY284" s="8" t="s">
        <v>27</v>
      </c>
      <c r="BZ284" s="8" t="s">
        <v>27</v>
      </c>
      <c r="CA284" s="8" t="s">
        <v>27</v>
      </c>
      <c r="CB284" s="8" t="s">
        <v>27</v>
      </c>
      <c r="CC284" s="8" t="s">
        <v>42</v>
      </c>
      <c r="CD284" s="8" t="s">
        <v>42</v>
      </c>
      <c r="CE284" s="8" t="s">
        <v>42</v>
      </c>
      <c r="CF284" s="8" t="s">
        <v>82</v>
      </c>
      <c r="CG284" s="8" t="s">
        <v>39</v>
      </c>
    </row>
    <row r="285" spans="1:85" ht="15.75" customHeight="1" x14ac:dyDescent="0.35">
      <c r="A285" s="8">
        <v>278</v>
      </c>
      <c r="B285" s="8" t="s">
        <v>445</v>
      </c>
      <c r="C285" s="9">
        <v>7.9999999999999996E-6</v>
      </c>
      <c r="D285" s="9">
        <v>0</v>
      </c>
      <c r="E285" s="9">
        <v>1.9999999999999999E-6</v>
      </c>
      <c r="F285" s="9">
        <v>3.0000000000000001E-6</v>
      </c>
      <c r="G285" s="9">
        <v>2.4000000000000001E-5</v>
      </c>
      <c r="H285" s="8"/>
      <c r="I285" s="8"/>
      <c r="J285" s="8"/>
      <c r="K285" s="8"/>
      <c r="L285" s="8"/>
      <c r="M285" s="8"/>
      <c r="N285" s="10">
        <v>736500</v>
      </c>
      <c r="O285" s="10">
        <v>0</v>
      </c>
      <c r="P285" s="10">
        <v>140000</v>
      </c>
      <c r="Q285" s="10">
        <v>240000</v>
      </c>
      <c r="R285" s="10">
        <v>2240000</v>
      </c>
      <c r="S285" s="8"/>
      <c r="T285" s="8"/>
      <c r="U285" s="8"/>
      <c r="V285" s="8"/>
      <c r="W285" s="8"/>
      <c r="X285" s="8"/>
      <c r="Y285" s="13">
        <v>736500</v>
      </c>
      <c r="Z285" s="12">
        <v>-140000</v>
      </c>
      <c r="AA285" s="12">
        <v>-100000</v>
      </c>
      <c r="AB285" s="12">
        <v>-2000000</v>
      </c>
      <c r="AC285" s="13">
        <v>2240000</v>
      </c>
      <c r="AD285" s="8"/>
      <c r="AE285" s="8"/>
      <c r="AF285" s="8"/>
      <c r="AG285" s="8"/>
      <c r="AH285" s="8"/>
      <c r="AI285" s="8"/>
      <c r="AJ285" s="10">
        <v>3414681884.25</v>
      </c>
      <c r="AK285" s="10">
        <v>0</v>
      </c>
      <c r="AL285" s="10">
        <v>839966133</v>
      </c>
      <c r="AM285" s="10">
        <v>1130999934.75</v>
      </c>
      <c r="AN285" s="10">
        <v>6888000013.1999998</v>
      </c>
      <c r="AO285" s="8"/>
      <c r="AP285" s="8"/>
      <c r="AQ285" s="8"/>
      <c r="AR285" s="8"/>
      <c r="AS285" s="8"/>
      <c r="AT285" s="8"/>
      <c r="AU285" s="14">
        <v>45716</v>
      </c>
      <c r="AV285" s="14">
        <v>45382</v>
      </c>
      <c r="AW285" s="14">
        <v>45199</v>
      </c>
      <c r="AX285" s="14">
        <v>44834</v>
      </c>
      <c r="AY285" s="14">
        <v>44469</v>
      </c>
      <c r="AZ285" s="8"/>
      <c r="BA285" s="8"/>
      <c r="BB285" s="8"/>
      <c r="BC285" s="8"/>
      <c r="BD285" s="8"/>
      <c r="BE285" s="8"/>
      <c r="BF285" s="8" t="s">
        <v>35</v>
      </c>
      <c r="BG285" s="8" t="s">
        <v>35</v>
      </c>
      <c r="BH285" s="8" t="s">
        <v>35</v>
      </c>
      <c r="BI285" s="8" t="s">
        <v>35</v>
      </c>
      <c r="BJ285" s="8" t="s">
        <v>35</v>
      </c>
      <c r="BK285" s="8"/>
      <c r="BL285" s="8"/>
      <c r="BM285" s="8"/>
      <c r="BN285" s="8"/>
      <c r="BO285" s="8"/>
      <c r="BP285" s="8"/>
      <c r="BQ285" s="8" t="s">
        <v>31</v>
      </c>
      <c r="BR285" s="8" t="s">
        <v>36</v>
      </c>
      <c r="BS285" s="10">
        <v>7452628691917.2002</v>
      </c>
      <c r="BT285" s="8"/>
      <c r="BU285" s="8" t="s">
        <v>27</v>
      </c>
      <c r="BV285" s="8" t="s">
        <v>42</v>
      </c>
      <c r="BW285" s="8" t="s">
        <v>27</v>
      </c>
      <c r="BX285" s="8" t="s">
        <v>27</v>
      </c>
      <c r="BY285" s="8" t="s">
        <v>27</v>
      </c>
      <c r="BZ285" s="8"/>
      <c r="CA285" s="8"/>
      <c r="CB285" s="8"/>
      <c r="CC285" s="8"/>
      <c r="CD285" s="8"/>
      <c r="CE285" s="8"/>
      <c r="CF285" s="8" t="s">
        <v>58</v>
      </c>
      <c r="CG285" s="8" t="s">
        <v>59</v>
      </c>
    </row>
    <row r="286" spans="1:85" ht="15.75" customHeight="1" x14ac:dyDescent="0.35">
      <c r="A286" s="8">
        <v>279</v>
      </c>
      <c r="B286" s="8" t="s">
        <v>446</v>
      </c>
      <c r="C286" s="9">
        <v>6.9999999999999999E-6</v>
      </c>
      <c r="D286" s="9">
        <v>6.9999999999999999E-6</v>
      </c>
      <c r="E286" s="9">
        <v>5.0000000000000004E-6</v>
      </c>
      <c r="F286" s="9">
        <v>3.8000000000000002E-5</v>
      </c>
      <c r="G286" s="9">
        <v>1.9000000000000001E-5</v>
      </c>
      <c r="H286" s="9">
        <v>1.9000000000000001E-5</v>
      </c>
      <c r="I286" s="9">
        <v>6.0000000000000002E-6</v>
      </c>
      <c r="J286" s="8"/>
      <c r="K286" s="8"/>
      <c r="L286" s="8"/>
      <c r="M286" s="8"/>
      <c r="N286" s="10">
        <v>690600</v>
      </c>
      <c r="O286" s="10">
        <v>655200</v>
      </c>
      <c r="P286" s="10">
        <v>466000</v>
      </c>
      <c r="Q286" s="10">
        <v>3514000</v>
      </c>
      <c r="R286" s="10">
        <v>1796600</v>
      </c>
      <c r="S286" s="10">
        <v>1796600</v>
      </c>
      <c r="T286" s="10">
        <v>550000</v>
      </c>
      <c r="U286" s="8"/>
      <c r="V286" s="8"/>
      <c r="W286" s="8"/>
      <c r="X286" s="8"/>
      <c r="Y286" s="13">
        <v>35400</v>
      </c>
      <c r="Z286" s="13">
        <v>189200</v>
      </c>
      <c r="AA286" s="12">
        <v>-3048000</v>
      </c>
      <c r="AB286" s="13">
        <v>1717400</v>
      </c>
      <c r="AC286" s="11">
        <v>0</v>
      </c>
      <c r="AD286" s="13">
        <v>1246600</v>
      </c>
      <c r="AE286" s="13">
        <v>550000</v>
      </c>
      <c r="AF286" s="8"/>
      <c r="AG286" s="8"/>
      <c r="AH286" s="8"/>
      <c r="AI286" s="8"/>
      <c r="AJ286" s="10">
        <v>3586786765.0999999</v>
      </c>
      <c r="AK286" s="10">
        <v>3725378681.0999999</v>
      </c>
      <c r="AL286" s="10">
        <v>2819300051.5500002</v>
      </c>
      <c r="AM286" s="10">
        <v>17438225025.099998</v>
      </c>
      <c r="AN286" s="10">
        <v>4446584961</v>
      </c>
      <c r="AO286" s="10">
        <v>4446584961</v>
      </c>
      <c r="AP286" s="10">
        <v>2104559996.8</v>
      </c>
      <c r="AQ286" s="8"/>
      <c r="AR286" s="8"/>
      <c r="AS286" s="8"/>
      <c r="AT286" s="8"/>
      <c r="AU286" s="14">
        <v>45747</v>
      </c>
      <c r="AV286" s="14">
        <v>45657</v>
      </c>
      <c r="AW286" s="14">
        <v>45291</v>
      </c>
      <c r="AX286" s="14">
        <v>44926</v>
      </c>
      <c r="AY286" s="14">
        <v>44012</v>
      </c>
      <c r="AZ286" s="14">
        <v>44012</v>
      </c>
      <c r="BA286" s="14">
        <v>43830</v>
      </c>
      <c r="BB286" s="8"/>
      <c r="BC286" s="8"/>
      <c r="BD286" s="8"/>
      <c r="BE286" s="8"/>
      <c r="BF286" s="8" t="s">
        <v>35</v>
      </c>
      <c r="BG286" s="8" t="s">
        <v>35</v>
      </c>
      <c r="BH286" s="8" t="s">
        <v>35</v>
      </c>
      <c r="BI286" s="8" t="s">
        <v>35</v>
      </c>
      <c r="BJ286" s="8" t="s">
        <v>35</v>
      </c>
      <c r="BK286" s="8" t="s">
        <v>35</v>
      </c>
      <c r="BL286" s="8" t="s">
        <v>35</v>
      </c>
      <c r="BM286" s="8"/>
      <c r="BN286" s="8"/>
      <c r="BO286" s="8"/>
      <c r="BP286" s="8"/>
      <c r="BQ286" s="8" t="s">
        <v>31</v>
      </c>
      <c r="BR286" s="8" t="s">
        <v>36</v>
      </c>
      <c r="BS286" s="10">
        <v>17561565784209.6</v>
      </c>
      <c r="BT286" s="8"/>
      <c r="BU286" s="8" t="s">
        <v>27</v>
      </c>
      <c r="BV286" s="8" t="s">
        <v>27</v>
      </c>
      <c r="BW286" s="8" t="s">
        <v>42</v>
      </c>
      <c r="BX286" s="8" t="s">
        <v>42</v>
      </c>
      <c r="BY286" s="8" t="s">
        <v>42</v>
      </c>
      <c r="BZ286" s="8" t="s">
        <v>42</v>
      </c>
      <c r="CA286" s="8"/>
      <c r="CB286" s="8"/>
      <c r="CC286" s="8"/>
      <c r="CD286" s="8"/>
      <c r="CE286" s="8"/>
      <c r="CF286" s="8" t="s">
        <v>38</v>
      </c>
      <c r="CG286" s="8" t="s">
        <v>39</v>
      </c>
    </row>
    <row r="287" spans="1:85" ht="15.75" customHeight="1" x14ac:dyDescent="0.35">
      <c r="A287" s="8">
        <v>280</v>
      </c>
      <c r="B287" s="8" t="s">
        <v>447</v>
      </c>
      <c r="C287" s="9">
        <v>6.9999999999999999E-6</v>
      </c>
      <c r="D287" s="9">
        <v>1.0000000000000001E-5</v>
      </c>
      <c r="E287" s="9">
        <v>6.9999999999999999E-6</v>
      </c>
      <c r="F287" s="9">
        <v>3.0000000000000001E-6</v>
      </c>
      <c r="G287" s="9">
        <v>3.9999999999999998E-6</v>
      </c>
      <c r="H287" s="9">
        <v>0</v>
      </c>
      <c r="I287" s="9">
        <v>0</v>
      </c>
      <c r="J287" s="9">
        <v>0</v>
      </c>
      <c r="K287" s="9">
        <v>9.9999999999999995E-7</v>
      </c>
      <c r="L287" s="9">
        <v>9.9999999999999995E-7</v>
      </c>
      <c r="M287" s="9">
        <v>0</v>
      </c>
      <c r="N287" s="10">
        <v>670700</v>
      </c>
      <c r="O287" s="10">
        <v>878500</v>
      </c>
      <c r="P287" s="10">
        <v>665700</v>
      </c>
      <c r="Q287" s="10">
        <v>243600</v>
      </c>
      <c r="R287" s="10">
        <v>324000</v>
      </c>
      <c r="S287" s="10">
        <v>36000</v>
      </c>
      <c r="T287" s="10">
        <v>36000</v>
      </c>
      <c r="U287" s="10">
        <v>0</v>
      </c>
      <c r="V287" s="10">
        <v>50888</v>
      </c>
      <c r="W287" s="10">
        <v>50888</v>
      </c>
      <c r="X287" s="10">
        <v>34488</v>
      </c>
      <c r="Y287" s="12">
        <v>-207800</v>
      </c>
      <c r="Z287" s="13">
        <v>212800</v>
      </c>
      <c r="AA287" s="13">
        <v>422100</v>
      </c>
      <c r="AB287" s="12">
        <v>-80400</v>
      </c>
      <c r="AC287" s="13">
        <v>288000</v>
      </c>
      <c r="AD287" s="11">
        <v>0</v>
      </c>
      <c r="AE287" s="13">
        <v>36000</v>
      </c>
      <c r="AF287" s="12">
        <v>-50888</v>
      </c>
      <c r="AG287" s="11">
        <v>0</v>
      </c>
      <c r="AH287" s="13">
        <v>16400</v>
      </c>
      <c r="AI287" s="13">
        <v>56</v>
      </c>
      <c r="AJ287" s="10">
        <v>2950194616.5999999</v>
      </c>
      <c r="AK287" s="10">
        <v>4995032214.3000002</v>
      </c>
      <c r="AL287" s="10">
        <v>4027485026.3000002</v>
      </c>
      <c r="AM287" s="10">
        <v>1208865064</v>
      </c>
      <c r="AN287" s="10">
        <v>1136853315</v>
      </c>
      <c r="AO287" s="10">
        <v>113849938.8</v>
      </c>
      <c r="AP287" s="10">
        <v>137753031.59999999</v>
      </c>
      <c r="AQ287" s="10">
        <v>0</v>
      </c>
      <c r="AR287" s="10">
        <v>203552049.19999999</v>
      </c>
      <c r="AS287" s="10">
        <v>147257138.09999999</v>
      </c>
      <c r="AT287" s="10">
        <v>79782479.549999997</v>
      </c>
      <c r="AU287" s="14">
        <v>45930</v>
      </c>
      <c r="AV287" s="14">
        <v>45657</v>
      </c>
      <c r="AW287" s="14">
        <v>45291</v>
      </c>
      <c r="AX287" s="14">
        <v>44926</v>
      </c>
      <c r="AY287" s="14">
        <v>44561</v>
      </c>
      <c r="AZ287" s="14">
        <v>44196</v>
      </c>
      <c r="BA287" s="14">
        <v>43830</v>
      </c>
      <c r="BB287" s="14">
        <v>43343</v>
      </c>
      <c r="BC287" s="14">
        <v>43100</v>
      </c>
      <c r="BD287" s="14">
        <v>42735</v>
      </c>
      <c r="BE287" s="14">
        <v>42369</v>
      </c>
      <c r="BF287" s="8" t="s">
        <v>35</v>
      </c>
      <c r="BG287" s="8" t="s">
        <v>35</v>
      </c>
      <c r="BH287" s="8" t="s">
        <v>35</v>
      </c>
      <c r="BI287" s="8" t="s">
        <v>35</v>
      </c>
      <c r="BJ287" s="8" t="s">
        <v>35</v>
      </c>
      <c r="BK287" s="8" t="s">
        <v>35</v>
      </c>
      <c r="BL287" s="8" t="s">
        <v>35</v>
      </c>
      <c r="BM287" s="8" t="s">
        <v>35</v>
      </c>
      <c r="BN287" s="8" t="s">
        <v>35</v>
      </c>
      <c r="BO287" s="8" t="s">
        <v>35</v>
      </c>
      <c r="BP287" s="8" t="s">
        <v>35</v>
      </c>
      <c r="BQ287" s="8" t="s">
        <v>31</v>
      </c>
      <c r="BR287" s="8" t="s">
        <v>36</v>
      </c>
      <c r="BS287" s="10">
        <v>144695627035452</v>
      </c>
      <c r="BT287" s="8" t="s">
        <v>46</v>
      </c>
      <c r="BU287" s="8" t="s">
        <v>42</v>
      </c>
      <c r="BV287" s="8" t="s">
        <v>42</v>
      </c>
      <c r="BW287" s="8" t="s">
        <v>27</v>
      </c>
      <c r="BX287" s="8" t="s">
        <v>42</v>
      </c>
      <c r="BY287" s="8" t="s">
        <v>42</v>
      </c>
      <c r="BZ287" s="8" t="s">
        <v>42</v>
      </c>
      <c r="CA287" s="8" t="s">
        <v>27</v>
      </c>
      <c r="CB287" s="8" t="s">
        <v>42</v>
      </c>
      <c r="CC287" s="8" t="s">
        <v>42</v>
      </c>
      <c r="CD287" s="8" t="s">
        <v>42</v>
      </c>
      <c r="CE287" s="8" t="s">
        <v>43</v>
      </c>
      <c r="CF287" s="8" t="s">
        <v>82</v>
      </c>
      <c r="CG287" s="8" t="s">
        <v>39</v>
      </c>
    </row>
    <row r="288" spans="1:85" ht="15.75" customHeight="1" x14ac:dyDescent="0.35">
      <c r="A288" s="8">
        <v>281</v>
      </c>
      <c r="B288" s="8" t="s">
        <v>448</v>
      </c>
      <c r="C288" s="9">
        <v>6.9999999999999999E-6</v>
      </c>
      <c r="D288" s="9">
        <v>7.9999999999999996E-6</v>
      </c>
      <c r="E288" s="9">
        <v>6.9999999999999994E-5</v>
      </c>
      <c r="F288" s="9">
        <v>5.1E-5</v>
      </c>
      <c r="G288" s="9">
        <v>3.4E-5</v>
      </c>
      <c r="H288" s="9">
        <v>1.0000000000000001E-5</v>
      </c>
      <c r="I288" s="9">
        <v>1.0000000000000001E-5</v>
      </c>
      <c r="J288" s="8"/>
      <c r="K288" s="8"/>
      <c r="L288" s="8"/>
      <c r="M288" s="8"/>
      <c r="N288" s="10">
        <v>644673</v>
      </c>
      <c r="O288" s="10">
        <v>697325</v>
      </c>
      <c r="P288" s="10">
        <v>6463468</v>
      </c>
      <c r="Q288" s="10">
        <v>4734908</v>
      </c>
      <c r="R288" s="10">
        <v>3174684</v>
      </c>
      <c r="S288" s="10">
        <v>937720</v>
      </c>
      <c r="T288" s="10">
        <v>896440</v>
      </c>
      <c r="U288" s="8"/>
      <c r="V288" s="8"/>
      <c r="W288" s="8"/>
      <c r="X288" s="8"/>
      <c r="Y288" s="12">
        <v>-52652</v>
      </c>
      <c r="Z288" s="12">
        <v>-5766143</v>
      </c>
      <c r="AA288" s="13">
        <v>1728560</v>
      </c>
      <c r="AB288" s="13">
        <v>1560224</v>
      </c>
      <c r="AC288" s="13">
        <v>2236964</v>
      </c>
      <c r="AD288" s="13">
        <v>41280</v>
      </c>
      <c r="AE288" s="13">
        <v>896440</v>
      </c>
      <c r="AF288" s="8"/>
      <c r="AG288" s="8"/>
      <c r="AH288" s="8"/>
      <c r="AI288" s="8"/>
      <c r="AJ288" s="10">
        <v>2835710095.4000001</v>
      </c>
      <c r="AK288" s="10">
        <v>3964895708.3000002</v>
      </c>
      <c r="AL288" s="10">
        <v>39103981382.699997</v>
      </c>
      <c r="AM288" s="10">
        <v>23496980967.900002</v>
      </c>
      <c r="AN288" s="10">
        <v>11139351967.5</v>
      </c>
      <c r="AO288" s="10">
        <v>2965539470.4000001</v>
      </c>
      <c r="AP288" s="10">
        <v>3430203125.1999998</v>
      </c>
      <c r="AQ288" s="8"/>
      <c r="AR288" s="8"/>
      <c r="AS288" s="8"/>
      <c r="AT288" s="8"/>
      <c r="AU288" s="14">
        <v>45930</v>
      </c>
      <c r="AV288" s="14">
        <v>45657</v>
      </c>
      <c r="AW288" s="14">
        <v>45291</v>
      </c>
      <c r="AX288" s="14">
        <v>44926</v>
      </c>
      <c r="AY288" s="14">
        <v>44561</v>
      </c>
      <c r="AZ288" s="14">
        <v>44196</v>
      </c>
      <c r="BA288" s="14">
        <v>43830</v>
      </c>
      <c r="BB288" s="8"/>
      <c r="BC288" s="8"/>
      <c r="BD288" s="8"/>
      <c r="BE288" s="8"/>
      <c r="BF288" s="8" t="s">
        <v>35</v>
      </c>
      <c r="BG288" s="8" t="s">
        <v>35</v>
      </c>
      <c r="BH288" s="8" t="s">
        <v>35</v>
      </c>
      <c r="BI288" s="8" t="s">
        <v>35</v>
      </c>
      <c r="BJ288" s="8" t="s">
        <v>35</v>
      </c>
      <c r="BK288" s="8" t="s">
        <v>35</v>
      </c>
      <c r="BL288" s="8" t="s">
        <v>35</v>
      </c>
      <c r="BM288" s="8"/>
      <c r="BN288" s="8"/>
      <c r="BO288" s="8"/>
      <c r="BP288" s="8"/>
      <c r="BQ288" s="8" t="s">
        <v>31</v>
      </c>
      <c r="BR288" s="8" t="s">
        <v>36</v>
      </c>
      <c r="BS288" s="10">
        <v>330682254778354</v>
      </c>
      <c r="BT288" s="8" t="s">
        <v>46</v>
      </c>
      <c r="BU288" s="8" t="s">
        <v>27</v>
      </c>
      <c r="BV288" s="8" t="s">
        <v>27</v>
      </c>
      <c r="BW288" s="8" t="s">
        <v>27</v>
      </c>
      <c r="BX288" s="8" t="s">
        <v>27</v>
      </c>
      <c r="BY288" s="8" t="s">
        <v>27</v>
      </c>
      <c r="BZ288" s="8" t="s">
        <v>27</v>
      </c>
      <c r="CA288" s="8" t="s">
        <v>43</v>
      </c>
      <c r="CB288" s="8"/>
      <c r="CC288" s="8"/>
      <c r="CD288" s="8"/>
      <c r="CE288" s="8"/>
      <c r="CF288" s="8" t="s">
        <v>82</v>
      </c>
      <c r="CG288" s="8" t="s">
        <v>39</v>
      </c>
    </row>
    <row r="289" spans="1:85" ht="15.75" customHeight="1" x14ac:dyDescent="0.35">
      <c r="A289" s="8">
        <v>282</v>
      </c>
      <c r="B289" s="8" t="s">
        <v>449</v>
      </c>
      <c r="C289" s="9">
        <v>6.9999999999999999E-6</v>
      </c>
      <c r="D289" s="8"/>
      <c r="E289" s="9">
        <v>0</v>
      </c>
      <c r="F289" s="9">
        <v>0</v>
      </c>
      <c r="G289" s="8"/>
      <c r="H289" s="8"/>
      <c r="I289" s="8"/>
      <c r="J289" s="8"/>
      <c r="K289" s="8"/>
      <c r="L289" s="9">
        <v>5.0000000000000004E-6</v>
      </c>
      <c r="M289" s="9">
        <v>5.0000000000000004E-6</v>
      </c>
      <c r="N289" s="10">
        <v>606156</v>
      </c>
      <c r="O289" s="8"/>
      <c r="P289" s="10">
        <v>0</v>
      </c>
      <c r="Q289" s="10">
        <v>0</v>
      </c>
      <c r="R289" s="8"/>
      <c r="S289" s="8"/>
      <c r="T289" s="8"/>
      <c r="U289" s="8"/>
      <c r="V289" s="8"/>
      <c r="W289" s="10">
        <v>478452</v>
      </c>
      <c r="X289" s="10">
        <v>478452</v>
      </c>
      <c r="Y289" s="13">
        <v>606156</v>
      </c>
      <c r="Z289" s="8"/>
      <c r="AA289" s="11">
        <v>0</v>
      </c>
      <c r="AB289" s="11">
        <v>0</v>
      </c>
      <c r="AC289" s="8"/>
      <c r="AD289" s="8"/>
      <c r="AE289" s="8"/>
      <c r="AF289" s="8"/>
      <c r="AG289" s="8"/>
      <c r="AH289" s="11">
        <v>0</v>
      </c>
      <c r="AI289" s="12">
        <v>-58972</v>
      </c>
      <c r="AJ289" s="10">
        <v>2666286225.4000001</v>
      </c>
      <c r="AK289" s="8"/>
      <c r="AL289" s="10">
        <v>0</v>
      </c>
      <c r="AM289" s="10">
        <v>0</v>
      </c>
      <c r="AN289" s="8"/>
      <c r="AO289" s="8"/>
      <c r="AP289" s="8"/>
      <c r="AQ289" s="8"/>
      <c r="AR289" s="8"/>
      <c r="AS289" s="10">
        <v>1106821773.75</v>
      </c>
      <c r="AT289" s="10">
        <v>1106821773.75</v>
      </c>
      <c r="AU289" s="14">
        <v>45930</v>
      </c>
      <c r="AV289" s="8"/>
      <c r="AW289" s="14">
        <v>44926</v>
      </c>
      <c r="AX289" s="14">
        <v>44926</v>
      </c>
      <c r="AY289" s="8"/>
      <c r="AZ289" s="8"/>
      <c r="BA289" s="8"/>
      <c r="BB289" s="8"/>
      <c r="BC289" s="8"/>
      <c r="BD289" s="14">
        <v>42369</v>
      </c>
      <c r="BE289" s="14">
        <v>42369</v>
      </c>
      <c r="BF289" s="8" t="s">
        <v>35</v>
      </c>
      <c r="BG289" s="8"/>
      <c r="BH289" s="8" t="s">
        <v>35</v>
      </c>
      <c r="BI289" s="8" t="s">
        <v>35</v>
      </c>
      <c r="BJ289" s="8"/>
      <c r="BK289" s="8"/>
      <c r="BL289" s="8"/>
      <c r="BM289" s="8"/>
      <c r="BN289" s="8"/>
      <c r="BO289" s="8" t="s">
        <v>35</v>
      </c>
      <c r="BP289" s="8" t="s">
        <v>35</v>
      </c>
      <c r="BQ289" s="8" t="s">
        <v>31</v>
      </c>
      <c r="BR289" s="8" t="s">
        <v>36</v>
      </c>
      <c r="BS289" s="10">
        <v>590524872369251</v>
      </c>
      <c r="BT289" s="8" t="s">
        <v>316</v>
      </c>
      <c r="BU289" s="8" t="s">
        <v>27</v>
      </c>
      <c r="BV289" s="8"/>
      <c r="BW289" s="8" t="s">
        <v>27</v>
      </c>
      <c r="BX289" s="8" t="s">
        <v>27</v>
      </c>
      <c r="BY289" s="8"/>
      <c r="BZ289" s="8"/>
      <c r="CA289" s="8"/>
      <c r="CB289" s="8"/>
      <c r="CC289" s="8"/>
      <c r="CD289" s="8" t="s">
        <v>27</v>
      </c>
      <c r="CE289" s="8" t="s">
        <v>27</v>
      </c>
      <c r="CF289" s="8" t="s">
        <v>450</v>
      </c>
      <c r="CG289" s="8" t="s">
        <v>39</v>
      </c>
    </row>
    <row r="290" spans="1:85" ht="15.75" customHeight="1" x14ac:dyDescent="0.35">
      <c r="A290" s="8">
        <v>283</v>
      </c>
      <c r="B290" s="8" t="s">
        <v>451</v>
      </c>
      <c r="C290" s="9">
        <v>6.9999999999999999E-6</v>
      </c>
      <c r="D290" s="8"/>
      <c r="E290" s="8"/>
      <c r="F290" s="8"/>
      <c r="G290" s="9">
        <v>0</v>
      </c>
      <c r="H290" s="9">
        <v>0</v>
      </c>
      <c r="I290" s="8"/>
      <c r="J290" s="8"/>
      <c r="K290" s="8"/>
      <c r="L290" s="8"/>
      <c r="M290" s="8"/>
      <c r="N290" s="10">
        <v>602100</v>
      </c>
      <c r="O290" s="8"/>
      <c r="P290" s="8"/>
      <c r="Q290" s="8"/>
      <c r="R290" s="10">
        <v>0</v>
      </c>
      <c r="S290" s="10">
        <v>0</v>
      </c>
      <c r="T290" s="8"/>
      <c r="U290" s="8"/>
      <c r="V290" s="8"/>
      <c r="W290" s="8"/>
      <c r="X290" s="8"/>
      <c r="Y290" s="13">
        <v>602100</v>
      </c>
      <c r="Z290" s="8"/>
      <c r="AA290" s="8"/>
      <c r="AB290" s="8"/>
      <c r="AC290" s="11">
        <v>0</v>
      </c>
      <c r="AD290" s="11">
        <v>0</v>
      </c>
      <c r="AE290" s="8"/>
      <c r="AF290" s="8"/>
      <c r="AG290" s="8"/>
      <c r="AH290" s="8"/>
      <c r="AI290" s="8"/>
      <c r="AJ290" s="10">
        <v>2873205433.3499999</v>
      </c>
      <c r="AK290" s="8"/>
      <c r="AL290" s="8"/>
      <c r="AM290" s="8"/>
      <c r="AN290" s="10">
        <v>0</v>
      </c>
      <c r="AO290" s="10">
        <v>0</v>
      </c>
      <c r="AP290" s="8"/>
      <c r="AQ290" s="8"/>
      <c r="AR290" s="8"/>
      <c r="AS290" s="8"/>
      <c r="AT290" s="8"/>
      <c r="AU290" s="14">
        <v>45900</v>
      </c>
      <c r="AV290" s="8"/>
      <c r="AW290" s="8"/>
      <c r="AX290" s="8"/>
      <c r="AY290" s="14">
        <v>44104</v>
      </c>
      <c r="AZ290" s="14">
        <v>44104</v>
      </c>
      <c r="BA290" s="8"/>
      <c r="BB290" s="8"/>
      <c r="BC290" s="8"/>
      <c r="BD290" s="8"/>
      <c r="BE290" s="8"/>
      <c r="BF290" s="8" t="s">
        <v>35</v>
      </c>
      <c r="BG290" s="8"/>
      <c r="BH290" s="8"/>
      <c r="BI290" s="8"/>
      <c r="BJ290" s="8" t="s">
        <v>35</v>
      </c>
      <c r="BK290" s="8" t="s">
        <v>35</v>
      </c>
      <c r="BL290" s="8"/>
      <c r="BM290" s="8"/>
      <c r="BN290" s="8"/>
      <c r="BO290" s="8"/>
      <c r="BP290" s="8"/>
      <c r="BQ290" s="8" t="s">
        <v>31</v>
      </c>
      <c r="BR290" s="8" t="s">
        <v>49</v>
      </c>
      <c r="BS290" s="10">
        <v>24554171106944.398</v>
      </c>
      <c r="BT290" s="8" t="s">
        <v>101</v>
      </c>
      <c r="BU290" s="8" t="s">
        <v>27</v>
      </c>
      <c r="BV290" s="8"/>
      <c r="BW290" s="8"/>
      <c r="BX290" s="8"/>
      <c r="BY290" s="8" t="s">
        <v>42</v>
      </c>
      <c r="BZ290" s="8" t="s">
        <v>27</v>
      </c>
      <c r="CA290" s="8"/>
      <c r="CB290" s="8"/>
      <c r="CC290" s="8"/>
      <c r="CD290" s="8"/>
      <c r="CE290" s="8"/>
      <c r="CF290" s="8" t="s">
        <v>50</v>
      </c>
      <c r="CG290" s="8" t="s">
        <v>51</v>
      </c>
    </row>
    <row r="291" spans="1:85" ht="15.75" customHeight="1" x14ac:dyDescent="0.35">
      <c r="A291" s="8">
        <v>284</v>
      </c>
      <c r="B291" s="8" t="s">
        <v>452</v>
      </c>
      <c r="C291" s="9">
        <v>6.0000000000000002E-6</v>
      </c>
      <c r="D291" s="9">
        <v>6.0000000000000002E-6</v>
      </c>
      <c r="E291" s="9">
        <v>9.0000000000000002E-6</v>
      </c>
      <c r="F291" s="9">
        <v>9.0000000000000002E-6</v>
      </c>
      <c r="G291" s="9">
        <v>9.0000000000000002E-6</v>
      </c>
      <c r="H291" s="9">
        <v>9.0000000000000002E-6</v>
      </c>
      <c r="I291" s="9">
        <v>9.0000000000000002E-6</v>
      </c>
      <c r="J291" s="9">
        <v>9.0000000000000002E-6</v>
      </c>
      <c r="K291" s="9">
        <v>9.0000000000000002E-6</v>
      </c>
      <c r="L291" s="9">
        <v>9.0000000000000002E-6</v>
      </c>
      <c r="M291" s="9">
        <v>1.2999999999999999E-5</v>
      </c>
      <c r="N291" s="10">
        <v>600000</v>
      </c>
      <c r="O291" s="10">
        <v>600000</v>
      </c>
      <c r="P291" s="10">
        <v>800000</v>
      </c>
      <c r="Q291" s="10">
        <v>800000</v>
      </c>
      <c r="R291" s="10">
        <v>800000</v>
      </c>
      <c r="S291" s="10">
        <v>800000</v>
      </c>
      <c r="T291" s="10">
        <v>800000</v>
      </c>
      <c r="U291" s="10">
        <v>800000</v>
      </c>
      <c r="V291" s="10">
        <v>800000</v>
      </c>
      <c r="W291" s="10">
        <v>800000</v>
      </c>
      <c r="X291" s="10">
        <v>1200000</v>
      </c>
      <c r="Y291" s="11">
        <v>0</v>
      </c>
      <c r="Z291" s="12">
        <v>-200000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2">
        <v>-400000</v>
      </c>
      <c r="AI291" s="11">
        <v>0</v>
      </c>
      <c r="AJ291" s="10">
        <v>3116235225.9499998</v>
      </c>
      <c r="AK291" s="10">
        <v>3411518935.1999998</v>
      </c>
      <c r="AL291" s="10">
        <v>4840000027.0500002</v>
      </c>
      <c r="AM291" s="10">
        <v>3970000027.9499998</v>
      </c>
      <c r="AN291" s="10">
        <v>2807045227.5</v>
      </c>
      <c r="AO291" s="10">
        <v>2529999997.1999998</v>
      </c>
      <c r="AP291" s="10">
        <v>3061178202.4000001</v>
      </c>
      <c r="AQ291" s="10">
        <v>2913517668.75</v>
      </c>
      <c r="AR291" s="10">
        <v>3200000049.3000002</v>
      </c>
      <c r="AS291" s="10">
        <v>2314999998</v>
      </c>
      <c r="AT291" s="10">
        <v>2776006895.8499999</v>
      </c>
      <c r="AU291" s="14">
        <v>45747</v>
      </c>
      <c r="AV291" s="14">
        <v>45657</v>
      </c>
      <c r="AW291" s="14">
        <v>45291</v>
      </c>
      <c r="AX291" s="14">
        <v>44926</v>
      </c>
      <c r="AY291" s="14">
        <v>44561</v>
      </c>
      <c r="AZ291" s="14">
        <v>44196</v>
      </c>
      <c r="BA291" s="14">
        <v>43830</v>
      </c>
      <c r="BB291" s="14">
        <v>43465</v>
      </c>
      <c r="BC291" s="14">
        <v>43100</v>
      </c>
      <c r="BD291" s="14">
        <v>42735</v>
      </c>
      <c r="BE291" s="14">
        <v>42369</v>
      </c>
      <c r="BF291" s="8" t="s">
        <v>35</v>
      </c>
      <c r="BG291" s="8" t="s">
        <v>35</v>
      </c>
      <c r="BH291" s="8" t="s">
        <v>35</v>
      </c>
      <c r="BI291" s="8" t="s">
        <v>35</v>
      </c>
      <c r="BJ291" s="8" t="s">
        <v>35</v>
      </c>
      <c r="BK291" s="8" t="s">
        <v>35</v>
      </c>
      <c r="BL291" s="8" t="s">
        <v>35</v>
      </c>
      <c r="BM291" s="8" t="s">
        <v>35</v>
      </c>
      <c r="BN291" s="8" t="s">
        <v>35</v>
      </c>
      <c r="BO291" s="8" t="s">
        <v>35</v>
      </c>
      <c r="BP291" s="8" t="s">
        <v>35</v>
      </c>
      <c r="BQ291" s="8" t="s">
        <v>31</v>
      </c>
      <c r="BR291" s="8" t="s">
        <v>36</v>
      </c>
      <c r="BS291" s="10">
        <v>4251684561412.7998</v>
      </c>
      <c r="BT291" s="8" t="s">
        <v>57</v>
      </c>
      <c r="BU291" s="8" t="s">
        <v>27</v>
      </c>
      <c r="BV291" s="8" t="s">
        <v>42</v>
      </c>
      <c r="BW291" s="8" t="s">
        <v>42</v>
      </c>
      <c r="BX291" s="8" t="s">
        <v>42</v>
      </c>
      <c r="BY291" s="8" t="s">
        <v>43</v>
      </c>
      <c r="BZ291" s="8" t="s">
        <v>43</v>
      </c>
      <c r="CA291" s="8" t="s">
        <v>43</v>
      </c>
      <c r="CB291" s="8" t="s">
        <v>42</v>
      </c>
      <c r="CC291" s="8" t="s">
        <v>43</v>
      </c>
      <c r="CD291" s="8" t="s">
        <v>43</v>
      </c>
      <c r="CE291" s="8" t="s">
        <v>43</v>
      </c>
      <c r="CF291" s="8" t="s">
        <v>301</v>
      </c>
      <c r="CG291" s="8" t="s">
        <v>302</v>
      </c>
    </row>
    <row r="292" spans="1:85" ht="15.75" customHeight="1" x14ac:dyDescent="0.35">
      <c r="A292" s="8">
        <v>285</v>
      </c>
      <c r="B292" s="8" t="s">
        <v>453</v>
      </c>
      <c r="C292" s="9">
        <v>6.0000000000000002E-6</v>
      </c>
      <c r="D292" s="9">
        <v>6.0000000000000002E-6</v>
      </c>
      <c r="E292" s="9">
        <v>6.0000000000000002E-6</v>
      </c>
      <c r="F292" s="8"/>
      <c r="G292" s="8"/>
      <c r="H292" s="8"/>
      <c r="I292" s="8"/>
      <c r="J292" s="8"/>
      <c r="K292" s="8"/>
      <c r="L292" s="8"/>
      <c r="M292" s="8"/>
      <c r="N292" s="10">
        <v>587800</v>
      </c>
      <c r="O292" s="10">
        <v>587800</v>
      </c>
      <c r="P292" s="10">
        <v>587800</v>
      </c>
      <c r="Q292" s="8"/>
      <c r="R292" s="8"/>
      <c r="S292" s="8"/>
      <c r="T292" s="8"/>
      <c r="U292" s="8"/>
      <c r="V292" s="8"/>
      <c r="W292" s="8"/>
      <c r="X292" s="8"/>
      <c r="Y292" s="11">
        <v>0</v>
      </c>
      <c r="Z292" s="11">
        <v>0</v>
      </c>
      <c r="AA292" s="13">
        <v>587800</v>
      </c>
      <c r="AB292" s="8"/>
      <c r="AC292" s="8"/>
      <c r="AD292" s="8"/>
      <c r="AE292" s="8"/>
      <c r="AF292" s="8"/>
      <c r="AG292" s="8"/>
      <c r="AH292" s="8"/>
      <c r="AI292" s="8"/>
      <c r="AJ292" s="10">
        <v>4261550033.5</v>
      </c>
      <c r="AK292" s="10">
        <v>4261550033.5</v>
      </c>
      <c r="AL292" s="10">
        <v>3556190039.8499999</v>
      </c>
      <c r="AM292" s="8"/>
      <c r="AN292" s="8"/>
      <c r="AO292" s="8"/>
      <c r="AP292" s="8"/>
      <c r="AQ292" s="8"/>
      <c r="AR292" s="8"/>
      <c r="AS292" s="8"/>
      <c r="AT292" s="8"/>
      <c r="AU292" s="14">
        <v>45382</v>
      </c>
      <c r="AV292" s="14">
        <v>45382</v>
      </c>
      <c r="AW292" s="14">
        <v>45291</v>
      </c>
      <c r="AX292" s="8"/>
      <c r="AY292" s="8"/>
      <c r="AZ292" s="8"/>
      <c r="BA292" s="8"/>
      <c r="BB292" s="8"/>
      <c r="BC292" s="8"/>
      <c r="BD292" s="8"/>
      <c r="BE292" s="8"/>
      <c r="BF292" s="8" t="s">
        <v>35</v>
      </c>
      <c r="BG292" s="8" t="s">
        <v>35</v>
      </c>
      <c r="BH292" s="8" t="s">
        <v>35</v>
      </c>
      <c r="BI292" s="8"/>
      <c r="BJ292" s="8"/>
      <c r="BK292" s="8"/>
      <c r="BL292" s="8"/>
      <c r="BM292" s="8"/>
      <c r="BN292" s="8"/>
      <c r="BO292" s="8"/>
      <c r="BP292" s="8"/>
      <c r="BQ292" s="8" t="s">
        <v>31</v>
      </c>
      <c r="BR292" s="8" t="s">
        <v>49</v>
      </c>
      <c r="BS292" s="10">
        <v>2188360498634.3999</v>
      </c>
      <c r="BT292" s="8" t="s">
        <v>61</v>
      </c>
      <c r="BU292" s="8"/>
      <c r="BV292" s="8" t="s">
        <v>43</v>
      </c>
      <c r="BW292" s="8" t="s">
        <v>27</v>
      </c>
      <c r="BX292" s="8"/>
      <c r="BY292" s="8"/>
      <c r="BZ292" s="8"/>
      <c r="CA292" s="8"/>
      <c r="CB292" s="8"/>
      <c r="CC292" s="8"/>
      <c r="CD292" s="8"/>
      <c r="CE292" s="8"/>
      <c r="CF292" s="8" t="s">
        <v>50</v>
      </c>
      <c r="CG292" s="8" t="s">
        <v>51</v>
      </c>
    </row>
    <row r="293" spans="1:85" ht="15.75" customHeight="1" x14ac:dyDescent="0.35">
      <c r="A293" s="8">
        <v>286</v>
      </c>
      <c r="B293" s="8" t="s">
        <v>454</v>
      </c>
      <c r="C293" s="9">
        <v>6.0000000000000002E-6</v>
      </c>
      <c r="D293" s="9">
        <v>6.0000000000000002E-6</v>
      </c>
      <c r="E293" s="9">
        <v>6.0000000000000002E-6</v>
      </c>
      <c r="F293" s="8"/>
      <c r="G293" s="8"/>
      <c r="H293" s="8"/>
      <c r="I293" s="8"/>
      <c r="J293" s="8"/>
      <c r="K293" s="8"/>
      <c r="L293" s="8"/>
      <c r="M293" s="8"/>
      <c r="N293" s="10">
        <v>585300</v>
      </c>
      <c r="O293" s="10">
        <v>585300</v>
      </c>
      <c r="P293" s="10">
        <v>585300</v>
      </c>
      <c r="Q293" s="8"/>
      <c r="R293" s="8"/>
      <c r="S293" s="8"/>
      <c r="T293" s="8"/>
      <c r="U293" s="8"/>
      <c r="V293" s="8"/>
      <c r="W293" s="8"/>
      <c r="X293" s="8"/>
      <c r="Y293" s="11">
        <v>0</v>
      </c>
      <c r="Z293" s="11">
        <v>0</v>
      </c>
      <c r="AA293" s="13">
        <v>585300</v>
      </c>
      <c r="AB293" s="8"/>
      <c r="AC293" s="8"/>
      <c r="AD293" s="8"/>
      <c r="AE293" s="8"/>
      <c r="AF293" s="8"/>
      <c r="AG293" s="8"/>
      <c r="AH293" s="8"/>
      <c r="AI293" s="8"/>
      <c r="AJ293" s="10">
        <v>2793036240.75</v>
      </c>
      <c r="AK293" s="10">
        <v>3327936694.9000001</v>
      </c>
      <c r="AL293" s="10">
        <v>3541065068.1500001</v>
      </c>
      <c r="AM293" s="8"/>
      <c r="AN293" s="8"/>
      <c r="AO293" s="8"/>
      <c r="AP293" s="8"/>
      <c r="AQ293" s="8"/>
      <c r="AR293" s="8"/>
      <c r="AS293" s="8"/>
      <c r="AT293" s="8"/>
      <c r="AU293" s="14">
        <v>45900</v>
      </c>
      <c r="AV293" s="14">
        <v>45657</v>
      </c>
      <c r="AW293" s="14">
        <v>45291</v>
      </c>
      <c r="AX293" s="8"/>
      <c r="AY293" s="8"/>
      <c r="AZ293" s="8"/>
      <c r="BA293" s="8"/>
      <c r="BB293" s="8"/>
      <c r="BC293" s="8"/>
      <c r="BD293" s="8"/>
      <c r="BE293" s="8"/>
      <c r="BF293" s="8" t="s">
        <v>35</v>
      </c>
      <c r="BG293" s="8" t="s">
        <v>35</v>
      </c>
      <c r="BH293" s="8" t="s">
        <v>35</v>
      </c>
      <c r="BI293" s="8"/>
      <c r="BJ293" s="8"/>
      <c r="BK293" s="8"/>
      <c r="BL293" s="8"/>
      <c r="BM293" s="8"/>
      <c r="BN293" s="8"/>
      <c r="BO293" s="8"/>
      <c r="BP293" s="8"/>
      <c r="BQ293" s="8" t="s">
        <v>31</v>
      </c>
      <c r="BR293" s="8" t="s">
        <v>49</v>
      </c>
      <c r="BS293" s="10">
        <v>1517459984256</v>
      </c>
      <c r="BT293" s="8"/>
      <c r="BU293" s="8" t="s">
        <v>27</v>
      </c>
      <c r="BV293" s="8" t="s">
        <v>27</v>
      </c>
      <c r="BW293" s="8" t="s">
        <v>42</v>
      </c>
      <c r="BX293" s="8"/>
      <c r="BY293" s="8"/>
      <c r="BZ293" s="8"/>
      <c r="CA293" s="8"/>
      <c r="CB293" s="8"/>
      <c r="CC293" s="8"/>
      <c r="CD293" s="8"/>
      <c r="CE293" s="8"/>
      <c r="CF293" s="8" t="s">
        <v>455</v>
      </c>
      <c r="CG293" s="8" t="s">
        <v>71</v>
      </c>
    </row>
    <row r="294" spans="1:85" ht="15.75" customHeight="1" x14ac:dyDescent="0.35">
      <c r="A294" s="8">
        <v>287</v>
      </c>
      <c r="B294" s="8" t="s">
        <v>456</v>
      </c>
      <c r="C294" s="9">
        <v>6.0000000000000002E-6</v>
      </c>
      <c r="D294" s="9">
        <v>6.0000000000000002E-6</v>
      </c>
      <c r="E294" s="9">
        <v>3.3000000000000003E-5</v>
      </c>
      <c r="F294" s="9">
        <v>3.1999999999999999E-5</v>
      </c>
      <c r="G294" s="8"/>
      <c r="H294" s="8"/>
      <c r="I294" s="9">
        <v>0</v>
      </c>
      <c r="J294" s="9">
        <v>0</v>
      </c>
      <c r="K294" s="9">
        <v>6.4999999999999994E-5</v>
      </c>
      <c r="L294" s="8"/>
      <c r="M294" s="8"/>
      <c r="N294" s="10">
        <v>550000</v>
      </c>
      <c r="O294" s="10">
        <v>550000</v>
      </c>
      <c r="P294" s="10">
        <v>3050000</v>
      </c>
      <c r="Q294" s="10">
        <v>3000000</v>
      </c>
      <c r="R294" s="8"/>
      <c r="S294" s="8"/>
      <c r="T294" s="10">
        <v>0</v>
      </c>
      <c r="U294" s="10">
        <v>0</v>
      </c>
      <c r="V294" s="10">
        <v>6000000</v>
      </c>
      <c r="W294" s="8"/>
      <c r="X294" s="8"/>
      <c r="Y294" s="11">
        <v>0</v>
      </c>
      <c r="Z294" s="12">
        <v>-2500000</v>
      </c>
      <c r="AA294" s="13">
        <v>50000</v>
      </c>
      <c r="AB294" s="13">
        <v>3000000</v>
      </c>
      <c r="AC294" s="8"/>
      <c r="AD294" s="8"/>
      <c r="AE294" s="11">
        <v>0</v>
      </c>
      <c r="AF294" s="12">
        <v>-6000000</v>
      </c>
      <c r="AG294" s="13">
        <v>6000000</v>
      </c>
      <c r="AH294" s="8"/>
      <c r="AI294" s="8"/>
      <c r="AJ294" s="10">
        <v>3382500032.5999999</v>
      </c>
      <c r="AK294" s="10">
        <v>3382500032.5999999</v>
      </c>
      <c r="AL294" s="10">
        <v>18452499958.799999</v>
      </c>
      <c r="AM294" s="10">
        <v>14887500065.9</v>
      </c>
      <c r="AN294" s="8"/>
      <c r="AO294" s="8"/>
      <c r="AP294" s="10">
        <v>0</v>
      </c>
      <c r="AQ294" s="10">
        <v>0</v>
      </c>
      <c r="AR294" s="10">
        <v>23999999962.799999</v>
      </c>
      <c r="AS294" s="8"/>
      <c r="AT294" s="8"/>
      <c r="AU294" s="14">
        <v>45473</v>
      </c>
      <c r="AV294" s="14">
        <v>45473</v>
      </c>
      <c r="AW294" s="14">
        <v>45291</v>
      </c>
      <c r="AX294" s="14">
        <v>44926</v>
      </c>
      <c r="AY294" s="8"/>
      <c r="AZ294" s="8"/>
      <c r="BA294" s="14">
        <v>43404</v>
      </c>
      <c r="BB294" s="14">
        <v>43404</v>
      </c>
      <c r="BC294" s="14">
        <v>43100</v>
      </c>
      <c r="BD294" s="8"/>
      <c r="BE294" s="8"/>
      <c r="BF294" s="8" t="s">
        <v>35</v>
      </c>
      <c r="BG294" s="8" t="s">
        <v>35</v>
      </c>
      <c r="BH294" s="8" t="s">
        <v>35</v>
      </c>
      <c r="BI294" s="8" t="s">
        <v>35</v>
      </c>
      <c r="BJ294" s="8"/>
      <c r="BK294" s="8"/>
      <c r="BL294" s="8" t="s">
        <v>35</v>
      </c>
      <c r="BM294" s="8" t="s">
        <v>35</v>
      </c>
      <c r="BN294" s="8" t="s">
        <v>35</v>
      </c>
      <c r="BO294" s="8"/>
      <c r="BP294" s="8"/>
      <c r="BQ294" s="8" t="s">
        <v>31</v>
      </c>
      <c r="BR294" s="8" t="s">
        <v>160</v>
      </c>
      <c r="BS294" s="10">
        <v>201425129873196</v>
      </c>
      <c r="BT294" s="8" t="s">
        <v>61</v>
      </c>
      <c r="BU294" s="8" t="s">
        <v>27</v>
      </c>
      <c r="BV294" s="8" t="s">
        <v>27</v>
      </c>
      <c r="BW294" s="8" t="s">
        <v>27</v>
      </c>
      <c r="BX294" s="8" t="s">
        <v>27</v>
      </c>
      <c r="BY294" s="8"/>
      <c r="BZ294" s="8"/>
      <c r="CA294" s="8" t="s">
        <v>27</v>
      </c>
      <c r="CB294" s="8" t="s">
        <v>27</v>
      </c>
      <c r="CC294" s="8" t="s">
        <v>27</v>
      </c>
      <c r="CD294" s="8"/>
      <c r="CE294" s="8"/>
      <c r="CF294" s="8" t="s">
        <v>212</v>
      </c>
      <c r="CG294" s="8" t="s">
        <v>213</v>
      </c>
    </row>
    <row r="295" spans="1:85" ht="15.75" hidden="1" customHeight="1" x14ac:dyDescent="0.35">
      <c r="A295" s="8">
        <v>288</v>
      </c>
      <c r="B295" s="8" t="s">
        <v>457</v>
      </c>
      <c r="C295" s="9">
        <v>6.0000000000000002E-6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10">
        <v>549600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13">
        <v>549600</v>
      </c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0">
        <v>2417514440.5999999</v>
      </c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14">
        <v>45930</v>
      </c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 t="s">
        <v>201</v>
      </c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 t="s">
        <v>25</v>
      </c>
      <c r="BR295" s="8" t="s">
        <v>202</v>
      </c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 t="s">
        <v>29</v>
      </c>
    </row>
    <row r="296" spans="1:85" ht="15.75" customHeight="1" x14ac:dyDescent="0.35">
      <c r="A296" s="8">
        <v>289</v>
      </c>
      <c r="B296" s="8" t="s">
        <v>458</v>
      </c>
      <c r="C296" s="9">
        <v>6.0000000000000002E-6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10">
        <v>543500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13">
        <v>543500</v>
      </c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0">
        <v>2657355590.6999998</v>
      </c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14">
        <v>45838</v>
      </c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 t="s">
        <v>35</v>
      </c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 t="s">
        <v>31</v>
      </c>
      <c r="BR296" s="8" t="s">
        <v>36</v>
      </c>
      <c r="BS296" s="10">
        <v>12874880874028.801</v>
      </c>
      <c r="BT296" s="8"/>
      <c r="BU296" s="8" t="s">
        <v>27</v>
      </c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 t="s">
        <v>65</v>
      </c>
      <c r="CG296" s="8" t="s">
        <v>65</v>
      </c>
    </row>
    <row r="297" spans="1:85" ht="15.75" customHeight="1" x14ac:dyDescent="0.35">
      <c r="A297" s="8">
        <v>290</v>
      </c>
      <c r="B297" s="8" t="s">
        <v>459</v>
      </c>
      <c r="C297" s="9">
        <v>6.0000000000000002E-6</v>
      </c>
      <c r="D297" s="9">
        <v>6.0000000000000002E-6</v>
      </c>
      <c r="E297" s="9">
        <v>6.0000000000000002E-6</v>
      </c>
      <c r="F297" s="9">
        <v>6.0000000000000002E-6</v>
      </c>
      <c r="G297" s="9">
        <v>1.9999999999999999E-6</v>
      </c>
      <c r="H297" s="8"/>
      <c r="I297" s="8"/>
      <c r="J297" s="8"/>
      <c r="K297" s="8"/>
      <c r="L297" s="8"/>
      <c r="M297" s="8"/>
      <c r="N297" s="10">
        <v>531200</v>
      </c>
      <c r="O297" s="10">
        <v>531200</v>
      </c>
      <c r="P297" s="10">
        <v>531200</v>
      </c>
      <c r="Q297" s="10">
        <v>531200</v>
      </c>
      <c r="R297" s="10">
        <v>219000</v>
      </c>
      <c r="S297" s="8"/>
      <c r="T297" s="8"/>
      <c r="U297" s="8"/>
      <c r="V297" s="8"/>
      <c r="W297" s="8"/>
      <c r="X297" s="8"/>
      <c r="Y297" s="11">
        <v>0</v>
      </c>
      <c r="Z297" s="11">
        <v>0</v>
      </c>
      <c r="AA297" s="11">
        <v>0</v>
      </c>
      <c r="AB297" s="13">
        <v>312200</v>
      </c>
      <c r="AC297" s="13">
        <v>219000</v>
      </c>
      <c r="AD297" s="8"/>
      <c r="AE297" s="8"/>
      <c r="AF297" s="8"/>
      <c r="AG297" s="8"/>
      <c r="AH297" s="8"/>
      <c r="AI297" s="8"/>
      <c r="AJ297" s="10">
        <v>2534872403.6999998</v>
      </c>
      <c r="AK297" s="10">
        <v>3020331453.8000002</v>
      </c>
      <c r="AL297" s="10">
        <v>3213759978.5500002</v>
      </c>
      <c r="AM297" s="10">
        <v>2636079994.9000001</v>
      </c>
      <c r="AN297" s="10">
        <v>768428685</v>
      </c>
      <c r="AO297" s="8"/>
      <c r="AP297" s="8"/>
      <c r="AQ297" s="8"/>
      <c r="AR297" s="8"/>
      <c r="AS297" s="8"/>
      <c r="AT297" s="8"/>
      <c r="AU297" s="14">
        <v>45900</v>
      </c>
      <c r="AV297" s="14">
        <v>45657</v>
      </c>
      <c r="AW297" s="14">
        <v>45291</v>
      </c>
      <c r="AX297" s="14">
        <v>44926</v>
      </c>
      <c r="AY297" s="14">
        <v>44561</v>
      </c>
      <c r="AZ297" s="8"/>
      <c r="BA297" s="8"/>
      <c r="BB297" s="8"/>
      <c r="BC297" s="8"/>
      <c r="BD297" s="8"/>
      <c r="BE297" s="8"/>
      <c r="BF297" s="8" t="s">
        <v>35</v>
      </c>
      <c r="BG297" s="8" t="s">
        <v>35</v>
      </c>
      <c r="BH297" s="8" t="s">
        <v>35</v>
      </c>
      <c r="BI297" s="8" t="s">
        <v>35</v>
      </c>
      <c r="BJ297" s="8" t="s">
        <v>35</v>
      </c>
      <c r="BK297" s="8"/>
      <c r="BL297" s="8"/>
      <c r="BM297" s="8"/>
      <c r="BN297" s="8"/>
      <c r="BO297" s="8"/>
      <c r="BP297" s="8"/>
      <c r="BQ297" s="8" t="s">
        <v>31</v>
      </c>
      <c r="BR297" s="8" t="s">
        <v>36</v>
      </c>
      <c r="BS297" s="10">
        <v>35870549794201.203</v>
      </c>
      <c r="BT297" s="8" t="s">
        <v>46</v>
      </c>
      <c r="BU297" s="8" t="s">
        <v>27</v>
      </c>
      <c r="BV297" s="8" t="s">
        <v>27</v>
      </c>
      <c r="BW297" s="8" t="s">
        <v>27</v>
      </c>
      <c r="BX297" s="8" t="s">
        <v>27</v>
      </c>
      <c r="BY297" s="8" t="s">
        <v>27</v>
      </c>
      <c r="BZ297" s="8"/>
      <c r="CA297" s="8"/>
      <c r="CB297" s="8"/>
      <c r="CC297" s="8"/>
      <c r="CD297" s="8"/>
      <c r="CE297" s="8"/>
      <c r="CF297" s="8" t="s">
        <v>460</v>
      </c>
      <c r="CG297" s="8" t="s">
        <v>461</v>
      </c>
    </row>
    <row r="298" spans="1:85" ht="15.75" customHeight="1" x14ac:dyDescent="0.35">
      <c r="A298" s="8">
        <v>291</v>
      </c>
      <c r="B298" s="8" t="s">
        <v>462</v>
      </c>
      <c r="C298" s="9">
        <v>6.0000000000000002E-6</v>
      </c>
      <c r="D298" s="9">
        <v>6.0000000000000002E-6</v>
      </c>
      <c r="E298" s="9">
        <v>6.9999999999999999E-6</v>
      </c>
      <c r="F298" s="9">
        <v>1.2E-5</v>
      </c>
      <c r="G298" s="9">
        <v>3.0000000000000001E-5</v>
      </c>
      <c r="H298" s="9">
        <v>3.1000000000000001E-5</v>
      </c>
      <c r="I298" s="9">
        <v>3.0000000000000001E-5</v>
      </c>
      <c r="J298" s="8"/>
      <c r="K298" s="8"/>
      <c r="L298" s="8"/>
      <c r="M298" s="8"/>
      <c r="N298" s="10">
        <v>520800</v>
      </c>
      <c r="O298" s="10">
        <v>520800</v>
      </c>
      <c r="P298" s="10">
        <v>674400</v>
      </c>
      <c r="Q298" s="10">
        <v>1101600</v>
      </c>
      <c r="R298" s="10">
        <v>2763000</v>
      </c>
      <c r="S298" s="10">
        <v>2843000</v>
      </c>
      <c r="T298" s="10">
        <v>2726000</v>
      </c>
      <c r="U298" s="8"/>
      <c r="V298" s="8"/>
      <c r="W298" s="8"/>
      <c r="X298" s="8"/>
      <c r="Y298" s="11">
        <v>0</v>
      </c>
      <c r="Z298" s="12">
        <v>-153600</v>
      </c>
      <c r="AA298" s="12">
        <v>-427200</v>
      </c>
      <c r="AB298" s="12">
        <v>-1661400</v>
      </c>
      <c r="AC298" s="12">
        <v>-80000</v>
      </c>
      <c r="AD298" s="13">
        <v>117000</v>
      </c>
      <c r="AE298" s="13">
        <v>2726000</v>
      </c>
      <c r="AF298" s="8"/>
      <c r="AG298" s="8"/>
      <c r="AH298" s="8"/>
      <c r="AI298" s="8"/>
      <c r="AJ298" s="10">
        <v>3593519995.8499999</v>
      </c>
      <c r="AK298" s="10">
        <v>3593519995.8499999</v>
      </c>
      <c r="AL298" s="10">
        <v>4080120069.4499998</v>
      </c>
      <c r="AM298" s="10">
        <v>5466689958.9499998</v>
      </c>
      <c r="AN298" s="10">
        <v>9694832460</v>
      </c>
      <c r="AO298" s="10">
        <v>8990987428.7999992</v>
      </c>
      <c r="AP298" s="10">
        <v>10430964629.6</v>
      </c>
      <c r="AQ298" s="8"/>
      <c r="AR298" s="8"/>
      <c r="AS298" s="8"/>
      <c r="AT298" s="8"/>
      <c r="AU298" s="14">
        <v>45412</v>
      </c>
      <c r="AV298" s="14">
        <v>45412</v>
      </c>
      <c r="AW298" s="14">
        <v>45291</v>
      </c>
      <c r="AX298" s="14">
        <v>44926</v>
      </c>
      <c r="AY298" s="14">
        <v>44561</v>
      </c>
      <c r="AZ298" s="14">
        <v>44196</v>
      </c>
      <c r="BA298" s="14">
        <v>43830</v>
      </c>
      <c r="BB298" s="8"/>
      <c r="BC298" s="8"/>
      <c r="BD298" s="8"/>
      <c r="BE298" s="8"/>
      <c r="BF298" s="8" t="s">
        <v>35</v>
      </c>
      <c r="BG298" s="8" t="s">
        <v>35</v>
      </c>
      <c r="BH298" s="8" t="s">
        <v>35</v>
      </c>
      <c r="BI298" s="8" t="s">
        <v>35</v>
      </c>
      <c r="BJ298" s="8" t="s">
        <v>35</v>
      </c>
      <c r="BK298" s="8" t="s">
        <v>35</v>
      </c>
      <c r="BL298" s="8" t="s">
        <v>35</v>
      </c>
      <c r="BM298" s="8"/>
      <c r="BN298" s="8"/>
      <c r="BO298" s="8"/>
      <c r="BP298" s="8"/>
      <c r="BQ298" s="8" t="s">
        <v>31</v>
      </c>
      <c r="BR298" s="8" t="s">
        <v>36</v>
      </c>
      <c r="BS298" s="10">
        <v>13245361989502.801</v>
      </c>
      <c r="BT298" s="8"/>
      <c r="BU298" s="8" t="s">
        <v>27</v>
      </c>
      <c r="BV298" s="8" t="s">
        <v>27</v>
      </c>
      <c r="BW298" s="8" t="s">
        <v>42</v>
      </c>
      <c r="BX298" s="8" t="s">
        <v>42</v>
      </c>
      <c r="BY298" s="8" t="s">
        <v>42</v>
      </c>
      <c r="BZ298" s="8" t="s">
        <v>27</v>
      </c>
      <c r="CA298" s="8" t="s">
        <v>42</v>
      </c>
      <c r="CB298" s="8"/>
      <c r="CC298" s="8"/>
      <c r="CD298" s="8"/>
      <c r="CE298" s="8"/>
      <c r="CF298" s="8" t="s">
        <v>463</v>
      </c>
      <c r="CG298" s="8" t="s">
        <v>51</v>
      </c>
    </row>
    <row r="299" spans="1:85" ht="15.75" customHeight="1" x14ac:dyDescent="0.35">
      <c r="A299" s="8">
        <v>292</v>
      </c>
      <c r="B299" s="8" t="s">
        <v>464</v>
      </c>
      <c r="C299" s="9">
        <v>6.0000000000000002E-6</v>
      </c>
      <c r="D299" s="9">
        <v>3.0000000000000001E-6</v>
      </c>
      <c r="E299" s="9">
        <v>1.66E-4</v>
      </c>
      <c r="F299" s="9">
        <v>1.01E-4</v>
      </c>
      <c r="G299" s="9">
        <v>6.6000000000000005E-5</v>
      </c>
      <c r="H299" s="9">
        <v>3.1999999999999999E-5</v>
      </c>
      <c r="I299" s="9">
        <v>4.0000000000000003E-5</v>
      </c>
      <c r="J299" s="9">
        <v>7.9999999999999996E-6</v>
      </c>
      <c r="K299" s="9">
        <v>7.9999999999999996E-6</v>
      </c>
      <c r="L299" s="8"/>
      <c r="M299" s="8"/>
      <c r="N299" s="10">
        <v>517610</v>
      </c>
      <c r="O299" s="10">
        <v>252610</v>
      </c>
      <c r="P299" s="10">
        <v>15354092</v>
      </c>
      <c r="Q299" s="10">
        <v>9298986</v>
      </c>
      <c r="R299" s="10">
        <v>6075600</v>
      </c>
      <c r="S299" s="10">
        <v>2991800</v>
      </c>
      <c r="T299" s="10">
        <v>3663194</v>
      </c>
      <c r="U299" s="10">
        <v>716592</v>
      </c>
      <c r="V299" s="10">
        <v>705366</v>
      </c>
      <c r="W299" s="8"/>
      <c r="X299" s="8"/>
      <c r="Y299" s="13">
        <v>265000</v>
      </c>
      <c r="Z299" s="12">
        <v>-15101482</v>
      </c>
      <c r="AA299" s="13">
        <v>6055106</v>
      </c>
      <c r="AB299" s="13">
        <v>3223386</v>
      </c>
      <c r="AC299" s="13">
        <v>3083800</v>
      </c>
      <c r="AD299" s="12">
        <v>-671394</v>
      </c>
      <c r="AE299" s="13">
        <v>2946602</v>
      </c>
      <c r="AF299" s="13">
        <v>11226</v>
      </c>
      <c r="AG299" s="13">
        <v>705366</v>
      </c>
      <c r="AH299" s="8"/>
      <c r="AI299" s="8"/>
      <c r="AJ299" s="10">
        <v>2276800748.5999999</v>
      </c>
      <c r="AK299" s="10">
        <v>1436306351.8</v>
      </c>
      <c r="AL299" s="10">
        <v>92892256593.100006</v>
      </c>
      <c r="AM299" s="10">
        <v>46146218102.050003</v>
      </c>
      <c r="AN299" s="10">
        <v>21318104880</v>
      </c>
      <c r="AO299" s="10">
        <v>9461567512.7999992</v>
      </c>
      <c r="AP299" s="10">
        <v>14017111914.4</v>
      </c>
      <c r="AQ299" s="10">
        <v>2609754368.75</v>
      </c>
      <c r="AR299" s="10">
        <v>2821463976.5500002</v>
      </c>
      <c r="AS299" s="8"/>
      <c r="AT299" s="8"/>
      <c r="AU299" s="14">
        <v>45930</v>
      </c>
      <c r="AV299" s="14">
        <v>45657</v>
      </c>
      <c r="AW299" s="14">
        <v>45291</v>
      </c>
      <c r="AX299" s="14">
        <v>44926</v>
      </c>
      <c r="AY299" s="14">
        <v>44561</v>
      </c>
      <c r="AZ299" s="14">
        <v>44196</v>
      </c>
      <c r="BA299" s="14">
        <v>43830</v>
      </c>
      <c r="BB299" s="14">
        <v>43465</v>
      </c>
      <c r="BC299" s="14">
        <v>43100</v>
      </c>
      <c r="BD299" s="8"/>
      <c r="BE299" s="8"/>
      <c r="BF299" s="8" t="s">
        <v>35</v>
      </c>
      <c r="BG299" s="8" t="s">
        <v>35</v>
      </c>
      <c r="BH299" s="8" t="s">
        <v>35</v>
      </c>
      <c r="BI299" s="8" t="s">
        <v>35</v>
      </c>
      <c r="BJ299" s="8" t="s">
        <v>35</v>
      </c>
      <c r="BK299" s="8" t="s">
        <v>35</v>
      </c>
      <c r="BL299" s="8" t="s">
        <v>35</v>
      </c>
      <c r="BM299" s="8" t="s">
        <v>35</v>
      </c>
      <c r="BN299" s="8" t="s">
        <v>35</v>
      </c>
      <c r="BO299" s="8"/>
      <c r="BP299" s="8"/>
      <c r="BQ299" s="8" t="s">
        <v>31</v>
      </c>
      <c r="BR299" s="8" t="s">
        <v>49</v>
      </c>
      <c r="BS299" s="10">
        <v>1773813444420230</v>
      </c>
      <c r="BT299" s="8" t="s">
        <v>41</v>
      </c>
      <c r="BU299" s="8" t="s">
        <v>27</v>
      </c>
      <c r="BV299" s="8" t="s">
        <v>27</v>
      </c>
      <c r="BW299" s="8" t="s">
        <v>27</v>
      </c>
      <c r="BX299" s="8" t="s">
        <v>27</v>
      </c>
      <c r="BY299" s="8" t="s">
        <v>27</v>
      </c>
      <c r="BZ299" s="8" t="s">
        <v>27</v>
      </c>
      <c r="CA299" s="8" t="s">
        <v>42</v>
      </c>
      <c r="CB299" s="8" t="s">
        <v>42</v>
      </c>
      <c r="CC299" s="8" t="s">
        <v>42</v>
      </c>
      <c r="CD299" s="8"/>
      <c r="CE299" s="8"/>
      <c r="CF299" s="8" t="s">
        <v>114</v>
      </c>
      <c r="CG299" s="8" t="s">
        <v>115</v>
      </c>
    </row>
    <row r="300" spans="1:85" ht="15.75" customHeight="1" x14ac:dyDescent="0.35">
      <c r="A300" s="8">
        <v>293</v>
      </c>
      <c r="B300" s="8" t="s">
        <v>465</v>
      </c>
      <c r="C300" s="9">
        <v>5.0000000000000004E-6</v>
      </c>
      <c r="D300" s="9">
        <v>6.9999999999999999E-6</v>
      </c>
      <c r="E300" s="9">
        <v>3.0000000000000001E-6</v>
      </c>
      <c r="F300" s="8"/>
      <c r="G300" s="8"/>
      <c r="H300" s="8"/>
      <c r="I300" s="8"/>
      <c r="J300" s="8"/>
      <c r="K300" s="8"/>
      <c r="L300" s="9">
        <v>3.1000000000000001E-5</v>
      </c>
      <c r="M300" s="9">
        <v>3.1000000000000001E-5</v>
      </c>
      <c r="N300" s="10">
        <v>471200</v>
      </c>
      <c r="O300" s="10">
        <v>658500</v>
      </c>
      <c r="P300" s="10">
        <v>302800</v>
      </c>
      <c r="Q300" s="8"/>
      <c r="R300" s="8"/>
      <c r="S300" s="8"/>
      <c r="T300" s="8"/>
      <c r="U300" s="8"/>
      <c r="V300" s="8"/>
      <c r="W300" s="10">
        <v>2856008</v>
      </c>
      <c r="X300" s="10">
        <v>2856008</v>
      </c>
      <c r="Y300" s="12">
        <v>-187300</v>
      </c>
      <c r="Z300" s="13">
        <v>355700</v>
      </c>
      <c r="AA300" s="13">
        <v>302800</v>
      </c>
      <c r="AB300" s="8"/>
      <c r="AC300" s="8"/>
      <c r="AD300" s="8"/>
      <c r="AE300" s="8"/>
      <c r="AF300" s="8"/>
      <c r="AG300" s="8"/>
      <c r="AH300" s="11">
        <v>0</v>
      </c>
      <c r="AI300" s="11">
        <v>0</v>
      </c>
      <c r="AJ300" s="10">
        <v>2303856452.6999998</v>
      </c>
      <c r="AK300" s="10">
        <v>3744142034.5999999</v>
      </c>
      <c r="AL300" s="10">
        <v>1831940033.0999999</v>
      </c>
      <c r="AM300" s="8"/>
      <c r="AN300" s="8"/>
      <c r="AO300" s="8"/>
      <c r="AP300" s="8"/>
      <c r="AQ300" s="8"/>
      <c r="AR300" s="8"/>
      <c r="AS300" s="10">
        <v>7693371612.4300003</v>
      </c>
      <c r="AT300" s="10">
        <v>7693371612.4300003</v>
      </c>
      <c r="AU300" s="14">
        <v>45838</v>
      </c>
      <c r="AV300" s="14">
        <v>45657</v>
      </c>
      <c r="AW300" s="14">
        <v>45291</v>
      </c>
      <c r="AX300" s="8"/>
      <c r="AY300" s="8"/>
      <c r="AZ300" s="8"/>
      <c r="BA300" s="8"/>
      <c r="BB300" s="8"/>
      <c r="BC300" s="8"/>
      <c r="BD300" s="14">
        <v>42155</v>
      </c>
      <c r="BE300" s="14">
        <v>42155</v>
      </c>
      <c r="BF300" s="8" t="s">
        <v>35</v>
      </c>
      <c r="BG300" s="8" t="s">
        <v>35</v>
      </c>
      <c r="BH300" s="8" t="s">
        <v>35</v>
      </c>
      <c r="BI300" s="8"/>
      <c r="BJ300" s="8"/>
      <c r="BK300" s="8"/>
      <c r="BL300" s="8"/>
      <c r="BM300" s="8"/>
      <c r="BN300" s="8"/>
      <c r="BO300" s="8" t="s">
        <v>35</v>
      </c>
      <c r="BP300" s="8" t="s">
        <v>35</v>
      </c>
      <c r="BQ300" s="8" t="s">
        <v>31</v>
      </c>
      <c r="BR300" s="8" t="s">
        <v>36</v>
      </c>
      <c r="BS300" s="10">
        <v>2279472494454320</v>
      </c>
      <c r="BT300" s="8" t="s">
        <v>57</v>
      </c>
      <c r="BU300" s="8" t="s">
        <v>27</v>
      </c>
      <c r="BV300" s="8" t="s">
        <v>27</v>
      </c>
      <c r="BW300" s="8" t="s">
        <v>27</v>
      </c>
      <c r="BX300" s="8"/>
      <c r="BY300" s="8"/>
      <c r="BZ300" s="8"/>
      <c r="CA300" s="8"/>
      <c r="CB300" s="8"/>
      <c r="CC300" s="8"/>
      <c r="CD300" s="8" t="s">
        <v>27</v>
      </c>
      <c r="CE300" s="8" t="s">
        <v>27</v>
      </c>
      <c r="CF300" s="8" t="s">
        <v>114</v>
      </c>
      <c r="CG300" s="8" t="s">
        <v>115</v>
      </c>
    </row>
    <row r="301" spans="1:85" ht="15.75" customHeight="1" x14ac:dyDescent="0.35">
      <c r="A301" s="8">
        <v>294</v>
      </c>
      <c r="B301" s="8" t="s">
        <v>466</v>
      </c>
      <c r="C301" s="9">
        <v>5.0000000000000004E-6</v>
      </c>
      <c r="D301" s="9">
        <v>5.0000000000000004E-6</v>
      </c>
      <c r="E301" s="9">
        <v>8.7000000000000001E-5</v>
      </c>
      <c r="F301" s="9">
        <v>1.0900000000000001E-4</v>
      </c>
      <c r="G301" s="8"/>
      <c r="H301" s="8"/>
      <c r="I301" s="8"/>
      <c r="J301" s="8"/>
      <c r="K301" s="8"/>
      <c r="L301" s="8"/>
      <c r="M301" s="8"/>
      <c r="N301" s="10">
        <v>469700</v>
      </c>
      <c r="O301" s="10">
        <v>469700</v>
      </c>
      <c r="P301" s="10">
        <v>8061800</v>
      </c>
      <c r="Q301" s="10">
        <v>10080600</v>
      </c>
      <c r="R301" s="8"/>
      <c r="S301" s="8"/>
      <c r="T301" s="8"/>
      <c r="U301" s="8"/>
      <c r="V301" s="8"/>
      <c r="W301" s="8"/>
      <c r="X301" s="8"/>
      <c r="Y301" s="11">
        <v>0</v>
      </c>
      <c r="Z301" s="12">
        <v>-7592100</v>
      </c>
      <c r="AA301" s="12">
        <v>-2018800</v>
      </c>
      <c r="AB301" s="13">
        <v>10080600</v>
      </c>
      <c r="AC301" s="8"/>
      <c r="AD301" s="8"/>
      <c r="AE301" s="8"/>
      <c r="AF301" s="8"/>
      <c r="AG301" s="8"/>
      <c r="AH301" s="8"/>
      <c r="AI301" s="8"/>
      <c r="AJ301" s="10">
        <v>2670650701.8000002</v>
      </c>
      <c r="AK301" s="10">
        <v>2670650701.8000002</v>
      </c>
      <c r="AL301" s="10">
        <v>48773890014.300003</v>
      </c>
      <c r="AM301" s="10">
        <v>50024977500.849998</v>
      </c>
      <c r="AN301" s="8"/>
      <c r="AO301" s="8"/>
      <c r="AP301" s="8"/>
      <c r="AQ301" s="8"/>
      <c r="AR301" s="8"/>
      <c r="AS301" s="8"/>
      <c r="AT301" s="8"/>
      <c r="AU301" s="14">
        <v>45657</v>
      </c>
      <c r="AV301" s="14">
        <v>45657</v>
      </c>
      <c r="AW301" s="14">
        <v>45291</v>
      </c>
      <c r="AX301" s="14">
        <v>44926</v>
      </c>
      <c r="AY301" s="8"/>
      <c r="AZ301" s="8"/>
      <c r="BA301" s="8"/>
      <c r="BB301" s="8"/>
      <c r="BC301" s="8"/>
      <c r="BD301" s="8"/>
      <c r="BE301" s="8"/>
      <c r="BF301" s="8" t="s">
        <v>35</v>
      </c>
      <c r="BG301" s="8" t="s">
        <v>35</v>
      </c>
      <c r="BH301" s="8" t="s">
        <v>35</v>
      </c>
      <c r="BI301" s="8" t="s">
        <v>35</v>
      </c>
      <c r="BJ301" s="8"/>
      <c r="BK301" s="8"/>
      <c r="BL301" s="8"/>
      <c r="BM301" s="8"/>
      <c r="BN301" s="8"/>
      <c r="BO301" s="8"/>
      <c r="BP301" s="8"/>
      <c r="BQ301" s="8" t="s">
        <v>31</v>
      </c>
      <c r="BR301" s="8" t="s">
        <v>36</v>
      </c>
      <c r="BS301" s="10">
        <v>32976932141180.398</v>
      </c>
      <c r="BT301" s="8"/>
      <c r="BU301" s="8" t="s">
        <v>27</v>
      </c>
      <c r="BV301" s="8" t="s">
        <v>27</v>
      </c>
      <c r="BW301" s="8"/>
      <c r="BX301" s="8"/>
      <c r="BY301" s="8"/>
      <c r="BZ301" s="8"/>
      <c r="CA301" s="8"/>
      <c r="CB301" s="8"/>
      <c r="CC301" s="8"/>
      <c r="CD301" s="8"/>
      <c r="CE301" s="8"/>
      <c r="CF301" s="8" t="s">
        <v>65</v>
      </c>
      <c r="CG301" s="8" t="s">
        <v>65</v>
      </c>
    </row>
    <row r="302" spans="1:85" ht="15.75" customHeight="1" x14ac:dyDescent="0.35">
      <c r="A302" s="8">
        <v>295</v>
      </c>
      <c r="B302" s="8" t="s">
        <v>467</v>
      </c>
      <c r="C302" s="9">
        <v>5.0000000000000004E-6</v>
      </c>
      <c r="D302" s="9">
        <v>6.0000000000000002E-6</v>
      </c>
      <c r="E302" s="9">
        <v>6.9999999999999999E-6</v>
      </c>
      <c r="F302" s="9">
        <v>1.9999999999999999E-6</v>
      </c>
      <c r="G302" s="9">
        <v>0</v>
      </c>
      <c r="H302" s="9">
        <v>5.0000000000000004E-6</v>
      </c>
      <c r="I302" s="9">
        <v>3.9999999999999998E-6</v>
      </c>
      <c r="J302" s="8"/>
      <c r="K302" s="8"/>
      <c r="L302" s="8"/>
      <c r="M302" s="8"/>
      <c r="N302" s="10">
        <v>460000</v>
      </c>
      <c r="O302" s="10">
        <v>560000</v>
      </c>
      <c r="P302" s="10">
        <v>640000</v>
      </c>
      <c r="Q302" s="10">
        <v>200000</v>
      </c>
      <c r="R302" s="10">
        <v>0</v>
      </c>
      <c r="S302" s="10">
        <v>416000</v>
      </c>
      <c r="T302" s="10">
        <v>400000</v>
      </c>
      <c r="U302" s="8"/>
      <c r="V302" s="8"/>
      <c r="W302" s="8"/>
      <c r="X302" s="8"/>
      <c r="Y302" s="12">
        <v>-100000</v>
      </c>
      <c r="Z302" s="12">
        <v>-80000</v>
      </c>
      <c r="AA302" s="13">
        <v>440000</v>
      </c>
      <c r="AB302" s="13">
        <v>200000</v>
      </c>
      <c r="AC302" s="12">
        <v>-416000</v>
      </c>
      <c r="AD302" s="13">
        <v>16000</v>
      </c>
      <c r="AE302" s="13">
        <v>400000</v>
      </c>
      <c r="AF302" s="8"/>
      <c r="AG302" s="8"/>
      <c r="AH302" s="8"/>
      <c r="AI302" s="8"/>
      <c r="AJ302" s="10">
        <v>2249095945.8000002</v>
      </c>
      <c r="AK302" s="10">
        <v>3184084371.6999998</v>
      </c>
      <c r="AL302" s="10">
        <v>3871999990.8499999</v>
      </c>
      <c r="AM302" s="10">
        <v>992500045.89999998</v>
      </c>
      <c r="AN302" s="10">
        <v>0</v>
      </c>
      <c r="AO302" s="10">
        <v>1315599948</v>
      </c>
      <c r="AP302" s="10">
        <v>1530589101.2</v>
      </c>
      <c r="AQ302" s="8"/>
      <c r="AR302" s="8"/>
      <c r="AS302" s="8"/>
      <c r="AT302" s="8"/>
      <c r="AU302" s="14">
        <v>45838</v>
      </c>
      <c r="AV302" s="14">
        <v>45657</v>
      </c>
      <c r="AW302" s="14">
        <v>45291</v>
      </c>
      <c r="AX302" s="14">
        <v>44926</v>
      </c>
      <c r="AY302" s="14">
        <v>44377</v>
      </c>
      <c r="AZ302" s="14">
        <v>44196</v>
      </c>
      <c r="BA302" s="14">
        <v>43830</v>
      </c>
      <c r="BB302" s="8"/>
      <c r="BC302" s="8"/>
      <c r="BD302" s="8"/>
      <c r="BE302" s="8"/>
      <c r="BF302" s="8" t="s">
        <v>35</v>
      </c>
      <c r="BG302" s="8" t="s">
        <v>35</v>
      </c>
      <c r="BH302" s="8" t="s">
        <v>35</v>
      </c>
      <c r="BI302" s="8" t="s">
        <v>35</v>
      </c>
      <c r="BJ302" s="8" t="s">
        <v>35</v>
      </c>
      <c r="BK302" s="8" t="s">
        <v>35</v>
      </c>
      <c r="BL302" s="8" t="s">
        <v>35</v>
      </c>
      <c r="BM302" s="8"/>
      <c r="BN302" s="8"/>
      <c r="BO302" s="8"/>
      <c r="BP302" s="8"/>
      <c r="BQ302" s="8" t="s">
        <v>31</v>
      </c>
      <c r="BR302" s="8" t="s">
        <v>36</v>
      </c>
      <c r="BS302" s="10">
        <v>1165702916379.6001</v>
      </c>
      <c r="BT302" s="8"/>
      <c r="BU302" s="8"/>
      <c r="BV302" s="8" t="s">
        <v>27</v>
      </c>
      <c r="BW302" s="8" t="s">
        <v>42</v>
      </c>
      <c r="BX302" s="8" t="s">
        <v>42</v>
      </c>
      <c r="BY302" s="8" t="s">
        <v>27</v>
      </c>
      <c r="BZ302" s="8" t="s">
        <v>43</v>
      </c>
      <c r="CA302" s="8" t="s">
        <v>42</v>
      </c>
      <c r="CB302" s="8"/>
      <c r="CC302" s="8"/>
      <c r="CD302" s="8"/>
      <c r="CE302" s="8"/>
      <c r="CF302" s="8" t="s">
        <v>468</v>
      </c>
      <c r="CG302" s="8" t="s">
        <v>469</v>
      </c>
    </row>
    <row r="303" spans="1:85" ht="15.75" customHeight="1" x14ac:dyDescent="0.35">
      <c r="A303" s="8">
        <v>296</v>
      </c>
      <c r="B303" s="8" t="s">
        <v>470</v>
      </c>
      <c r="C303" s="9">
        <v>5.0000000000000004E-6</v>
      </c>
      <c r="D303" s="9">
        <v>5.0000000000000004E-6</v>
      </c>
      <c r="E303" s="9">
        <v>5.0000000000000004E-6</v>
      </c>
      <c r="F303" s="9">
        <v>4.6999999999999997E-5</v>
      </c>
      <c r="G303" s="9">
        <v>9.8999999999999994E-5</v>
      </c>
      <c r="H303" s="9">
        <v>8.3999999999999995E-5</v>
      </c>
      <c r="I303" s="9">
        <v>1E-4</v>
      </c>
      <c r="J303" s="9">
        <v>6.4999999999999994E-5</v>
      </c>
      <c r="K303" s="9">
        <v>5.3999999999999998E-5</v>
      </c>
      <c r="L303" s="9">
        <v>5.3000000000000001E-5</v>
      </c>
      <c r="M303" s="9">
        <v>6.0999999999999999E-5</v>
      </c>
      <c r="N303" s="10">
        <v>451000</v>
      </c>
      <c r="O303" s="10">
        <v>451000</v>
      </c>
      <c r="P303" s="10">
        <v>507400</v>
      </c>
      <c r="Q303" s="10">
        <v>4378800</v>
      </c>
      <c r="R303" s="10">
        <v>9147200</v>
      </c>
      <c r="S303" s="10">
        <v>7735800</v>
      </c>
      <c r="T303" s="10">
        <v>9250400</v>
      </c>
      <c r="U303" s="10">
        <v>6006200</v>
      </c>
      <c r="V303" s="10">
        <v>4954200</v>
      </c>
      <c r="W303" s="10">
        <v>4887200</v>
      </c>
      <c r="X303" s="10">
        <v>5602000</v>
      </c>
      <c r="Y303" s="11">
        <v>0</v>
      </c>
      <c r="Z303" s="12">
        <v>-56400</v>
      </c>
      <c r="AA303" s="12">
        <v>-3871400</v>
      </c>
      <c r="AB303" s="12">
        <v>-4768400</v>
      </c>
      <c r="AC303" s="13">
        <v>1411400</v>
      </c>
      <c r="AD303" s="12">
        <v>-1514600</v>
      </c>
      <c r="AE303" s="13">
        <v>3244200</v>
      </c>
      <c r="AF303" s="13">
        <v>1052000</v>
      </c>
      <c r="AG303" s="13">
        <v>67000</v>
      </c>
      <c r="AH303" s="12">
        <v>-714800</v>
      </c>
      <c r="AI303" s="13">
        <v>55200</v>
      </c>
      <c r="AJ303" s="10">
        <v>3284066211.9000001</v>
      </c>
      <c r="AK303" s="10">
        <v>3284066211.9000001</v>
      </c>
      <c r="AL303" s="10">
        <v>3069769927.75</v>
      </c>
      <c r="AM303" s="10">
        <v>21729794995.700001</v>
      </c>
      <c r="AN303" s="10">
        <v>32095754940</v>
      </c>
      <c r="AO303" s="10">
        <v>24464467497.599998</v>
      </c>
      <c r="AP303" s="10">
        <v>35396403044.400002</v>
      </c>
      <c r="AQ303" s="10">
        <v>21873962406.25</v>
      </c>
      <c r="AR303" s="10">
        <v>19816800031.900002</v>
      </c>
      <c r="AS303" s="10">
        <v>14142334979.700001</v>
      </c>
      <c r="AT303" s="10">
        <v>12959325506.85</v>
      </c>
      <c r="AU303" s="14">
        <v>45596</v>
      </c>
      <c r="AV303" s="14">
        <v>45596</v>
      </c>
      <c r="AW303" s="14">
        <v>45291</v>
      </c>
      <c r="AX303" s="14">
        <v>44926</v>
      </c>
      <c r="AY303" s="14">
        <v>44561</v>
      </c>
      <c r="AZ303" s="14">
        <v>44196</v>
      </c>
      <c r="BA303" s="14">
        <v>43830</v>
      </c>
      <c r="BB303" s="14">
        <v>43465</v>
      </c>
      <c r="BC303" s="14">
        <v>43100</v>
      </c>
      <c r="BD303" s="14">
        <v>42735</v>
      </c>
      <c r="BE303" s="14">
        <v>42369</v>
      </c>
      <c r="BF303" s="8" t="s">
        <v>35</v>
      </c>
      <c r="BG303" s="8" t="s">
        <v>35</v>
      </c>
      <c r="BH303" s="8" t="s">
        <v>35</v>
      </c>
      <c r="BI303" s="8" t="s">
        <v>35</v>
      </c>
      <c r="BJ303" s="8" t="s">
        <v>35</v>
      </c>
      <c r="BK303" s="8" t="s">
        <v>35</v>
      </c>
      <c r="BL303" s="8" t="s">
        <v>35</v>
      </c>
      <c r="BM303" s="8" t="s">
        <v>35</v>
      </c>
      <c r="BN303" s="8" t="s">
        <v>35</v>
      </c>
      <c r="BO303" s="8" t="s">
        <v>35</v>
      </c>
      <c r="BP303" s="8" t="s">
        <v>35</v>
      </c>
      <c r="BQ303" s="8" t="s">
        <v>31</v>
      </c>
      <c r="BR303" s="8" t="s">
        <v>49</v>
      </c>
      <c r="BS303" s="10">
        <v>1714718837397430</v>
      </c>
      <c r="BT303" s="8" t="s">
        <v>41</v>
      </c>
      <c r="BU303" s="8" t="s">
        <v>42</v>
      </c>
      <c r="BV303" s="8" t="s">
        <v>42</v>
      </c>
      <c r="BW303" s="8" t="s">
        <v>42</v>
      </c>
      <c r="BX303" s="8" t="s">
        <v>42</v>
      </c>
      <c r="BY303" s="8" t="s">
        <v>27</v>
      </c>
      <c r="BZ303" s="8" t="s">
        <v>42</v>
      </c>
      <c r="CA303" s="8" t="s">
        <v>42</v>
      </c>
      <c r="CB303" s="8" t="s">
        <v>42</v>
      </c>
      <c r="CC303" s="8" t="s">
        <v>27</v>
      </c>
      <c r="CD303" s="8" t="s">
        <v>27</v>
      </c>
      <c r="CE303" s="8" t="s">
        <v>42</v>
      </c>
      <c r="CF303" s="8" t="s">
        <v>82</v>
      </c>
      <c r="CG303" s="8" t="s">
        <v>39</v>
      </c>
    </row>
    <row r="304" spans="1:85" ht="15.75" customHeight="1" x14ac:dyDescent="0.35">
      <c r="A304" s="8">
        <v>297</v>
      </c>
      <c r="B304" s="8" t="s">
        <v>471</v>
      </c>
      <c r="C304" s="9">
        <v>5.0000000000000004E-6</v>
      </c>
      <c r="D304" s="9">
        <v>0</v>
      </c>
      <c r="E304" s="9">
        <v>0</v>
      </c>
      <c r="F304" s="9">
        <v>0</v>
      </c>
      <c r="G304" s="9">
        <v>9.9999999999999995E-7</v>
      </c>
      <c r="H304" s="9">
        <v>0</v>
      </c>
      <c r="I304" s="9">
        <v>0</v>
      </c>
      <c r="J304" s="9">
        <v>4.3000000000000002E-5</v>
      </c>
      <c r="K304" s="9">
        <v>0</v>
      </c>
      <c r="L304" s="9">
        <v>0</v>
      </c>
      <c r="M304" s="9">
        <v>3.0000000000000001E-6</v>
      </c>
      <c r="N304" s="10">
        <v>445001</v>
      </c>
      <c r="O304" s="10">
        <v>0</v>
      </c>
      <c r="P304" s="10">
        <v>0</v>
      </c>
      <c r="Q304" s="10">
        <v>0</v>
      </c>
      <c r="R304" s="10">
        <v>60000</v>
      </c>
      <c r="S304" s="10">
        <v>0</v>
      </c>
      <c r="T304" s="10">
        <v>0</v>
      </c>
      <c r="U304" s="10">
        <v>4000000</v>
      </c>
      <c r="V304" s="10">
        <v>0</v>
      </c>
      <c r="W304" s="10">
        <v>0</v>
      </c>
      <c r="X304" s="10">
        <v>316000</v>
      </c>
      <c r="Y304" s="13">
        <v>445001</v>
      </c>
      <c r="Z304" s="11">
        <v>0</v>
      </c>
      <c r="AA304" s="11">
        <v>0</v>
      </c>
      <c r="AB304" s="12">
        <v>-60000</v>
      </c>
      <c r="AC304" s="13">
        <v>60000</v>
      </c>
      <c r="AD304" s="11">
        <v>0</v>
      </c>
      <c r="AE304" s="12">
        <v>-4000000</v>
      </c>
      <c r="AF304" s="13">
        <v>4000000</v>
      </c>
      <c r="AG304" s="11">
        <v>0</v>
      </c>
      <c r="AH304" s="12">
        <v>-316000</v>
      </c>
      <c r="AI304" s="13">
        <v>200008</v>
      </c>
      <c r="AJ304" s="10">
        <v>2311213088.8000002</v>
      </c>
      <c r="AK304" s="10">
        <v>0</v>
      </c>
      <c r="AL304" s="10">
        <v>0</v>
      </c>
      <c r="AM304" s="10">
        <v>0</v>
      </c>
      <c r="AN304" s="10">
        <v>210528360</v>
      </c>
      <c r="AO304" s="10">
        <v>0</v>
      </c>
      <c r="AP304" s="10">
        <v>0</v>
      </c>
      <c r="AQ304" s="10">
        <v>14567588487.5</v>
      </c>
      <c r="AR304" s="10">
        <v>0</v>
      </c>
      <c r="AS304" s="10">
        <v>0</v>
      </c>
      <c r="AT304" s="10">
        <v>731015103.75</v>
      </c>
      <c r="AU304" s="14">
        <v>45747</v>
      </c>
      <c r="AV304" s="14">
        <v>45657</v>
      </c>
      <c r="AW304" s="14">
        <v>44834</v>
      </c>
      <c r="AX304" s="14">
        <v>44834</v>
      </c>
      <c r="AY304" s="14">
        <v>44561</v>
      </c>
      <c r="AZ304" s="14">
        <v>43555</v>
      </c>
      <c r="BA304" s="14">
        <v>43555</v>
      </c>
      <c r="BB304" s="14">
        <v>43465</v>
      </c>
      <c r="BC304" s="14">
        <v>42460</v>
      </c>
      <c r="BD304" s="14">
        <v>42460</v>
      </c>
      <c r="BE304" s="14">
        <v>42369</v>
      </c>
      <c r="BF304" s="8" t="s">
        <v>35</v>
      </c>
      <c r="BG304" s="8" t="s">
        <v>35</v>
      </c>
      <c r="BH304" s="8" t="s">
        <v>35</v>
      </c>
      <c r="BI304" s="8" t="s">
        <v>35</v>
      </c>
      <c r="BJ304" s="8" t="s">
        <v>35</v>
      </c>
      <c r="BK304" s="8" t="s">
        <v>35</v>
      </c>
      <c r="BL304" s="8" t="s">
        <v>35</v>
      </c>
      <c r="BM304" s="8" t="s">
        <v>35</v>
      </c>
      <c r="BN304" s="8" t="s">
        <v>35</v>
      </c>
      <c r="BO304" s="8" t="s">
        <v>35</v>
      </c>
      <c r="BP304" s="8" t="s">
        <v>35</v>
      </c>
      <c r="BQ304" s="8" t="s">
        <v>31</v>
      </c>
      <c r="BR304" s="8" t="s">
        <v>36</v>
      </c>
      <c r="BS304" s="10">
        <v>654704376493501</v>
      </c>
      <c r="BT304" s="8" t="s">
        <v>61</v>
      </c>
      <c r="BU304" s="8" t="s">
        <v>27</v>
      </c>
      <c r="BV304" s="8" t="s">
        <v>42</v>
      </c>
      <c r="BW304" s="8" t="s">
        <v>27</v>
      </c>
      <c r="BX304" s="8" t="s">
        <v>42</v>
      </c>
      <c r="BY304" s="8" t="s">
        <v>42</v>
      </c>
      <c r="BZ304" s="8" t="s">
        <v>42</v>
      </c>
      <c r="CA304" s="8" t="s">
        <v>27</v>
      </c>
      <c r="CB304" s="8" t="s">
        <v>42</v>
      </c>
      <c r="CC304" s="8" t="s">
        <v>42</v>
      </c>
      <c r="CD304" s="8" t="s">
        <v>27</v>
      </c>
      <c r="CE304" s="8" t="s">
        <v>42</v>
      </c>
      <c r="CF304" s="8" t="s">
        <v>301</v>
      </c>
      <c r="CG304" s="8" t="s">
        <v>302</v>
      </c>
    </row>
    <row r="305" spans="1:85" ht="15.75" customHeight="1" x14ac:dyDescent="0.35">
      <c r="A305" s="8">
        <v>298</v>
      </c>
      <c r="B305" s="8" t="s">
        <v>472</v>
      </c>
      <c r="C305" s="9">
        <v>5.0000000000000004E-6</v>
      </c>
      <c r="D305" s="9">
        <v>3.9999999999999998E-6</v>
      </c>
      <c r="E305" s="9">
        <v>3.0000000000000001E-6</v>
      </c>
      <c r="F305" s="9">
        <v>6.0000000000000002E-6</v>
      </c>
      <c r="G305" s="9">
        <v>0</v>
      </c>
      <c r="H305" s="9">
        <v>9.0000000000000002E-6</v>
      </c>
      <c r="I305" s="9">
        <v>4.0000000000000003E-5</v>
      </c>
      <c r="J305" s="9">
        <v>3.3000000000000003E-5</v>
      </c>
      <c r="K305" s="8"/>
      <c r="L305" s="8"/>
      <c r="M305" s="8"/>
      <c r="N305" s="10">
        <v>440395</v>
      </c>
      <c r="O305" s="10">
        <v>412649</v>
      </c>
      <c r="P305" s="10">
        <v>251790</v>
      </c>
      <c r="Q305" s="10">
        <v>534000</v>
      </c>
      <c r="R305" s="10">
        <v>0</v>
      </c>
      <c r="S305" s="10">
        <v>787400</v>
      </c>
      <c r="T305" s="10">
        <v>3711600</v>
      </c>
      <c r="U305" s="10">
        <v>3012400</v>
      </c>
      <c r="V305" s="8"/>
      <c r="W305" s="8"/>
      <c r="X305" s="8"/>
      <c r="Y305" s="13">
        <v>27746</v>
      </c>
      <c r="Z305" s="13">
        <v>160859</v>
      </c>
      <c r="AA305" s="12">
        <v>-282210</v>
      </c>
      <c r="AB305" s="13">
        <v>534000</v>
      </c>
      <c r="AC305" s="12">
        <v>-787400</v>
      </c>
      <c r="AD305" s="12">
        <v>-2924200</v>
      </c>
      <c r="AE305" s="13">
        <v>699200</v>
      </c>
      <c r="AF305" s="13">
        <v>3012400</v>
      </c>
      <c r="AG305" s="8"/>
      <c r="AH305" s="8"/>
      <c r="AI305" s="8"/>
      <c r="AJ305" s="10">
        <v>2153240429.6999998</v>
      </c>
      <c r="AK305" s="10">
        <v>2346266486.9000001</v>
      </c>
      <c r="AL305" s="10">
        <v>1523329553.8499999</v>
      </c>
      <c r="AM305" s="10">
        <v>2516474934.75</v>
      </c>
      <c r="AN305" s="10">
        <v>0</v>
      </c>
      <c r="AO305" s="10">
        <v>1952751970.4000001</v>
      </c>
      <c r="AP305" s="10">
        <v>12944204984.700001</v>
      </c>
      <c r="AQ305" s="10">
        <v>10129195075</v>
      </c>
      <c r="AR305" s="8"/>
      <c r="AS305" s="8"/>
      <c r="AT305" s="8"/>
      <c r="AU305" s="14">
        <v>45838</v>
      </c>
      <c r="AV305" s="14">
        <v>45657</v>
      </c>
      <c r="AW305" s="14">
        <v>45291</v>
      </c>
      <c r="AX305" s="14">
        <v>44834</v>
      </c>
      <c r="AY305" s="14">
        <v>44469</v>
      </c>
      <c r="AZ305" s="14">
        <v>44104</v>
      </c>
      <c r="BA305" s="14">
        <v>43738</v>
      </c>
      <c r="BB305" s="14">
        <v>43373</v>
      </c>
      <c r="BC305" s="8"/>
      <c r="BD305" s="8"/>
      <c r="BE305" s="8"/>
      <c r="BF305" s="8" t="s">
        <v>35</v>
      </c>
      <c r="BG305" s="8" t="s">
        <v>35</v>
      </c>
      <c r="BH305" s="8" t="s">
        <v>35</v>
      </c>
      <c r="BI305" s="8" t="s">
        <v>35</v>
      </c>
      <c r="BJ305" s="8" t="s">
        <v>35</v>
      </c>
      <c r="BK305" s="8" t="s">
        <v>35</v>
      </c>
      <c r="BL305" s="8" t="s">
        <v>35</v>
      </c>
      <c r="BM305" s="8" t="s">
        <v>35</v>
      </c>
      <c r="BN305" s="8"/>
      <c r="BO305" s="8"/>
      <c r="BP305" s="8"/>
      <c r="BQ305" s="8" t="s">
        <v>31</v>
      </c>
      <c r="BR305" s="8" t="s">
        <v>36</v>
      </c>
      <c r="BS305" s="10">
        <v>51294051048888</v>
      </c>
      <c r="BT305" s="8" t="s">
        <v>37</v>
      </c>
      <c r="BU305" s="8" t="s">
        <v>27</v>
      </c>
      <c r="BV305" s="8" t="s">
        <v>27</v>
      </c>
      <c r="BW305" s="8" t="s">
        <v>42</v>
      </c>
      <c r="BX305" s="8" t="s">
        <v>42</v>
      </c>
      <c r="BY305" s="8" t="s">
        <v>42</v>
      </c>
      <c r="BZ305" s="8" t="s">
        <v>27</v>
      </c>
      <c r="CA305" s="8" t="s">
        <v>27</v>
      </c>
      <c r="CB305" s="8" t="s">
        <v>27</v>
      </c>
      <c r="CC305" s="8"/>
      <c r="CD305" s="8"/>
      <c r="CE305" s="8"/>
      <c r="CF305" s="8" t="s">
        <v>473</v>
      </c>
      <c r="CG305" s="8" t="s">
        <v>474</v>
      </c>
    </row>
    <row r="306" spans="1:85" ht="15.75" customHeight="1" x14ac:dyDescent="0.35">
      <c r="A306" s="8">
        <v>299</v>
      </c>
      <c r="B306" s="8" t="s">
        <v>475</v>
      </c>
      <c r="C306" s="9">
        <v>5.0000000000000004E-6</v>
      </c>
      <c r="D306" s="9">
        <v>5.0000000000000004E-6</v>
      </c>
      <c r="E306" s="9">
        <v>5.0000000000000004E-6</v>
      </c>
      <c r="F306" s="9">
        <v>5.0000000000000004E-6</v>
      </c>
      <c r="G306" s="9">
        <v>5.0000000000000004E-6</v>
      </c>
      <c r="H306" s="9">
        <v>5.0000000000000004E-6</v>
      </c>
      <c r="I306" s="9">
        <v>6.0000000000000002E-6</v>
      </c>
      <c r="J306" s="9">
        <v>6.9999999999999999E-6</v>
      </c>
      <c r="K306" s="8"/>
      <c r="L306" s="8"/>
      <c r="M306" s="8"/>
      <c r="N306" s="10">
        <v>424700</v>
      </c>
      <c r="O306" s="10">
        <v>424700</v>
      </c>
      <c r="P306" s="10">
        <v>502000</v>
      </c>
      <c r="Q306" s="10">
        <v>502000</v>
      </c>
      <c r="R306" s="10">
        <v>502000</v>
      </c>
      <c r="S306" s="10">
        <v>499800</v>
      </c>
      <c r="T306" s="10">
        <v>516000</v>
      </c>
      <c r="U306" s="10">
        <v>638000</v>
      </c>
      <c r="V306" s="8"/>
      <c r="W306" s="8"/>
      <c r="X306" s="8"/>
      <c r="Y306" s="11">
        <v>0</v>
      </c>
      <c r="Z306" s="12">
        <v>-77300</v>
      </c>
      <c r="AA306" s="11">
        <v>0</v>
      </c>
      <c r="AB306" s="11">
        <v>0</v>
      </c>
      <c r="AC306" s="13">
        <v>2200</v>
      </c>
      <c r="AD306" s="12">
        <v>-16200</v>
      </c>
      <c r="AE306" s="12">
        <v>-122000</v>
      </c>
      <c r="AF306" s="13">
        <v>638000</v>
      </c>
      <c r="AG306" s="8"/>
      <c r="AH306" s="8"/>
      <c r="AI306" s="8"/>
      <c r="AJ306" s="10">
        <v>2026657162.95</v>
      </c>
      <c r="AK306" s="10">
        <v>2414786878.1999998</v>
      </c>
      <c r="AL306" s="10">
        <v>3037100044.3000002</v>
      </c>
      <c r="AM306" s="10">
        <v>2491174981.3499999</v>
      </c>
      <c r="AN306" s="10">
        <v>1761420840</v>
      </c>
      <c r="AO306" s="10">
        <v>1580617443.5999999</v>
      </c>
      <c r="AP306" s="10">
        <v>1974459980.8</v>
      </c>
      <c r="AQ306" s="10">
        <v>2323530293.75</v>
      </c>
      <c r="AR306" s="8"/>
      <c r="AS306" s="8"/>
      <c r="AT306" s="8"/>
      <c r="AU306" s="14">
        <v>45900</v>
      </c>
      <c r="AV306" s="14">
        <v>45657</v>
      </c>
      <c r="AW306" s="14">
        <v>45291</v>
      </c>
      <c r="AX306" s="14">
        <v>44926</v>
      </c>
      <c r="AY306" s="14">
        <v>44561</v>
      </c>
      <c r="AZ306" s="14">
        <v>44196</v>
      </c>
      <c r="BA306" s="14">
        <v>43830</v>
      </c>
      <c r="BB306" s="14">
        <v>43465</v>
      </c>
      <c r="BC306" s="8"/>
      <c r="BD306" s="8"/>
      <c r="BE306" s="8"/>
      <c r="BF306" s="8" t="s">
        <v>35</v>
      </c>
      <c r="BG306" s="8" t="s">
        <v>35</v>
      </c>
      <c r="BH306" s="8" t="s">
        <v>35</v>
      </c>
      <c r="BI306" s="8" t="s">
        <v>35</v>
      </c>
      <c r="BJ306" s="8" t="s">
        <v>35</v>
      </c>
      <c r="BK306" s="8" t="s">
        <v>35</v>
      </c>
      <c r="BL306" s="8" t="s">
        <v>35</v>
      </c>
      <c r="BM306" s="8" t="s">
        <v>35</v>
      </c>
      <c r="BN306" s="8"/>
      <c r="BO306" s="8"/>
      <c r="BP306" s="8"/>
      <c r="BQ306" s="8" t="s">
        <v>31</v>
      </c>
      <c r="BR306" s="8" t="s">
        <v>36</v>
      </c>
      <c r="BS306" s="10">
        <v>391028196744730</v>
      </c>
      <c r="BT306" s="8" t="s">
        <v>37</v>
      </c>
      <c r="BU306" s="8" t="s">
        <v>27</v>
      </c>
      <c r="BV306" s="8" t="s">
        <v>27</v>
      </c>
      <c r="BW306" s="8" t="s">
        <v>27</v>
      </c>
      <c r="BX306" s="8" t="s">
        <v>42</v>
      </c>
      <c r="BY306" s="8" t="s">
        <v>27</v>
      </c>
      <c r="BZ306" s="8" t="s">
        <v>27</v>
      </c>
      <c r="CA306" s="8" t="s">
        <v>27</v>
      </c>
      <c r="CB306" s="8" t="s">
        <v>27</v>
      </c>
      <c r="CC306" s="8"/>
      <c r="CD306" s="8"/>
      <c r="CE306" s="8"/>
      <c r="CF306" s="8" t="s">
        <v>476</v>
      </c>
      <c r="CG306" s="8" t="s">
        <v>39</v>
      </c>
    </row>
    <row r="307" spans="1:85" ht="15.75" customHeight="1" x14ac:dyDescent="0.35">
      <c r="A307" s="8">
        <v>300</v>
      </c>
      <c r="B307" s="8" t="s">
        <v>477</v>
      </c>
      <c r="C307" s="9">
        <v>3.9999999999999998E-6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10">
        <v>411842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13">
        <v>411842</v>
      </c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10">
        <v>1811561085.5999999</v>
      </c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14">
        <v>45930</v>
      </c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 t="s">
        <v>35</v>
      </c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 t="s">
        <v>31</v>
      </c>
      <c r="BR307" s="8" t="s">
        <v>36</v>
      </c>
      <c r="BS307" s="10">
        <v>206859040027230</v>
      </c>
      <c r="BT307" s="8" t="s">
        <v>57</v>
      </c>
      <c r="BU307" s="8" t="s">
        <v>27</v>
      </c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 t="s">
        <v>373</v>
      </c>
      <c r="CG307" s="8" t="s">
        <v>181</v>
      </c>
    </row>
    <row r="308" spans="1:85" ht="15.75" customHeight="1" x14ac:dyDescent="0.35">
      <c r="A308" s="8">
        <v>301</v>
      </c>
      <c r="B308" s="8" t="s">
        <v>478</v>
      </c>
      <c r="C308" s="9">
        <v>3.9999999999999998E-6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10">
        <v>404435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13">
        <v>404435</v>
      </c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10">
        <v>1778980123.2</v>
      </c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14">
        <v>45930</v>
      </c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 t="s">
        <v>35</v>
      </c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 t="s">
        <v>31</v>
      </c>
      <c r="BR308" s="8" t="s">
        <v>49</v>
      </c>
      <c r="BS308" s="10">
        <v>129633050452696</v>
      </c>
      <c r="BT308" s="8" t="s">
        <v>41</v>
      </c>
      <c r="BU308" s="8" t="s">
        <v>27</v>
      </c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 t="s">
        <v>114</v>
      </c>
      <c r="CG308" s="8" t="s">
        <v>115</v>
      </c>
    </row>
    <row r="309" spans="1:85" ht="15.75" hidden="1" customHeight="1" x14ac:dyDescent="0.35">
      <c r="A309" s="8">
        <v>302</v>
      </c>
      <c r="B309" s="8" t="s">
        <v>479</v>
      </c>
      <c r="C309" s="9">
        <v>3.9999999999999998E-6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10">
        <v>403400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13">
        <v>403400</v>
      </c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10">
        <v>1774427445</v>
      </c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14">
        <v>45930</v>
      </c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 t="s">
        <v>201</v>
      </c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 t="s">
        <v>25</v>
      </c>
      <c r="BR309" s="8" t="s">
        <v>202</v>
      </c>
      <c r="BS309" s="10">
        <v>2027045840.4000001</v>
      </c>
      <c r="BT309" s="8"/>
      <c r="BU309" s="8" t="s">
        <v>27</v>
      </c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 t="s">
        <v>29</v>
      </c>
    </row>
    <row r="310" spans="1:85" ht="15.75" customHeight="1" x14ac:dyDescent="0.35">
      <c r="A310" s="8">
        <v>303</v>
      </c>
      <c r="B310" s="8" t="s">
        <v>480</v>
      </c>
      <c r="C310" s="9">
        <v>3.9999999999999998E-6</v>
      </c>
      <c r="D310" s="9">
        <v>3.9999999999999998E-6</v>
      </c>
      <c r="E310" s="8"/>
      <c r="F310" s="8"/>
      <c r="G310" s="8"/>
      <c r="H310" s="8"/>
      <c r="I310" s="8"/>
      <c r="J310" s="8"/>
      <c r="K310" s="8"/>
      <c r="L310" s="8"/>
      <c r="M310" s="8"/>
      <c r="N310" s="10">
        <v>397600</v>
      </c>
      <c r="O310" s="10">
        <v>397600</v>
      </c>
      <c r="P310" s="8"/>
      <c r="Q310" s="8"/>
      <c r="R310" s="8"/>
      <c r="S310" s="8"/>
      <c r="T310" s="8"/>
      <c r="U310" s="8"/>
      <c r="V310" s="8"/>
      <c r="W310" s="8"/>
      <c r="X310" s="8"/>
      <c r="Y310" s="11">
        <v>0</v>
      </c>
      <c r="Z310" s="13">
        <v>397600</v>
      </c>
      <c r="AA310" s="8"/>
      <c r="AB310" s="8"/>
      <c r="AC310" s="8"/>
      <c r="AD310" s="8"/>
      <c r="AE310" s="8"/>
      <c r="AF310" s="8"/>
      <c r="AG310" s="8"/>
      <c r="AH310" s="8"/>
      <c r="AI310" s="8"/>
      <c r="AJ310" s="10">
        <v>2345840055.9000001</v>
      </c>
      <c r="AK310" s="10">
        <v>2345840055.9000001</v>
      </c>
      <c r="AL310" s="8"/>
      <c r="AM310" s="8"/>
      <c r="AN310" s="8"/>
      <c r="AO310" s="8"/>
      <c r="AP310" s="8"/>
      <c r="AQ310" s="8"/>
      <c r="AR310" s="8"/>
      <c r="AS310" s="8"/>
      <c r="AT310" s="8"/>
      <c r="AU310" s="14">
        <v>45443</v>
      </c>
      <c r="AV310" s="14">
        <v>45443</v>
      </c>
      <c r="AW310" s="8"/>
      <c r="AX310" s="8"/>
      <c r="AY310" s="8"/>
      <c r="AZ310" s="8"/>
      <c r="BA310" s="8"/>
      <c r="BB310" s="8"/>
      <c r="BC310" s="8"/>
      <c r="BD310" s="8"/>
      <c r="BE310" s="8"/>
      <c r="BF310" s="8" t="s">
        <v>35</v>
      </c>
      <c r="BG310" s="8" t="s">
        <v>35</v>
      </c>
      <c r="BH310" s="8"/>
      <c r="BI310" s="8"/>
      <c r="BJ310" s="8"/>
      <c r="BK310" s="8"/>
      <c r="BL310" s="8"/>
      <c r="BM310" s="8"/>
      <c r="BN310" s="8"/>
      <c r="BO310" s="8"/>
      <c r="BP310" s="8"/>
      <c r="BQ310" s="8" t="s">
        <v>31</v>
      </c>
      <c r="BR310" s="8" t="s">
        <v>49</v>
      </c>
      <c r="BS310" s="10">
        <v>475228654307730</v>
      </c>
      <c r="BT310" s="8" t="s">
        <v>41</v>
      </c>
      <c r="BU310" s="8" t="s">
        <v>27</v>
      </c>
      <c r="BV310" s="8" t="s">
        <v>27</v>
      </c>
      <c r="BW310" s="8"/>
      <c r="BX310" s="8"/>
      <c r="BY310" s="8"/>
      <c r="BZ310" s="8"/>
      <c r="CA310" s="8"/>
      <c r="CB310" s="8"/>
      <c r="CC310" s="8"/>
      <c r="CD310" s="8"/>
      <c r="CE310" s="8"/>
      <c r="CF310" s="8" t="s">
        <v>481</v>
      </c>
      <c r="CG310" s="8" t="s">
        <v>146</v>
      </c>
    </row>
    <row r="311" spans="1:85" ht="15.75" customHeight="1" x14ac:dyDescent="0.35">
      <c r="A311" s="8">
        <v>304</v>
      </c>
      <c r="B311" s="8" t="s">
        <v>482</v>
      </c>
      <c r="C311" s="9">
        <v>3.9999999999999998E-6</v>
      </c>
      <c r="D311" s="9">
        <v>6.0000000000000002E-6</v>
      </c>
      <c r="E311" s="9">
        <v>3.0000000000000001E-6</v>
      </c>
      <c r="F311" s="9">
        <v>3.0000000000000001E-6</v>
      </c>
      <c r="G311" s="8"/>
      <c r="H311" s="8"/>
      <c r="I311" s="8"/>
      <c r="J311" s="8"/>
      <c r="K311" s="8"/>
      <c r="L311" s="8"/>
      <c r="M311" s="8"/>
      <c r="N311" s="10">
        <v>396500</v>
      </c>
      <c r="O311" s="10">
        <v>509400</v>
      </c>
      <c r="P311" s="10">
        <v>261200</v>
      </c>
      <c r="Q311" s="10">
        <v>261200</v>
      </c>
      <c r="R311" s="8"/>
      <c r="S311" s="8"/>
      <c r="T311" s="8"/>
      <c r="U311" s="8"/>
      <c r="V311" s="8"/>
      <c r="W311" s="8"/>
      <c r="X311" s="8"/>
      <c r="Y311" s="12">
        <v>-112900</v>
      </c>
      <c r="Z311" s="13">
        <v>248200</v>
      </c>
      <c r="AA311" s="11">
        <v>0</v>
      </c>
      <c r="AB311" s="13">
        <v>261200</v>
      </c>
      <c r="AC311" s="8"/>
      <c r="AD311" s="8"/>
      <c r="AE311" s="8"/>
      <c r="AF311" s="8"/>
      <c r="AG311" s="8"/>
      <c r="AH311" s="8"/>
      <c r="AI311" s="8"/>
      <c r="AJ311" s="10">
        <v>1892087635.2</v>
      </c>
      <c r="AK311" s="10">
        <v>2896379564.4000001</v>
      </c>
      <c r="AL311" s="10">
        <v>1580259955.95</v>
      </c>
      <c r="AM311" s="10">
        <v>1296204948.5</v>
      </c>
      <c r="AN311" s="8"/>
      <c r="AO311" s="8"/>
      <c r="AP311" s="8"/>
      <c r="AQ311" s="8"/>
      <c r="AR311" s="8"/>
      <c r="AS311" s="8"/>
      <c r="AT311" s="8"/>
      <c r="AU311" s="14">
        <v>45900</v>
      </c>
      <c r="AV311" s="14">
        <v>45657</v>
      </c>
      <c r="AW311" s="14">
        <v>45291</v>
      </c>
      <c r="AX311" s="14">
        <v>44926</v>
      </c>
      <c r="AY311" s="8"/>
      <c r="AZ311" s="8"/>
      <c r="BA311" s="8"/>
      <c r="BB311" s="8"/>
      <c r="BC311" s="8"/>
      <c r="BD311" s="8"/>
      <c r="BE311" s="8"/>
      <c r="BF311" s="8" t="s">
        <v>35</v>
      </c>
      <c r="BG311" s="8" t="s">
        <v>35</v>
      </c>
      <c r="BH311" s="8" t="s">
        <v>35</v>
      </c>
      <c r="BI311" s="8" t="s">
        <v>35</v>
      </c>
      <c r="BJ311" s="8"/>
      <c r="BK311" s="8"/>
      <c r="BL311" s="8"/>
      <c r="BM311" s="8"/>
      <c r="BN311" s="8"/>
      <c r="BO311" s="8"/>
      <c r="BP311" s="8"/>
      <c r="BQ311" s="8" t="s">
        <v>31</v>
      </c>
      <c r="BR311" s="8" t="s">
        <v>36</v>
      </c>
      <c r="BS311" s="10">
        <v>111982144067638</v>
      </c>
      <c r="BT311" s="8" t="s">
        <v>61</v>
      </c>
      <c r="BU311" s="8" t="s">
        <v>42</v>
      </c>
      <c r="BV311" s="8" t="s">
        <v>42</v>
      </c>
      <c r="BW311" s="8" t="s">
        <v>43</v>
      </c>
      <c r="BX311" s="8" t="s">
        <v>43</v>
      </c>
      <c r="BY311" s="8"/>
      <c r="BZ311" s="8"/>
      <c r="CA311" s="8"/>
      <c r="CB311" s="8"/>
      <c r="CC311" s="8"/>
      <c r="CD311" s="8"/>
      <c r="CE311" s="8"/>
      <c r="CF311" s="8" t="s">
        <v>382</v>
      </c>
      <c r="CG311" s="8" t="s">
        <v>383</v>
      </c>
    </row>
    <row r="312" spans="1:85" ht="15.75" customHeight="1" x14ac:dyDescent="0.35">
      <c r="A312" s="8">
        <v>305</v>
      </c>
      <c r="B312" s="8" t="s">
        <v>483</v>
      </c>
      <c r="C312" s="9">
        <v>3.9999999999999998E-6</v>
      </c>
      <c r="D312" s="9">
        <v>3.9999999999999998E-6</v>
      </c>
      <c r="E312" s="8"/>
      <c r="F312" s="8"/>
      <c r="G312" s="8"/>
      <c r="H312" s="8"/>
      <c r="I312" s="8"/>
      <c r="J312" s="8"/>
      <c r="K312" s="8"/>
      <c r="L312" s="8"/>
      <c r="M312" s="8"/>
      <c r="N312" s="10">
        <v>396000</v>
      </c>
      <c r="O312" s="10">
        <v>396000</v>
      </c>
      <c r="P312" s="8"/>
      <c r="Q312" s="8"/>
      <c r="R312" s="8"/>
      <c r="S312" s="8"/>
      <c r="T312" s="8"/>
      <c r="U312" s="8"/>
      <c r="V312" s="8"/>
      <c r="W312" s="8"/>
      <c r="X312" s="8"/>
      <c r="Y312" s="11">
        <v>0</v>
      </c>
      <c r="Z312" s="13">
        <v>396000</v>
      </c>
      <c r="AA312" s="8"/>
      <c r="AB312" s="8"/>
      <c r="AC312" s="8"/>
      <c r="AD312" s="8"/>
      <c r="AE312" s="8"/>
      <c r="AF312" s="8"/>
      <c r="AG312" s="8"/>
      <c r="AH312" s="8"/>
      <c r="AI312" s="8"/>
      <c r="AJ312" s="10">
        <v>2871000052.5</v>
      </c>
      <c r="AK312" s="10">
        <v>2871000052.5</v>
      </c>
      <c r="AL312" s="8"/>
      <c r="AM312" s="8"/>
      <c r="AN312" s="8"/>
      <c r="AO312" s="8"/>
      <c r="AP312" s="8"/>
      <c r="AQ312" s="8"/>
      <c r="AR312" s="8"/>
      <c r="AS312" s="8"/>
      <c r="AT312" s="8"/>
      <c r="AU312" s="14">
        <v>45382</v>
      </c>
      <c r="AV312" s="14">
        <v>45382</v>
      </c>
      <c r="AW312" s="8"/>
      <c r="AX312" s="8"/>
      <c r="AY312" s="8"/>
      <c r="AZ312" s="8"/>
      <c r="BA312" s="8"/>
      <c r="BB312" s="8"/>
      <c r="BC312" s="8"/>
      <c r="BD312" s="8"/>
      <c r="BE312" s="8"/>
      <c r="BF312" s="8" t="s">
        <v>35</v>
      </c>
      <c r="BG312" s="8" t="s">
        <v>35</v>
      </c>
      <c r="BH312" s="8"/>
      <c r="BI312" s="8"/>
      <c r="BJ312" s="8"/>
      <c r="BK312" s="8"/>
      <c r="BL312" s="8"/>
      <c r="BM312" s="8"/>
      <c r="BN312" s="8"/>
      <c r="BO312" s="8"/>
      <c r="BP312" s="8"/>
      <c r="BQ312" s="8" t="s">
        <v>31</v>
      </c>
      <c r="BR312" s="8" t="s">
        <v>160</v>
      </c>
      <c r="BS312" s="10">
        <v>14435874428134.801</v>
      </c>
      <c r="BT312" s="8" t="s">
        <v>57</v>
      </c>
      <c r="BU312" s="8" t="s">
        <v>27</v>
      </c>
      <c r="BV312" s="8" t="s">
        <v>27</v>
      </c>
      <c r="BW312" s="8"/>
      <c r="BX312" s="8"/>
      <c r="BY312" s="8"/>
      <c r="BZ312" s="8"/>
      <c r="CA312" s="8"/>
      <c r="CB312" s="8"/>
      <c r="CC312" s="8"/>
      <c r="CD312" s="8"/>
      <c r="CE312" s="8"/>
      <c r="CF312" s="8" t="s">
        <v>391</v>
      </c>
      <c r="CG312" s="8" t="s">
        <v>99</v>
      </c>
    </row>
    <row r="313" spans="1:85" ht="15.75" customHeight="1" x14ac:dyDescent="0.35">
      <c r="A313" s="8">
        <v>306</v>
      </c>
      <c r="B313" s="8" t="s">
        <v>484</v>
      </c>
      <c r="C313" s="9">
        <v>3.9999999999999998E-6</v>
      </c>
      <c r="D313" s="9">
        <v>3.9999999999999998E-6</v>
      </c>
      <c r="E313" s="9">
        <v>3.0000000000000001E-6</v>
      </c>
      <c r="F313" s="9">
        <v>1.9999999999999999E-6</v>
      </c>
      <c r="G313" s="9">
        <v>1.9999999999999999E-6</v>
      </c>
      <c r="H313" s="9">
        <v>9.9999999999999995E-7</v>
      </c>
      <c r="I313" s="9">
        <v>9.9999999999999995E-7</v>
      </c>
      <c r="J313" s="8"/>
      <c r="K313" s="8"/>
      <c r="L313" s="8"/>
      <c r="M313" s="8"/>
      <c r="N313" s="10">
        <v>391935</v>
      </c>
      <c r="O313" s="10">
        <v>391935</v>
      </c>
      <c r="P313" s="10">
        <v>278131</v>
      </c>
      <c r="Q313" s="10">
        <v>192186</v>
      </c>
      <c r="R313" s="10">
        <v>195684</v>
      </c>
      <c r="S313" s="10">
        <v>113610</v>
      </c>
      <c r="T313" s="10">
        <v>74836</v>
      </c>
      <c r="U313" s="8"/>
      <c r="V313" s="8"/>
      <c r="W313" s="8"/>
      <c r="X313" s="8"/>
      <c r="Y313" s="11">
        <v>0</v>
      </c>
      <c r="Z313" s="13">
        <v>113804</v>
      </c>
      <c r="AA313" s="13">
        <v>85945</v>
      </c>
      <c r="AB313" s="12">
        <v>-3498</v>
      </c>
      <c r="AC313" s="13">
        <v>82074</v>
      </c>
      <c r="AD313" s="13">
        <v>38774</v>
      </c>
      <c r="AE313" s="13">
        <v>74836</v>
      </c>
      <c r="AF313" s="8"/>
      <c r="AG313" s="8"/>
      <c r="AH313" s="8"/>
      <c r="AI313" s="8"/>
      <c r="AJ313" s="10">
        <v>2406601929.5999999</v>
      </c>
      <c r="AK313" s="10">
        <v>2406601929.5999999</v>
      </c>
      <c r="AL313" s="10">
        <v>1627066325.8499999</v>
      </c>
      <c r="AM313" s="10">
        <v>1011378754.1</v>
      </c>
      <c r="AN313" s="10">
        <v>684893952.79999995</v>
      </c>
      <c r="AO313" s="10">
        <v>359291618.39999998</v>
      </c>
      <c r="AP313" s="10">
        <v>260990577</v>
      </c>
      <c r="AQ313" s="8"/>
      <c r="AR313" s="8"/>
      <c r="AS313" s="8"/>
      <c r="AT313" s="8"/>
      <c r="AU313" s="14">
        <v>45626</v>
      </c>
      <c r="AV313" s="14">
        <v>45626</v>
      </c>
      <c r="AW313" s="14">
        <v>45260</v>
      </c>
      <c r="AX313" s="14">
        <v>44895</v>
      </c>
      <c r="AY313" s="14">
        <v>44530</v>
      </c>
      <c r="AZ313" s="14">
        <v>44165</v>
      </c>
      <c r="BA313" s="14">
        <v>43799</v>
      </c>
      <c r="BB313" s="8"/>
      <c r="BC313" s="8"/>
      <c r="BD313" s="8"/>
      <c r="BE313" s="8"/>
      <c r="BF313" s="8" t="s">
        <v>35</v>
      </c>
      <c r="BG313" s="8" t="s">
        <v>35</v>
      </c>
      <c r="BH313" s="8" t="s">
        <v>35</v>
      </c>
      <c r="BI313" s="8" t="s">
        <v>35</v>
      </c>
      <c r="BJ313" s="8" t="s">
        <v>35</v>
      </c>
      <c r="BK313" s="8" t="s">
        <v>35</v>
      </c>
      <c r="BL313" s="8" t="s">
        <v>35</v>
      </c>
      <c r="BM313" s="8"/>
      <c r="BN313" s="8"/>
      <c r="BO313" s="8"/>
      <c r="BP313" s="8"/>
      <c r="BQ313" s="8" t="s">
        <v>31</v>
      </c>
      <c r="BR313" s="8" t="s">
        <v>36</v>
      </c>
      <c r="BS313" s="10">
        <v>397851302199130</v>
      </c>
      <c r="BT313" s="8" t="s">
        <v>41</v>
      </c>
      <c r="BU313" s="8" t="s">
        <v>27</v>
      </c>
      <c r="BV313" s="8" t="s">
        <v>27</v>
      </c>
      <c r="BW313" s="8" t="s">
        <v>27</v>
      </c>
      <c r="BX313" s="8" t="s">
        <v>27</v>
      </c>
      <c r="BY313" s="8" t="s">
        <v>27</v>
      </c>
      <c r="BZ313" s="8" t="s">
        <v>27</v>
      </c>
      <c r="CA313" s="8" t="s">
        <v>27</v>
      </c>
      <c r="CB313" s="8"/>
      <c r="CC313" s="8"/>
      <c r="CD313" s="8"/>
      <c r="CE313" s="8"/>
      <c r="CF313" s="8" t="s">
        <v>180</v>
      </c>
      <c r="CG313" s="8" t="s">
        <v>181</v>
      </c>
    </row>
    <row r="314" spans="1:85" ht="15.75" customHeight="1" x14ac:dyDescent="0.35">
      <c r="A314" s="8">
        <v>307</v>
      </c>
      <c r="B314" s="8" t="s">
        <v>485</v>
      </c>
      <c r="C314" s="9">
        <v>3.9999999999999998E-6</v>
      </c>
      <c r="D314" s="9">
        <v>6.0000000000000002E-6</v>
      </c>
      <c r="E314" s="9">
        <v>2.3E-5</v>
      </c>
      <c r="F314" s="9">
        <v>2.5000000000000001E-5</v>
      </c>
      <c r="G314" s="9">
        <v>6.9999999999999999E-6</v>
      </c>
      <c r="H314" s="9">
        <v>3.1999999999999999E-5</v>
      </c>
      <c r="I314" s="9">
        <v>0</v>
      </c>
      <c r="J314" s="8"/>
      <c r="K314" s="9">
        <v>0</v>
      </c>
      <c r="L314" s="9">
        <v>0</v>
      </c>
      <c r="M314" s="9">
        <v>0</v>
      </c>
      <c r="N314" s="10">
        <v>385400</v>
      </c>
      <c r="O314" s="10">
        <v>550565</v>
      </c>
      <c r="P314" s="10">
        <v>2169512</v>
      </c>
      <c r="Q314" s="10">
        <v>2352930</v>
      </c>
      <c r="R314" s="10">
        <v>628980</v>
      </c>
      <c r="S314" s="10">
        <v>2963200</v>
      </c>
      <c r="T314" s="10">
        <v>0</v>
      </c>
      <c r="U314" s="8"/>
      <c r="V314" s="10">
        <v>0</v>
      </c>
      <c r="W314" s="10">
        <v>0</v>
      </c>
      <c r="X314" s="10">
        <v>0</v>
      </c>
      <c r="Y314" s="12">
        <v>-165165</v>
      </c>
      <c r="Z314" s="12">
        <v>-1618947</v>
      </c>
      <c r="AA314" s="12">
        <v>-183418</v>
      </c>
      <c r="AB314" s="13">
        <v>1723950</v>
      </c>
      <c r="AC314" s="12">
        <v>-2334220</v>
      </c>
      <c r="AD314" s="13">
        <v>2963200</v>
      </c>
      <c r="AE314" s="11">
        <v>0</v>
      </c>
      <c r="AF314" s="8"/>
      <c r="AG314" s="11">
        <v>0</v>
      </c>
      <c r="AH314" s="11">
        <v>0</v>
      </c>
      <c r="AI314" s="11">
        <v>0</v>
      </c>
      <c r="AJ314" s="10">
        <v>1695251294.8</v>
      </c>
      <c r="AK314" s="10">
        <v>3130438220</v>
      </c>
      <c r="AL314" s="10">
        <v>13125547614.5</v>
      </c>
      <c r="AM314" s="10">
        <v>11676415194.950001</v>
      </c>
      <c r="AN314" s="10">
        <v>2206969177.5</v>
      </c>
      <c r="AO314" s="10">
        <v>9371120007.6000004</v>
      </c>
      <c r="AP314" s="10">
        <v>0</v>
      </c>
      <c r="AQ314" s="8"/>
      <c r="AR314" s="10">
        <v>0</v>
      </c>
      <c r="AS314" s="10">
        <v>0</v>
      </c>
      <c r="AT314" s="10">
        <v>0</v>
      </c>
      <c r="AU314" s="14">
        <v>45930</v>
      </c>
      <c r="AV314" s="14">
        <v>45657</v>
      </c>
      <c r="AW314" s="14">
        <v>45291</v>
      </c>
      <c r="AX314" s="14">
        <v>44926</v>
      </c>
      <c r="AY314" s="14">
        <v>44561</v>
      </c>
      <c r="AZ314" s="14">
        <v>44196</v>
      </c>
      <c r="BA314" s="14">
        <v>43738</v>
      </c>
      <c r="BB314" s="8"/>
      <c r="BC314" s="14">
        <v>42582</v>
      </c>
      <c r="BD314" s="14">
        <v>42582</v>
      </c>
      <c r="BE314" s="14">
        <v>41943</v>
      </c>
      <c r="BF314" s="8" t="s">
        <v>35</v>
      </c>
      <c r="BG314" s="8" t="s">
        <v>35</v>
      </c>
      <c r="BH314" s="8" t="s">
        <v>35</v>
      </c>
      <c r="BI314" s="8" t="s">
        <v>35</v>
      </c>
      <c r="BJ314" s="8" t="s">
        <v>35</v>
      </c>
      <c r="BK314" s="8" t="s">
        <v>35</v>
      </c>
      <c r="BL314" s="8" t="s">
        <v>35</v>
      </c>
      <c r="BM314" s="8"/>
      <c r="BN314" s="8" t="s">
        <v>35</v>
      </c>
      <c r="BO314" s="8" t="s">
        <v>35</v>
      </c>
      <c r="BP314" s="8" t="s">
        <v>35</v>
      </c>
      <c r="BQ314" s="8" t="s">
        <v>31</v>
      </c>
      <c r="BR314" s="8" t="s">
        <v>36</v>
      </c>
      <c r="BS314" s="10">
        <v>1148197403626970</v>
      </c>
      <c r="BT314" s="8" t="s">
        <v>41</v>
      </c>
      <c r="BU314" s="8" t="s">
        <v>27</v>
      </c>
      <c r="BV314" s="8" t="s">
        <v>27</v>
      </c>
      <c r="BW314" s="8" t="s">
        <v>27</v>
      </c>
      <c r="BX314" s="8" t="s">
        <v>27</v>
      </c>
      <c r="BY314" s="8" t="s">
        <v>42</v>
      </c>
      <c r="BZ314" s="8" t="s">
        <v>42</v>
      </c>
      <c r="CA314" s="8" t="s">
        <v>42</v>
      </c>
      <c r="CB314" s="8"/>
      <c r="CC314" s="8" t="s">
        <v>27</v>
      </c>
      <c r="CD314" s="8" t="s">
        <v>27</v>
      </c>
      <c r="CE314" s="8" t="s">
        <v>27</v>
      </c>
      <c r="CF314" s="8" t="s">
        <v>388</v>
      </c>
      <c r="CG314" s="8" t="s">
        <v>39</v>
      </c>
    </row>
    <row r="315" spans="1:85" ht="15.75" customHeight="1" x14ac:dyDescent="0.35">
      <c r="A315" s="8">
        <v>308</v>
      </c>
      <c r="B315" s="8" t="s">
        <v>486</v>
      </c>
      <c r="C315" s="9">
        <v>3.9999999999999998E-6</v>
      </c>
      <c r="D315" s="9">
        <v>4.6999999999999997E-5</v>
      </c>
      <c r="E315" s="9">
        <v>5.0000000000000004E-6</v>
      </c>
      <c r="F315" s="9">
        <v>5.0000000000000004E-6</v>
      </c>
      <c r="G315" s="8"/>
      <c r="H315" s="8"/>
      <c r="I315" s="8"/>
      <c r="J315" s="8"/>
      <c r="K315" s="8"/>
      <c r="L315" s="8"/>
      <c r="M315" s="8"/>
      <c r="N315" s="10">
        <v>382700</v>
      </c>
      <c r="O315" s="10">
        <v>4385900</v>
      </c>
      <c r="P315" s="10">
        <v>450300</v>
      </c>
      <c r="Q315" s="10">
        <v>456800</v>
      </c>
      <c r="R315" s="8"/>
      <c r="S315" s="8"/>
      <c r="T315" s="8"/>
      <c r="U315" s="8"/>
      <c r="V315" s="8"/>
      <c r="W315" s="8"/>
      <c r="X315" s="8"/>
      <c r="Y315" s="12">
        <v>-4003200</v>
      </c>
      <c r="Z315" s="13">
        <v>3935600</v>
      </c>
      <c r="AA315" s="12">
        <v>-6500</v>
      </c>
      <c r="AB315" s="13">
        <v>456800</v>
      </c>
      <c r="AC315" s="8"/>
      <c r="AD315" s="8"/>
      <c r="AE315" s="8"/>
      <c r="AF315" s="8"/>
      <c r="AG315" s="8"/>
      <c r="AH315" s="8"/>
      <c r="AI315" s="8"/>
      <c r="AJ315" s="10">
        <v>1871150045.7</v>
      </c>
      <c r="AK315" s="10">
        <v>24937634686.299999</v>
      </c>
      <c r="AL315" s="10">
        <v>2724315056.8499999</v>
      </c>
      <c r="AM315" s="10">
        <v>2266869945.4499998</v>
      </c>
      <c r="AN315" s="8"/>
      <c r="AO315" s="8"/>
      <c r="AP315" s="8"/>
      <c r="AQ315" s="8"/>
      <c r="AR315" s="8"/>
      <c r="AS315" s="8"/>
      <c r="AT315" s="8"/>
      <c r="AU315" s="14">
        <v>45838</v>
      </c>
      <c r="AV315" s="14">
        <v>45657</v>
      </c>
      <c r="AW315" s="14">
        <v>45291</v>
      </c>
      <c r="AX315" s="14">
        <v>44926</v>
      </c>
      <c r="AY315" s="8"/>
      <c r="AZ315" s="8"/>
      <c r="BA315" s="8"/>
      <c r="BB315" s="8"/>
      <c r="BC315" s="8"/>
      <c r="BD315" s="8"/>
      <c r="BE315" s="8"/>
      <c r="BF315" s="8" t="s">
        <v>35</v>
      </c>
      <c r="BG315" s="8" t="s">
        <v>35</v>
      </c>
      <c r="BH315" s="8" t="s">
        <v>35</v>
      </c>
      <c r="BI315" s="8" t="s">
        <v>35</v>
      </c>
      <c r="BJ315" s="8"/>
      <c r="BK315" s="8"/>
      <c r="BL315" s="8"/>
      <c r="BM315" s="8"/>
      <c r="BN315" s="8"/>
      <c r="BO315" s="8"/>
      <c r="BP315" s="8"/>
      <c r="BQ315" s="8" t="s">
        <v>31</v>
      </c>
      <c r="BR315" s="8" t="s">
        <v>36</v>
      </c>
      <c r="BS315" s="10">
        <v>193595004435120</v>
      </c>
      <c r="BT315" s="8"/>
      <c r="BU315" s="8" t="s">
        <v>27</v>
      </c>
      <c r="BV315" s="8" t="s">
        <v>42</v>
      </c>
      <c r="BW315" s="8" t="s">
        <v>43</v>
      </c>
      <c r="BX315" s="8" t="s">
        <v>42</v>
      </c>
      <c r="BY315" s="8"/>
      <c r="BZ315" s="8"/>
      <c r="CA315" s="8"/>
      <c r="CB315" s="8"/>
      <c r="CC315" s="8"/>
      <c r="CD315" s="8"/>
      <c r="CE315" s="8"/>
      <c r="CF315" s="8" t="s">
        <v>145</v>
      </c>
      <c r="CG315" s="8" t="s">
        <v>146</v>
      </c>
    </row>
    <row r="316" spans="1:85" ht="15.75" hidden="1" customHeight="1" x14ac:dyDescent="0.35">
      <c r="A316" s="8">
        <v>309</v>
      </c>
      <c r="B316" s="8" t="s">
        <v>487</v>
      </c>
      <c r="C316" s="9">
        <v>3.9999999999999998E-6</v>
      </c>
      <c r="D316" s="9">
        <v>3.9999999999999998E-6</v>
      </c>
      <c r="E316" s="8"/>
      <c r="F316" s="8"/>
      <c r="G316" s="8"/>
      <c r="H316" s="8"/>
      <c r="I316" s="8"/>
      <c r="J316" s="8"/>
      <c r="K316" s="8"/>
      <c r="L316" s="8"/>
      <c r="M316" s="8"/>
      <c r="N316" s="10">
        <v>370000</v>
      </c>
      <c r="O316" s="10">
        <v>370000</v>
      </c>
      <c r="P316" s="8"/>
      <c r="Q316" s="8"/>
      <c r="R316" s="8"/>
      <c r="S316" s="8"/>
      <c r="T316" s="8"/>
      <c r="U316" s="8"/>
      <c r="V316" s="8"/>
      <c r="W316" s="8"/>
      <c r="X316" s="8"/>
      <c r="Y316" s="11">
        <v>0</v>
      </c>
      <c r="Z316" s="13">
        <v>370000</v>
      </c>
      <c r="AA316" s="8"/>
      <c r="AB316" s="8"/>
      <c r="AC316" s="8"/>
      <c r="AD316" s="8"/>
      <c r="AE316" s="8"/>
      <c r="AF316" s="8"/>
      <c r="AG316" s="8"/>
      <c r="AH316" s="8"/>
      <c r="AI316" s="8"/>
      <c r="AJ316" s="10">
        <v>1627511568.2</v>
      </c>
      <c r="AK316" s="10">
        <v>2103769913.5</v>
      </c>
      <c r="AL316" s="8"/>
      <c r="AM316" s="8"/>
      <c r="AN316" s="8"/>
      <c r="AO316" s="8"/>
      <c r="AP316" s="8"/>
      <c r="AQ316" s="8"/>
      <c r="AR316" s="8"/>
      <c r="AS316" s="8"/>
      <c r="AT316" s="8"/>
      <c r="AU316" s="14">
        <v>45930</v>
      </c>
      <c r="AV316" s="14">
        <v>45657</v>
      </c>
      <c r="AW316" s="8"/>
      <c r="AX316" s="8"/>
      <c r="AY316" s="8"/>
      <c r="AZ316" s="8"/>
      <c r="BA316" s="8"/>
      <c r="BB316" s="8"/>
      <c r="BC316" s="8"/>
      <c r="BD316" s="8"/>
      <c r="BE316" s="8"/>
      <c r="BF316" s="8" t="s">
        <v>201</v>
      </c>
      <c r="BG316" s="8" t="s">
        <v>201</v>
      </c>
      <c r="BH316" s="8"/>
      <c r="BI316" s="8"/>
      <c r="BJ316" s="8"/>
      <c r="BK316" s="8"/>
      <c r="BL316" s="8"/>
      <c r="BM316" s="8"/>
      <c r="BN316" s="8"/>
      <c r="BO316" s="8"/>
      <c r="BP316" s="8"/>
      <c r="BQ316" s="8" t="s">
        <v>25</v>
      </c>
      <c r="BR316" s="8" t="s">
        <v>202</v>
      </c>
      <c r="BS316" s="10">
        <v>1859214015.5999999</v>
      </c>
      <c r="BT316" s="8"/>
      <c r="BU316" s="8" t="s">
        <v>27</v>
      </c>
      <c r="BV316" s="8" t="s">
        <v>27</v>
      </c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 t="s">
        <v>29</v>
      </c>
    </row>
    <row r="317" spans="1:85" ht="15.75" customHeight="1" x14ac:dyDescent="0.35">
      <c r="A317" s="8">
        <v>310</v>
      </c>
      <c r="B317" s="8" t="s">
        <v>488</v>
      </c>
      <c r="C317" s="9">
        <v>3.9999999999999998E-6</v>
      </c>
      <c r="D317" s="9">
        <v>3.9999999999999998E-6</v>
      </c>
      <c r="E317" s="9">
        <v>3.9999999999999998E-6</v>
      </c>
      <c r="F317" s="9">
        <v>1.7E-5</v>
      </c>
      <c r="G317" s="9">
        <v>1.2999999999999999E-5</v>
      </c>
      <c r="H317" s="8"/>
      <c r="I317" s="8"/>
      <c r="J317" s="8"/>
      <c r="K317" s="8"/>
      <c r="L317" s="8"/>
      <c r="M317" s="8"/>
      <c r="N317" s="10">
        <v>358206</v>
      </c>
      <c r="O317" s="10">
        <v>358206</v>
      </c>
      <c r="P317" s="10">
        <v>379791</v>
      </c>
      <c r="Q317" s="10">
        <v>1585592</v>
      </c>
      <c r="R317" s="10">
        <v>1175164</v>
      </c>
      <c r="S317" s="8"/>
      <c r="T317" s="8"/>
      <c r="U317" s="8"/>
      <c r="V317" s="8"/>
      <c r="W317" s="8"/>
      <c r="X317" s="8"/>
      <c r="Y317" s="11">
        <v>0</v>
      </c>
      <c r="Z317" s="12">
        <v>-21585</v>
      </c>
      <c r="AA317" s="12">
        <v>-1205801</v>
      </c>
      <c r="AB317" s="13">
        <v>410428</v>
      </c>
      <c r="AC317" s="13">
        <v>1175164</v>
      </c>
      <c r="AD317" s="8"/>
      <c r="AE317" s="8"/>
      <c r="AF317" s="8"/>
      <c r="AG317" s="8"/>
      <c r="AH317" s="8"/>
      <c r="AI317" s="8"/>
      <c r="AJ317" s="10">
        <v>2471621352.4499998</v>
      </c>
      <c r="AK317" s="10">
        <v>2471621352.4499998</v>
      </c>
      <c r="AL317" s="10">
        <v>2155313952.8000002</v>
      </c>
      <c r="AM317" s="10">
        <v>8363997732</v>
      </c>
      <c r="AN317" s="10">
        <v>4215900903.3000002</v>
      </c>
      <c r="AO317" s="8"/>
      <c r="AP317" s="8"/>
      <c r="AQ317" s="8"/>
      <c r="AR317" s="8"/>
      <c r="AS317" s="8"/>
      <c r="AT317" s="8"/>
      <c r="AU317" s="14">
        <v>45412</v>
      </c>
      <c r="AV317" s="14">
        <v>45412</v>
      </c>
      <c r="AW317" s="14">
        <v>45230</v>
      </c>
      <c r="AX317" s="14">
        <v>44865</v>
      </c>
      <c r="AY317" s="14">
        <v>44500</v>
      </c>
      <c r="AZ317" s="8"/>
      <c r="BA317" s="8"/>
      <c r="BB317" s="8"/>
      <c r="BC317" s="8"/>
      <c r="BD317" s="8"/>
      <c r="BE317" s="8"/>
      <c r="BF317" s="8" t="s">
        <v>35</v>
      </c>
      <c r="BG317" s="8" t="s">
        <v>35</v>
      </c>
      <c r="BH317" s="8" t="s">
        <v>35</v>
      </c>
      <c r="BI317" s="8" t="s">
        <v>35</v>
      </c>
      <c r="BJ317" s="8" t="s">
        <v>35</v>
      </c>
      <c r="BK317" s="8"/>
      <c r="BL317" s="8"/>
      <c r="BM317" s="8"/>
      <c r="BN317" s="8"/>
      <c r="BO317" s="8"/>
      <c r="BP317" s="8"/>
      <c r="BQ317" s="8" t="s">
        <v>31</v>
      </c>
      <c r="BR317" s="8" t="s">
        <v>49</v>
      </c>
      <c r="BS317" s="10">
        <v>363880823268212</v>
      </c>
      <c r="BT317" s="8" t="s">
        <v>57</v>
      </c>
      <c r="BU317" s="8" t="s">
        <v>27</v>
      </c>
      <c r="BV317" s="8" t="s">
        <v>27</v>
      </c>
      <c r="BW317" s="8" t="s">
        <v>27</v>
      </c>
      <c r="BX317" s="8" t="s">
        <v>27</v>
      </c>
      <c r="BY317" s="8" t="s">
        <v>42</v>
      </c>
      <c r="BZ317" s="8"/>
      <c r="CA317" s="8"/>
      <c r="CB317" s="8"/>
      <c r="CC317" s="8"/>
      <c r="CD317" s="8"/>
      <c r="CE317" s="8"/>
      <c r="CF317" s="8" t="s">
        <v>82</v>
      </c>
      <c r="CG317" s="8" t="s">
        <v>39</v>
      </c>
    </row>
    <row r="318" spans="1:85" ht="15.75" customHeight="1" x14ac:dyDescent="0.35">
      <c r="A318" s="8">
        <v>311</v>
      </c>
      <c r="B318" s="8" t="s">
        <v>489</v>
      </c>
      <c r="C318" s="9">
        <v>3.9999999999999998E-6</v>
      </c>
      <c r="D318" s="9">
        <v>3.9999999999999998E-6</v>
      </c>
      <c r="E318" s="9">
        <v>3.0000000000000001E-6</v>
      </c>
      <c r="F318" s="9">
        <v>1.9999999999999999E-6</v>
      </c>
      <c r="G318" s="9">
        <v>9.9999999999999995E-7</v>
      </c>
      <c r="H318" s="8"/>
      <c r="I318" s="8"/>
      <c r="J318" s="8"/>
      <c r="K318" s="8"/>
      <c r="L318" s="8"/>
      <c r="M318" s="8"/>
      <c r="N318" s="10">
        <v>356463</v>
      </c>
      <c r="O318" s="10">
        <v>335144</v>
      </c>
      <c r="P318" s="10">
        <v>231974</v>
      </c>
      <c r="Q318" s="10">
        <v>161116</v>
      </c>
      <c r="R318" s="10">
        <v>68652</v>
      </c>
      <c r="S318" s="8"/>
      <c r="T318" s="8"/>
      <c r="U318" s="8"/>
      <c r="V318" s="8"/>
      <c r="W318" s="8"/>
      <c r="X318" s="8"/>
      <c r="Y318" s="13">
        <v>21319</v>
      </c>
      <c r="Z318" s="13">
        <v>103170</v>
      </c>
      <c r="AA318" s="13">
        <v>70858</v>
      </c>
      <c r="AB318" s="13">
        <v>92464</v>
      </c>
      <c r="AC318" s="13">
        <v>68652</v>
      </c>
      <c r="AD318" s="8"/>
      <c r="AE318" s="8"/>
      <c r="AF318" s="8"/>
      <c r="AG318" s="8"/>
      <c r="AH318" s="8"/>
      <c r="AI318" s="8"/>
      <c r="AJ318" s="10">
        <v>1701032090.0999999</v>
      </c>
      <c r="AK318" s="10">
        <v>1905583430.2</v>
      </c>
      <c r="AL318" s="10">
        <v>1403442684.8</v>
      </c>
      <c r="AM318" s="10">
        <v>799538094.85000002</v>
      </c>
      <c r="AN318" s="10">
        <v>240886560</v>
      </c>
      <c r="AO318" s="8"/>
      <c r="AP318" s="8"/>
      <c r="AQ318" s="8"/>
      <c r="AR318" s="8"/>
      <c r="AS318" s="8"/>
      <c r="AT318" s="8"/>
      <c r="AU318" s="14">
        <v>45900</v>
      </c>
      <c r="AV318" s="14">
        <v>45657</v>
      </c>
      <c r="AW318" s="14">
        <v>45291</v>
      </c>
      <c r="AX318" s="14">
        <v>44926</v>
      </c>
      <c r="AY318" s="14">
        <v>44561</v>
      </c>
      <c r="AZ318" s="8"/>
      <c r="BA318" s="8"/>
      <c r="BB318" s="8"/>
      <c r="BC318" s="8"/>
      <c r="BD318" s="8"/>
      <c r="BE318" s="8"/>
      <c r="BF318" s="8" t="s">
        <v>35</v>
      </c>
      <c r="BG318" s="8" t="s">
        <v>35</v>
      </c>
      <c r="BH318" s="8" t="s">
        <v>35</v>
      </c>
      <c r="BI318" s="8" t="s">
        <v>35</v>
      </c>
      <c r="BJ318" s="8" t="s">
        <v>35</v>
      </c>
      <c r="BK318" s="8"/>
      <c r="BL318" s="8"/>
      <c r="BM318" s="8"/>
      <c r="BN318" s="8"/>
      <c r="BO318" s="8"/>
      <c r="BP318" s="8"/>
      <c r="BQ318" s="8" t="s">
        <v>31</v>
      </c>
      <c r="BR318" s="8" t="s">
        <v>36</v>
      </c>
      <c r="BS318" s="10">
        <v>14632029945943.199</v>
      </c>
      <c r="BT318" s="8"/>
      <c r="BU318" s="8" t="s">
        <v>27</v>
      </c>
      <c r="BV318" s="8" t="s">
        <v>27</v>
      </c>
      <c r="BW318" s="8" t="s">
        <v>42</v>
      </c>
      <c r="BX318" s="8" t="s">
        <v>42</v>
      </c>
      <c r="BY318" s="8" t="s">
        <v>43</v>
      </c>
      <c r="BZ318" s="8"/>
      <c r="CA318" s="8"/>
      <c r="CB318" s="8"/>
      <c r="CC318" s="8"/>
      <c r="CD318" s="8"/>
      <c r="CE318" s="8"/>
      <c r="CF318" s="8" t="s">
        <v>50</v>
      </c>
      <c r="CG318" s="8" t="s">
        <v>51</v>
      </c>
    </row>
    <row r="319" spans="1:85" ht="15.75" customHeight="1" x14ac:dyDescent="0.35">
      <c r="A319" s="8">
        <v>312</v>
      </c>
      <c r="B319" s="8" t="s">
        <v>490</v>
      </c>
      <c r="C319" s="9">
        <v>3.9999999999999998E-6</v>
      </c>
      <c r="D319" s="9">
        <v>3.9999999999999998E-6</v>
      </c>
      <c r="E319" s="9">
        <v>9.9999999999999995E-7</v>
      </c>
      <c r="F319" s="8"/>
      <c r="G319" s="8"/>
      <c r="H319" s="8"/>
      <c r="I319" s="8"/>
      <c r="J319" s="8"/>
      <c r="K319" s="8"/>
      <c r="L319" s="8"/>
      <c r="M319" s="8"/>
      <c r="N319" s="10">
        <v>355957</v>
      </c>
      <c r="O319" s="10">
        <v>355957</v>
      </c>
      <c r="P319" s="10">
        <v>69812</v>
      </c>
      <c r="Q319" s="8"/>
      <c r="R319" s="8"/>
      <c r="S319" s="8"/>
      <c r="T319" s="8"/>
      <c r="U319" s="8"/>
      <c r="V319" s="8"/>
      <c r="W319" s="8"/>
      <c r="X319" s="8"/>
      <c r="Y319" s="11">
        <v>0</v>
      </c>
      <c r="Z319" s="13">
        <v>286145</v>
      </c>
      <c r="AA319" s="13">
        <v>69812</v>
      </c>
      <c r="AB319" s="8"/>
      <c r="AC319" s="8"/>
      <c r="AD319" s="8"/>
      <c r="AE319" s="8"/>
      <c r="AF319" s="8"/>
      <c r="AG319" s="8"/>
      <c r="AH319" s="8"/>
      <c r="AI319" s="8"/>
      <c r="AJ319" s="10">
        <v>2023923449.4000001</v>
      </c>
      <c r="AK319" s="10">
        <v>2023923449.4000001</v>
      </c>
      <c r="AL319" s="10">
        <v>408400149.5</v>
      </c>
      <c r="AM319" s="8"/>
      <c r="AN319" s="8"/>
      <c r="AO319" s="8"/>
      <c r="AP319" s="8"/>
      <c r="AQ319" s="8"/>
      <c r="AR319" s="8"/>
      <c r="AS319" s="8"/>
      <c r="AT319" s="8"/>
      <c r="AU319" s="14">
        <v>45657</v>
      </c>
      <c r="AV319" s="14">
        <v>45657</v>
      </c>
      <c r="AW319" s="14">
        <v>45260</v>
      </c>
      <c r="AX319" s="8"/>
      <c r="AY319" s="8"/>
      <c r="AZ319" s="8"/>
      <c r="BA319" s="8"/>
      <c r="BB319" s="8"/>
      <c r="BC319" s="8"/>
      <c r="BD319" s="8"/>
      <c r="BE319" s="8"/>
      <c r="BF319" s="8" t="s">
        <v>35</v>
      </c>
      <c r="BG319" s="8" t="s">
        <v>35</v>
      </c>
      <c r="BH319" s="8" t="s">
        <v>35</v>
      </c>
      <c r="BI319" s="8"/>
      <c r="BJ319" s="8"/>
      <c r="BK319" s="8"/>
      <c r="BL319" s="8"/>
      <c r="BM319" s="8"/>
      <c r="BN319" s="8"/>
      <c r="BO319" s="8"/>
      <c r="BP319" s="8"/>
      <c r="BQ319" s="8" t="s">
        <v>31</v>
      </c>
      <c r="BR319" s="8" t="s">
        <v>36</v>
      </c>
      <c r="BS319" s="10">
        <v>175479918850373</v>
      </c>
      <c r="BT319" s="8" t="s">
        <v>46</v>
      </c>
      <c r="BU319" s="8" t="s">
        <v>42</v>
      </c>
      <c r="BV319" s="8" t="s">
        <v>27</v>
      </c>
      <c r="BW319" s="8" t="s">
        <v>43</v>
      </c>
      <c r="BX319" s="8"/>
      <c r="BY319" s="8"/>
      <c r="BZ319" s="8"/>
      <c r="CA319" s="8"/>
      <c r="CB319" s="8"/>
      <c r="CC319" s="8"/>
      <c r="CD319" s="8"/>
      <c r="CE319" s="8"/>
      <c r="CF319" s="8" t="s">
        <v>70</v>
      </c>
      <c r="CG319" s="8" t="s">
        <v>71</v>
      </c>
    </row>
    <row r="320" spans="1:85" ht="15.75" customHeight="1" x14ac:dyDescent="0.35">
      <c r="A320" s="8">
        <v>313</v>
      </c>
      <c r="B320" s="8" t="s">
        <v>491</v>
      </c>
      <c r="C320" s="9">
        <v>3.9999999999999998E-6</v>
      </c>
      <c r="D320" s="9">
        <v>3.9999999999999998E-6</v>
      </c>
      <c r="E320" s="9">
        <v>6.0000000000000002E-6</v>
      </c>
      <c r="F320" s="8"/>
      <c r="G320" s="8"/>
      <c r="H320" s="8"/>
      <c r="I320" s="8"/>
      <c r="J320" s="8"/>
      <c r="K320" s="8"/>
      <c r="L320" s="8"/>
      <c r="M320" s="8"/>
      <c r="N320" s="10">
        <v>355733</v>
      </c>
      <c r="O320" s="10">
        <v>355733</v>
      </c>
      <c r="P320" s="10">
        <v>526182</v>
      </c>
      <c r="Q320" s="8"/>
      <c r="R320" s="8"/>
      <c r="S320" s="8"/>
      <c r="T320" s="8"/>
      <c r="U320" s="8"/>
      <c r="V320" s="8"/>
      <c r="W320" s="8"/>
      <c r="X320" s="8"/>
      <c r="Y320" s="11">
        <v>0</v>
      </c>
      <c r="Z320" s="12">
        <v>-170449</v>
      </c>
      <c r="AA320" s="13">
        <v>526182</v>
      </c>
      <c r="AB320" s="8"/>
      <c r="AC320" s="8"/>
      <c r="AD320" s="8"/>
      <c r="AE320" s="8"/>
      <c r="AF320" s="8"/>
      <c r="AG320" s="8"/>
      <c r="AH320" s="8"/>
      <c r="AI320" s="8"/>
      <c r="AJ320" s="10">
        <v>2098824759</v>
      </c>
      <c r="AK320" s="10">
        <v>2098824759</v>
      </c>
      <c r="AL320" s="10">
        <v>2657219170.9499998</v>
      </c>
      <c r="AM320" s="8"/>
      <c r="AN320" s="8"/>
      <c r="AO320" s="8"/>
      <c r="AP320" s="8"/>
      <c r="AQ320" s="8"/>
      <c r="AR320" s="8"/>
      <c r="AS320" s="8"/>
      <c r="AT320" s="8"/>
      <c r="AU320" s="14">
        <v>45443</v>
      </c>
      <c r="AV320" s="14">
        <v>45443</v>
      </c>
      <c r="AW320" s="14">
        <v>45077</v>
      </c>
      <c r="AX320" s="8"/>
      <c r="AY320" s="8"/>
      <c r="AZ320" s="8"/>
      <c r="BA320" s="8"/>
      <c r="BB320" s="8"/>
      <c r="BC320" s="8"/>
      <c r="BD320" s="8"/>
      <c r="BE320" s="8"/>
      <c r="BF320" s="8" t="s">
        <v>35</v>
      </c>
      <c r="BG320" s="8" t="s">
        <v>35</v>
      </c>
      <c r="BH320" s="8" t="s">
        <v>35</v>
      </c>
      <c r="BI320" s="8"/>
      <c r="BJ320" s="8"/>
      <c r="BK320" s="8"/>
      <c r="BL320" s="8"/>
      <c r="BM320" s="8"/>
      <c r="BN320" s="8"/>
      <c r="BO320" s="8"/>
      <c r="BP320" s="8"/>
      <c r="BQ320" s="8" t="s">
        <v>31</v>
      </c>
      <c r="BR320" s="8" t="s">
        <v>101</v>
      </c>
      <c r="BS320" s="10">
        <v>7148738431543.2002</v>
      </c>
      <c r="BT320" s="8" t="s">
        <v>101</v>
      </c>
      <c r="BU320" s="8"/>
      <c r="BV320" s="8" t="s">
        <v>42</v>
      </c>
      <c r="BW320" s="8" t="s">
        <v>27</v>
      </c>
      <c r="BX320" s="8"/>
      <c r="BY320" s="8"/>
      <c r="BZ320" s="8"/>
      <c r="CA320" s="8"/>
      <c r="CB320" s="8"/>
      <c r="CC320" s="8"/>
      <c r="CD320" s="8"/>
      <c r="CE320" s="8"/>
      <c r="CF320" s="8" t="s">
        <v>492</v>
      </c>
      <c r="CG320" s="8" t="s">
        <v>71</v>
      </c>
    </row>
    <row r="321" spans="1:85" ht="15.75" hidden="1" customHeight="1" x14ac:dyDescent="0.35">
      <c r="A321" s="8">
        <v>314</v>
      </c>
      <c r="B321" s="8" t="s">
        <v>493</v>
      </c>
      <c r="C321" s="9">
        <v>3.9999999999999998E-6</v>
      </c>
      <c r="D321" s="9">
        <v>3.9999999999999998E-6</v>
      </c>
      <c r="E321" s="8"/>
      <c r="F321" s="8"/>
      <c r="G321" s="8"/>
      <c r="H321" s="8"/>
      <c r="I321" s="8"/>
      <c r="J321" s="8"/>
      <c r="K321" s="8"/>
      <c r="L321" s="8"/>
      <c r="M321" s="8"/>
      <c r="N321" s="10">
        <v>344800</v>
      </c>
      <c r="O321" s="10">
        <v>344800</v>
      </c>
      <c r="P321" s="8"/>
      <c r="Q321" s="8"/>
      <c r="R321" s="8"/>
      <c r="S321" s="8"/>
      <c r="T321" s="8"/>
      <c r="U321" s="8"/>
      <c r="V321" s="8"/>
      <c r="W321" s="8"/>
      <c r="X321" s="8"/>
      <c r="Y321" s="11">
        <v>0</v>
      </c>
      <c r="Z321" s="13">
        <v>344800</v>
      </c>
      <c r="AA321" s="8"/>
      <c r="AB321" s="8"/>
      <c r="AC321" s="8"/>
      <c r="AD321" s="8"/>
      <c r="AE321" s="8"/>
      <c r="AF321" s="8"/>
      <c r="AG321" s="8"/>
      <c r="AH321" s="8"/>
      <c r="AI321" s="8"/>
      <c r="AJ321" s="10">
        <v>1516664758</v>
      </c>
      <c r="AK321" s="10">
        <v>1960486210.9000001</v>
      </c>
      <c r="AL321" s="8"/>
      <c r="AM321" s="8"/>
      <c r="AN321" s="8"/>
      <c r="AO321" s="8"/>
      <c r="AP321" s="8"/>
      <c r="AQ321" s="8"/>
      <c r="AR321" s="8"/>
      <c r="AS321" s="8"/>
      <c r="AT321" s="8"/>
      <c r="AU321" s="14">
        <v>45930</v>
      </c>
      <c r="AV321" s="14">
        <v>45657</v>
      </c>
      <c r="AW321" s="8"/>
      <c r="AX321" s="8"/>
      <c r="AY321" s="8"/>
      <c r="AZ321" s="8"/>
      <c r="BA321" s="8"/>
      <c r="BB321" s="8"/>
      <c r="BC321" s="8"/>
      <c r="BD321" s="8"/>
      <c r="BE321" s="8"/>
      <c r="BF321" s="8" t="s">
        <v>201</v>
      </c>
      <c r="BG321" s="8" t="s">
        <v>201</v>
      </c>
      <c r="BH321" s="8"/>
      <c r="BI321" s="8"/>
      <c r="BJ321" s="8"/>
      <c r="BK321" s="8"/>
      <c r="BL321" s="8"/>
      <c r="BM321" s="8"/>
      <c r="BN321" s="8"/>
      <c r="BO321" s="8"/>
      <c r="BP321" s="8"/>
      <c r="BQ321" s="8" t="s">
        <v>25</v>
      </c>
      <c r="BR321" s="8" t="s">
        <v>202</v>
      </c>
      <c r="BS321" s="10">
        <v>1732586461.2</v>
      </c>
      <c r="BT321" s="8"/>
      <c r="BU321" s="8" t="s">
        <v>27</v>
      </c>
      <c r="BV321" s="8" t="s">
        <v>27</v>
      </c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 t="s">
        <v>29</v>
      </c>
    </row>
    <row r="322" spans="1:85" ht="15.75" customHeight="1" x14ac:dyDescent="0.35">
      <c r="A322" s="8">
        <v>315</v>
      </c>
      <c r="B322" s="8" t="s">
        <v>494</v>
      </c>
      <c r="C322" s="9">
        <v>3.9999999999999998E-6</v>
      </c>
      <c r="D322" s="9">
        <v>1.7E-5</v>
      </c>
      <c r="E322" s="9">
        <v>3.1000000000000001E-5</v>
      </c>
      <c r="F322" s="9">
        <v>9.9999999999999995E-7</v>
      </c>
      <c r="G322" s="9">
        <v>3.9399999999999998E-4</v>
      </c>
      <c r="H322" s="9">
        <v>0</v>
      </c>
      <c r="I322" s="9">
        <v>9.9999999999999995E-7</v>
      </c>
      <c r="J322" s="9">
        <v>0</v>
      </c>
      <c r="K322" s="9">
        <v>7.4999999999999993E-5</v>
      </c>
      <c r="L322" s="9">
        <v>3.0000000000000001E-6</v>
      </c>
      <c r="M322" s="9">
        <v>3.9999999999999998E-6</v>
      </c>
      <c r="N322" s="10">
        <v>343300</v>
      </c>
      <c r="O322" s="10">
        <v>1538466</v>
      </c>
      <c r="P322" s="10">
        <v>2903064</v>
      </c>
      <c r="Q322" s="10">
        <v>64000</v>
      </c>
      <c r="R322" s="10">
        <v>36447750</v>
      </c>
      <c r="S322" s="10">
        <v>19800</v>
      </c>
      <c r="T322" s="10">
        <v>53000</v>
      </c>
      <c r="U322" s="10">
        <v>18400</v>
      </c>
      <c r="V322" s="10">
        <v>6889560</v>
      </c>
      <c r="W322" s="10">
        <v>249600</v>
      </c>
      <c r="X322" s="10">
        <v>382800</v>
      </c>
      <c r="Y322" s="12">
        <v>-1195166</v>
      </c>
      <c r="Z322" s="12">
        <v>-1364598</v>
      </c>
      <c r="AA322" s="13">
        <v>2839064</v>
      </c>
      <c r="AB322" s="12">
        <v>-36383750</v>
      </c>
      <c r="AC322" s="13">
        <v>36427950</v>
      </c>
      <c r="AD322" s="12">
        <v>-33200</v>
      </c>
      <c r="AE322" s="13">
        <v>34600</v>
      </c>
      <c r="AF322" s="12">
        <v>-6871160</v>
      </c>
      <c r="AG322" s="13">
        <v>6639960</v>
      </c>
      <c r="AH322" s="12">
        <v>-133200</v>
      </c>
      <c r="AI322" s="13">
        <v>382800</v>
      </c>
      <c r="AJ322" s="10">
        <v>1510066731.5999999</v>
      </c>
      <c r="AK322" s="10">
        <v>8747509673.3999996</v>
      </c>
      <c r="AL322" s="10">
        <v>17563537236.799999</v>
      </c>
      <c r="AM322" s="10">
        <v>317599933.75</v>
      </c>
      <c r="AN322" s="10">
        <v>127888102867.5</v>
      </c>
      <c r="AO322" s="10">
        <v>62617557.600000001</v>
      </c>
      <c r="AP322" s="10">
        <v>202803039.59999999</v>
      </c>
      <c r="AQ322" s="10">
        <v>67010931.25</v>
      </c>
      <c r="AR322" s="10">
        <v>27558239996.200001</v>
      </c>
      <c r="AS322" s="10">
        <v>722279988.60000002</v>
      </c>
      <c r="AT322" s="10">
        <v>885546194.39999998</v>
      </c>
      <c r="AU322" s="14">
        <v>45930</v>
      </c>
      <c r="AV322" s="14">
        <v>45657</v>
      </c>
      <c r="AW322" s="14">
        <v>45291</v>
      </c>
      <c r="AX322" s="14">
        <v>44926</v>
      </c>
      <c r="AY322" s="14">
        <v>44561</v>
      </c>
      <c r="AZ322" s="14">
        <v>44196</v>
      </c>
      <c r="BA322" s="14">
        <v>43830</v>
      </c>
      <c r="BB322" s="14">
        <v>43465</v>
      </c>
      <c r="BC322" s="14">
        <v>43100</v>
      </c>
      <c r="BD322" s="14">
        <v>42735</v>
      </c>
      <c r="BE322" s="14">
        <v>42369</v>
      </c>
      <c r="BF322" s="8" t="s">
        <v>35</v>
      </c>
      <c r="BG322" s="8" t="s">
        <v>35</v>
      </c>
      <c r="BH322" s="8" t="s">
        <v>35</v>
      </c>
      <c r="BI322" s="8" t="s">
        <v>35</v>
      </c>
      <c r="BJ322" s="8" t="s">
        <v>35</v>
      </c>
      <c r="BK322" s="8" t="s">
        <v>35</v>
      </c>
      <c r="BL322" s="8" t="s">
        <v>35</v>
      </c>
      <c r="BM322" s="8" t="s">
        <v>35</v>
      </c>
      <c r="BN322" s="8" t="s">
        <v>35</v>
      </c>
      <c r="BO322" s="8" t="s">
        <v>35</v>
      </c>
      <c r="BP322" s="8" t="s">
        <v>35</v>
      </c>
      <c r="BQ322" s="8" t="s">
        <v>31</v>
      </c>
      <c r="BR322" s="8" t="s">
        <v>36</v>
      </c>
      <c r="BS322" s="10">
        <v>861629159014018</v>
      </c>
      <c r="BT322" s="8" t="s">
        <v>61</v>
      </c>
      <c r="BU322" s="8" t="s">
        <v>27</v>
      </c>
      <c r="BV322" s="8" t="s">
        <v>42</v>
      </c>
      <c r="BW322" s="8" t="s">
        <v>27</v>
      </c>
      <c r="BX322" s="8" t="s">
        <v>42</v>
      </c>
      <c r="BY322" s="8" t="s">
        <v>27</v>
      </c>
      <c r="BZ322" s="8" t="s">
        <v>27</v>
      </c>
      <c r="CA322" s="8" t="s">
        <v>27</v>
      </c>
      <c r="CB322" s="8" t="s">
        <v>27</v>
      </c>
      <c r="CC322" s="8" t="s">
        <v>27</v>
      </c>
      <c r="CD322" s="8" t="s">
        <v>42</v>
      </c>
      <c r="CE322" s="8" t="s">
        <v>42</v>
      </c>
      <c r="CF322" s="8" t="s">
        <v>50</v>
      </c>
      <c r="CG322" s="8" t="s">
        <v>51</v>
      </c>
    </row>
    <row r="323" spans="1:85" ht="15.75" customHeight="1" x14ac:dyDescent="0.35">
      <c r="A323" s="8">
        <v>316</v>
      </c>
      <c r="B323" s="8" t="s">
        <v>495</v>
      </c>
      <c r="C323" s="9">
        <v>3.9999999999999998E-6</v>
      </c>
      <c r="D323" s="9">
        <v>3.0000000000000001E-6</v>
      </c>
      <c r="E323" s="9">
        <v>1.9999999999999999E-6</v>
      </c>
      <c r="F323" s="9">
        <v>0</v>
      </c>
      <c r="G323" s="8"/>
      <c r="H323" s="8"/>
      <c r="I323" s="8"/>
      <c r="J323" s="8"/>
      <c r="K323" s="8"/>
      <c r="L323" s="8"/>
      <c r="M323" s="8"/>
      <c r="N323" s="10">
        <v>336700</v>
      </c>
      <c r="O323" s="10">
        <v>252100</v>
      </c>
      <c r="P323" s="10">
        <v>170100</v>
      </c>
      <c r="Q323" s="10">
        <v>32800</v>
      </c>
      <c r="R323" s="8"/>
      <c r="S323" s="8"/>
      <c r="T323" s="8"/>
      <c r="U323" s="8"/>
      <c r="V323" s="8"/>
      <c r="W323" s="8"/>
      <c r="X323" s="8"/>
      <c r="Y323" s="13">
        <v>84600</v>
      </c>
      <c r="Z323" s="13">
        <v>82000</v>
      </c>
      <c r="AA323" s="13">
        <v>137300</v>
      </c>
      <c r="AB323" s="13">
        <v>32800</v>
      </c>
      <c r="AC323" s="8"/>
      <c r="AD323" s="8"/>
      <c r="AE323" s="8"/>
      <c r="AF323" s="8"/>
      <c r="AG323" s="8"/>
      <c r="AH323" s="8"/>
      <c r="AI323" s="8"/>
      <c r="AJ323" s="10">
        <v>1481035515.4000001</v>
      </c>
      <c r="AK323" s="10">
        <v>1433406451.0999999</v>
      </c>
      <c r="AL323" s="10">
        <v>1029104946.5</v>
      </c>
      <c r="AM323" s="10">
        <v>162770053.59999999</v>
      </c>
      <c r="AN323" s="8"/>
      <c r="AO323" s="8"/>
      <c r="AP323" s="8"/>
      <c r="AQ323" s="8"/>
      <c r="AR323" s="8"/>
      <c r="AS323" s="8"/>
      <c r="AT323" s="8"/>
      <c r="AU323" s="14">
        <v>45930</v>
      </c>
      <c r="AV323" s="14">
        <v>45657</v>
      </c>
      <c r="AW323" s="14">
        <v>45291</v>
      </c>
      <c r="AX323" s="14">
        <v>44926</v>
      </c>
      <c r="AY323" s="8"/>
      <c r="AZ323" s="8"/>
      <c r="BA323" s="8"/>
      <c r="BB323" s="8"/>
      <c r="BC323" s="8"/>
      <c r="BD323" s="8"/>
      <c r="BE323" s="8"/>
      <c r="BF323" s="8" t="s">
        <v>35</v>
      </c>
      <c r="BG323" s="8" t="s">
        <v>35</v>
      </c>
      <c r="BH323" s="8" t="s">
        <v>35</v>
      </c>
      <c r="BI323" s="8" t="s">
        <v>35</v>
      </c>
      <c r="BJ323" s="8"/>
      <c r="BK323" s="8"/>
      <c r="BL323" s="8"/>
      <c r="BM323" s="8"/>
      <c r="BN323" s="8"/>
      <c r="BO323" s="8"/>
      <c r="BP323" s="8"/>
      <c r="BQ323" s="8" t="s">
        <v>31</v>
      </c>
      <c r="BR323" s="8" t="s">
        <v>36</v>
      </c>
      <c r="BS323" s="10">
        <v>201120598548881</v>
      </c>
      <c r="BT323" s="8" t="s">
        <v>290</v>
      </c>
      <c r="BU323" s="8" t="s">
        <v>42</v>
      </c>
      <c r="BV323" s="8" t="s">
        <v>27</v>
      </c>
      <c r="BW323" s="8" t="s">
        <v>27</v>
      </c>
      <c r="BX323" s="8" t="s">
        <v>42</v>
      </c>
      <c r="BY323" s="8"/>
      <c r="BZ323" s="8"/>
      <c r="CA323" s="8"/>
      <c r="CB323" s="8"/>
      <c r="CC323" s="8"/>
      <c r="CD323" s="8"/>
      <c r="CE323" s="8"/>
      <c r="CF323" s="8" t="s">
        <v>317</v>
      </c>
      <c r="CG323" s="8" t="s">
        <v>39</v>
      </c>
    </row>
    <row r="324" spans="1:85" ht="15.75" customHeight="1" x14ac:dyDescent="0.35">
      <c r="A324" s="8">
        <v>317</v>
      </c>
      <c r="B324" s="8" t="s">
        <v>496</v>
      </c>
      <c r="C324" s="9">
        <v>3.0000000000000001E-6</v>
      </c>
      <c r="D324" s="9">
        <v>3.0000000000000001E-6</v>
      </c>
      <c r="E324" s="8"/>
      <c r="F324" s="8"/>
      <c r="G324" s="8"/>
      <c r="H324" s="9">
        <v>0</v>
      </c>
      <c r="I324" s="9">
        <v>0</v>
      </c>
      <c r="J324" s="9">
        <v>3.0000000000000001E-6</v>
      </c>
      <c r="K324" s="9">
        <v>0</v>
      </c>
      <c r="L324" s="9">
        <v>3.0000000000000001E-6</v>
      </c>
      <c r="M324" s="8"/>
      <c r="N324" s="10">
        <v>320065</v>
      </c>
      <c r="O324" s="10">
        <v>320065</v>
      </c>
      <c r="P324" s="8"/>
      <c r="Q324" s="8"/>
      <c r="R324" s="8"/>
      <c r="S324" s="10">
        <v>0</v>
      </c>
      <c r="T324" s="10">
        <v>0</v>
      </c>
      <c r="U324" s="10">
        <v>315716</v>
      </c>
      <c r="V324" s="10">
        <v>0</v>
      </c>
      <c r="W324" s="10">
        <v>305288</v>
      </c>
      <c r="X324" s="8"/>
      <c r="Y324" s="11">
        <v>0</v>
      </c>
      <c r="Z324" s="13">
        <v>320065</v>
      </c>
      <c r="AA324" s="8"/>
      <c r="AB324" s="8"/>
      <c r="AC324" s="8"/>
      <c r="AD324" s="11">
        <v>0</v>
      </c>
      <c r="AE324" s="12">
        <v>-315716</v>
      </c>
      <c r="AF324" s="13">
        <v>315716</v>
      </c>
      <c r="AG324" s="12">
        <v>-305288</v>
      </c>
      <c r="AH324" s="13">
        <v>305288</v>
      </c>
      <c r="AI324" s="8"/>
      <c r="AJ324" s="10">
        <v>1819846256.2</v>
      </c>
      <c r="AK324" s="10">
        <v>1819846256.2</v>
      </c>
      <c r="AL324" s="8"/>
      <c r="AM324" s="8"/>
      <c r="AN324" s="8"/>
      <c r="AO324" s="10">
        <v>0</v>
      </c>
      <c r="AP324" s="10">
        <v>0</v>
      </c>
      <c r="AQ324" s="10">
        <v>1149805218.75</v>
      </c>
      <c r="AR324" s="10">
        <v>0</v>
      </c>
      <c r="AS324" s="10">
        <v>883427121.29999995</v>
      </c>
      <c r="AT324" s="8"/>
      <c r="AU324" s="14">
        <v>45657</v>
      </c>
      <c r="AV324" s="14">
        <v>45657</v>
      </c>
      <c r="AW324" s="8"/>
      <c r="AX324" s="8"/>
      <c r="AY324" s="8"/>
      <c r="AZ324" s="14">
        <v>43646</v>
      </c>
      <c r="BA324" s="14">
        <v>43646</v>
      </c>
      <c r="BB324" s="14">
        <v>43465</v>
      </c>
      <c r="BC324" s="14">
        <v>42916</v>
      </c>
      <c r="BD324" s="14">
        <v>42735</v>
      </c>
      <c r="BE324" s="8"/>
      <c r="BF324" s="8" t="s">
        <v>35</v>
      </c>
      <c r="BG324" s="8" t="s">
        <v>35</v>
      </c>
      <c r="BH324" s="8"/>
      <c r="BI324" s="8"/>
      <c r="BJ324" s="8"/>
      <c r="BK324" s="8" t="s">
        <v>35</v>
      </c>
      <c r="BL324" s="8" t="s">
        <v>35</v>
      </c>
      <c r="BM324" s="8" t="s">
        <v>35</v>
      </c>
      <c r="BN324" s="8" t="s">
        <v>35</v>
      </c>
      <c r="BO324" s="8" t="s">
        <v>35</v>
      </c>
      <c r="BP324" s="8"/>
      <c r="BQ324" s="8" t="s">
        <v>31</v>
      </c>
      <c r="BR324" s="8" t="s">
        <v>36</v>
      </c>
      <c r="BS324" s="10">
        <v>24366589089286.801</v>
      </c>
      <c r="BT324" s="8" t="s">
        <v>41</v>
      </c>
      <c r="BU324" s="8" t="s">
        <v>42</v>
      </c>
      <c r="BV324" s="8" t="s">
        <v>42</v>
      </c>
      <c r="BW324" s="8"/>
      <c r="BX324" s="8"/>
      <c r="BY324" s="8"/>
      <c r="BZ324" s="8" t="s">
        <v>42</v>
      </c>
      <c r="CA324" s="8" t="s">
        <v>43</v>
      </c>
      <c r="CB324" s="8" t="s">
        <v>43</v>
      </c>
      <c r="CC324" s="8" t="s">
        <v>42</v>
      </c>
      <c r="CD324" s="8" t="s">
        <v>42</v>
      </c>
      <c r="CE324" s="8"/>
      <c r="CF324" s="8" t="s">
        <v>346</v>
      </c>
      <c r="CG324" s="8" t="s">
        <v>347</v>
      </c>
    </row>
    <row r="325" spans="1:85" ht="15.75" customHeight="1" x14ac:dyDescent="0.35">
      <c r="A325" s="8">
        <v>318</v>
      </c>
      <c r="B325" s="8" t="s">
        <v>497</v>
      </c>
      <c r="C325" s="9">
        <v>3.0000000000000001E-6</v>
      </c>
      <c r="D325" s="9">
        <v>3.0000000000000001E-6</v>
      </c>
      <c r="E325" s="8"/>
      <c r="F325" s="8"/>
      <c r="G325" s="8"/>
      <c r="H325" s="9">
        <v>0</v>
      </c>
      <c r="I325" s="9">
        <v>0</v>
      </c>
      <c r="J325" s="9">
        <v>7.9999999999999996E-6</v>
      </c>
      <c r="K325" s="9">
        <v>1.5999999999999999E-5</v>
      </c>
      <c r="L325" s="9">
        <v>5.0000000000000004E-6</v>
      </c>
      <c r="M325" s="9">
        <v>2.5000000000000001E-5</v>
      </c>
      <c r="N325" s="10">
        <v>305500</v>
      </c>
      <c r="O325" s="10">
        <v>275100</v>
      </c>
      <c r="P325" s="8"/>
      <c r="Q325" s="8"/>
      <c r="R325" s="8"/>
      <c r="S325" s="10">
        <v>0</v>
      </c>
      <c r="T325" s="10">
        <v>0</v>
      </c>
      <c r="U325" s="10">
        <v>715200</v>
      </c>
      <c r="V325" s="10">
        <v>1499800</v>
      </c>
      <c r="W325" s="10">
        <v>424800</v>
      </c>
      <c r="X325" s="10">
        <v>2277200</v>
      </c>
      <c r="Y325" s="13">
        <v>30400</v>
      </c>
      <c r="Z325" s="13">
        <v>275100</v>
      </c>
      <c r="AA325" s="8"/>
      <c r="AB325" s="8"/>
      <c r="AC325" s="8"/>
      <c r="AD325" s="11">
        <v>0</v>
      </c>
      <c r="AE325" s="12">
        <v>-715200</v>
      </c>
      <c r="AF325" s="12">
        <v>-784600</v>
      </c>
      <c r="AG325" s="13">
        <v>1075000</v>
      </c>
      <c r="AH325" s="12">
        <v>-1852400</v>
      </c>
      <c r="AI325" s="11">
        <v>0</v>
      </c>
      <c r="AJ325" s="10">
        <v>1586683182.7</v>
      </c>
      <c r="AK325" s="10">
        <v>1564181465.9000001</v>
      </c>
      <c r="AL325" s="8"/>
      <c r="AM325" s="8"/>
      <c r="AN325" s="8"/>
      <c r="AO325" s="10">
        <v>0</v>
      </c>
      <c r="AP325" s="10">
        <v>0</v>
      </c>
      <c r="AQ325" s="10">
        <v>2604684881.25</v>
      </c>
      <c r="AR325" s="10">
        <v>5999200062.6499996</v>
      </c>
      <c r="AS325" s="10">
        <v>1229265060.9000001</v>
      </c>
      <c r="AT325" s="10">
        <v>6102168604.3999996</v>
      </c>
      <c r="AU325" s="14">
        <v>45747</v>
      </c>
      <c r="AV325" s="14">
        <v>45657</v>
      </c>
      <c r="AW325" s="8"/>
      <c r="AX325" s="8"/>
      <c r="AY325" s="8"/>
      <c r="AZ325" s="14">
        <v>43555</v>
      </c>
      <c r="BA325" s="14">
        <v>43555</v>
      </c>
      <c r="BB325" s="14">
        <v>43465</v>
      </c>
      <c r="BC325" s="14">
        <v>43100</v>
      </c>
      <c r="BD325" s="14">
        <v>42735</v>
      </c>
      <c r="BE325" s="14">
        <v>42004</v>
      </c>
      <c r="BF325" s="8" t="s">
        <v>35</v>
      </c>
      <c r="BG325" s="8" t="s">
        <v>35</v>
      </c>
      <c r="BH325" s="8"/>
      <c r="BI325" s="8"/>
      <c r="BJ325" s="8"/>
      <c r="BK325" s="8" t="s">
        <v>35</v>
      </c>
      <c r="BL325" s="8" t="s">
        <v>35</v>
      </c>
      <c r="BM325" s="8" t="s">
        <v>35</v>
      </c>
      <c r="BN325" s="8" t="s">
        <v>35</v>
      </c>
      <c r="BO325" s="8" t="s">
        <v>35</v>
      </c>
      <c r="BP325" s="8" t="s">
        <v>35</v>
      </c>
      <c r="BQ325" s="8" t="s">
        <v>31</v>
      </c>
      <c r="BR325" s="8" t="s">
        <v>49</v>
      </c>
      <c r="BS325" s="10">
        <v>682026822296923</v>
      </c>
      <c r="BT325" s="8" t="s">
        <v>61</v>
      </c>
      <c r="BU325" s="8" t="s">
        <v>27</v>
      </c>
      <c r="BV325" s="8" t="s">
        <v>27</v>
      </c>
      <c r="BW325" s="8"/>
      <c r="BX325" s="8"/>
      <c r="BY325" s="8"/>
      <c r="BZ325" s="8" t="s">
        <v>42</v>
      </c>
      <c r="CA325" s="8" t="s">
        <v>42</v>
      </c>
      <c r="CB325" s="8" t="s">
        <v>42</v>
      </c>
      <c r="CC325" s="8" t="s">
        <v>42</v>
      </c>
      <c r="CD325" s="8" t="s">
        <v>42</v>
      </c>
      <c r="CE325" s="8" t="s">
        <v>27</v>
      </c>
      <c r="CF325" s="8" t="s">
        <v>301</v>
      </c>
      <c r="CG325" s="8" t="s">
        <v>302</v>
      </c>
    </row>
    <row r="326" spans="1:85" ht="15.75" customHeight="1" x14ac:dyDescent="0.35">
      <c r="A326" s="8">
        <v>319</v>
      </c>
      <c r="B326" s="8" t="s">
        <v>498</v>
      </c>
      <c r="C326" s="9">
        <v>3.0000000000000001E-6</v>
      </c>
      <c r="D326" s="8"/>
      <c r="E326" s="8"/>
      <c r="F326" s="8"/>
      <c r="G326" s="8"/>
      <c r="H326" s="9">
        <v>1.6899999999999999E-4</v>
      </c>
      <c r="I326" s="9">
        <v>1.7100000000000001E-4</v>
      </c>
      <c r="J326" s="8"/>
      <c r="K326" s="8"/>
      <c r="L326" s="8"/>
      <c r="M326" s="8"/>
      <c r="N326" s="10">
        <v>295000</v>
      </c>
      <c r="O326" s="8"/>
      <c r="P326" s="8"/>
      <c r="Q326" s="8"/>
      <c r="R326" s="8"/>
      <c r="S326" s="10">
        <v>15625270</v>
      </c>
      <c r="T326" s="10">
        <v>15769126</v>
      </c>
      <c r="U326" s="8"/>
      <c r="V326" s="8"/>
      <c r="W326" s="8"/>
      <c r="X326" s="8"/>
      <c r="Y326" s="13">
        <v>295000</v>
      </c>
      <c r="Z326" s="8"/>
      <c r="AA326" s="8"/>
      <c r="AB326" s="8"/>
      <c r="AC326" s="8"/>
      <c r="AD326" s="12">
        <v>-143856</v>
      </c>
      <c r="AE326" s="13">
        <v>15769126</v>
      </c>
      <c r="AF326" s="8"/>
      <c r="AG326" s="8"/>
      <c r="AH326" s="8"/>
      <c r="AI326" s="8"/>
      <c r="AJ326" s="10">
        <v>1564941436.3499999</v>
      </c>
      <c r="AK326" s="8"/>
      <c r="AL326" s="8"/>
      <c r="AM326" s="8"/>
      <c r="AN326" s="8"/>
      <c r="AO326" s="10">
        <v>58985394195</v>
      </c>
      <c r="AP326" s="10">
        <v>62879389882.360001</v>
      </c>
      <c r="AQ326" s="8"/>
      <c r="AR326" s="8"/>
      <c r="AS326" s="8"/>
      <c r="AT326" s="8"/>
      <c r="AU326" s="14">
        <v>45808</v>
      </c>
      <c r="AV326" s="8"/>
      <c r="AW326" s="8"/>
      <c r="AX326" s="8"/>
      <c r="AY326" s="8"/>
      <c r="AZ326" s="14">
        <v>43861</v>
      </c>
      <c r="BA326" s="14">
        <v>43677</v>
      </c>
      <c r="BB326" s="8"/>
      <c r="BC326" s="8"/>
      <c r="BD326" s="8"/>
      <c r="BE326" s="8"/>
      <c r="BF326" s="8" t="s">
        <v>35</v>
      </c>
      <c r="BG326" s="8"/>
      <c r="BH326" s="8"/>
      <c r="BI326" s="8"/>
      <c r="BJ326" s="8"/>
      <c r="BK326" s="8" t="s">
        <v>35</v>
      </c>
      <c r="BL326" s="8" t="s">
        <v>35</v>
      </c>
      <c r="BM326" s="8"/>
      <c r="BN326" s="8"/>
      <c r="BO326" s="8"/>
      <c r="BP326" s="8"/>
      <c r="BQ326" s="8" t="s">
        <v>31</v>
      </c>
      <c r="BR326" s="8" t="s">
        <v>49</v>
      </c>
      <c r="BS326" s="10">
        <v>24286832535547.199</v>
      </c>
      <c r="BT326" s="8"/>
      <c r="BU326" s="8" t="s">
        <v>27</v>
      </c>
      <c r="BV326" s="8"/>
      <c r="BW326" s="8"/>
      <c r="BX326" s="8"/>
      <c r="BY326" s="8"/>
      <c r="BZ326" s="8" t="s">
        <v>42</v>
      </c>
      <c r="CA326" s="8" t="s">
        <v>27</v>
      </c>
      <c r="CB326" s="8"/>
      <c r="CC326" s="8"/>
      <c r="CD326" s="8"/>
      <c r="CE326" s="8"/>
      <c r="CF326" s="8" t="s">
        <v>70</v>
      </c>
      <c r="CG326" s="8" t="s">
        <v>71</v>
      </c>
    </row>
    <row r="327" spans="1:85" ht="15.75" customHeight="1" x14ac:dyDescent="0.35">
      <c r="A327" s="8">
        <v>320</v>
      </c>
      <c r="B327" s="8" t="s">
        <v>499</v>
      </c>
      <c r="C327" s="9">
        <v>3.0000000000000001E-6</v>
      </c>
      <c r="D327" s="9">
        <v>3.9999999999999998E-6</v>
      </c>
      <c r="E327" s="9">
        <v>0</v>
      </c>
      <c r="F327" s="8"/>
      <c r="G327" s="8"/>
      <c r="H327" s="8"/>
      <c r="I327" s="8"/>
      <c r="J327" s="8"/>
      <c r="K327" s="8"/>
      <c r="L327" s="8"/>
      <c r="M327" s="8"/>
      <c r="N327" s="10">
        <v>294800</v>
      </c>
      <c r="O327" s="10">
        <v>407900</v>
      </c>
      <c r="P327" s="10">
        <v>0</v>
      </c>
      <c r="Q327" s="8"/>
      <c r="R327" s="8"/>
      <c r="S327" s="8"/>
      <c r="T327" s="8"/>
      <c r="U327" s="8"/>
      <c r="V327" s="8"/>
      <c r="W327" s="8"/>
      <c r="X327" s="8"/>
      <c r="Y327" s="12">
        <v>-113100</v>
      </c>
      <c r="Z327" s="13">
        <v>407900</v>
      </c>
      <c r="AA327" s="11">
        <v>0</v>
      </c>
      <c r="AB327" s="8"/>
      <c r="AC327" s="8"/>
      <c r="AD327" s="8"/>
      <c r="AE327" s="8"/>
      <c r="AF327" s="8"/>
      <c r="AG327" s="8"/>
      <c r="AH327" s="8"/>
      <c r="AI327" s="8"/>
      <c r="AJ327" s="10">
        <v>1563880468.5999999</v>
      </c>
      <c r="AK327" s="10">
        <v>2319264248.9000001</v>
      </c>
      <c r="AL327" s="10">
        <v>0</v>
      </c>
      <c r="AM327" s="8"/>
      <c r="AN327" s="8"/>
      <c r="AO327" s="8"/>
      <c r="AP327" s="8"/>
      <c r="AQ327" s="8"/>
      <c r="AR327" s="8"/>
      <c r="AS327" s="8"/>
      <c r="AT327" s="8"/>
      <c r="AU327" s="14">
        <v>45808</v>
      </c>
      <c r="AV327" s="14">
        <v>45657</v>
      </c>
      <c r="AW327" s="14">
        <v>45138</v>
      </c>
      <c r="AX327" s="8"/>
      <c r="AY327" s="8"/>
      <c r="AZ327" s="8"/>
      <c r="BA327" s="8"/>
      <c r="BB327" s="8"/>
      <c r="BC327" s="8"/>
      <c r="BD327" s="8"/>
      <c r="BE327" s="8"/>
      <c r="BF327" s="8" t="s">
        <v>35</v>
      </c>
      <c r="BG327" s="8" t="s">
        <v>35</v>
      </c>
      <c r="BH327" s="8" t="s">
        <v>35</v>
      </c>
      <c r="BI327" s="8"/>
      <c r="BJ327" s="8"/>
      <c r="BK327" s="8"/>
      <c r="BL327" s="8"/>
      <c r="BM327" s="8"/>
      <c r="BN327" s="8"/>
      <c r="BO327" s="8"/>
      <c r="BP327" s="8"/>
      <c r="BQ327" s="8" t="s">
        <v>31</v>
      </c>
      <c r="BR327" s="8" t="s">
        <v>49</v>
      </c>
      <c r="BS327" s="10">
        <v>273070668706104</v>
      </c>
      <c r="BT327" s="8" t="s">
        <v>101</v>
      </c>
      <c r="BU327" s="8" t="s">
        <v>27</v>
      </c>
      <c r="BV327" s="8" t="s">
        <v>42</v>
      </c>
      <c r="BW327" s="8" t="s">
        <v>43</v>
      </c>
      <c r="BX327" s="8"/>
      <c r="BY327" s="8"/>
      <c r="BZ327" s="8"/>
      <c r="CA327" s="8"/>
      <c r="CB327" s="8"/>
      <c r="CC327" s="8"/>
      <c r="CD327" s="8"/>
      <c r="CE327" s="8"/>
      <c r="CF327" s="8" t="s">
        <v>82</v>
      </c>
      <c r="CG327" s="8" t="s">
        <v>39</v>
      </c>
    </row>
    <row r="328" spans="1:85" ht="15.75" customHeight="1" x14ac:dyDescent="0.35">
      <c r="A328" s="8">
        <v>321</v>
      </c>
      <c r="B328" s="8" t="s">
        <v>500</v>
      </c>
      <c r="C328" s="9">
        <v>3.0000000000000001E-6</v>
      </c>
      <c r="D328" s="9">
        <v>3.0000000000000001E-6</v>
      </c>
      <c r="E328" s="9">
        <v>3.0000000000000001E-6</v>
      </c>
      <c r="F328" s="9">
        <v>3.0000000000000001E-6</v>
      </c>
      <c r="G328" s="9">
        <v>2.5000000000000001E-5</v>
      </c>
      <c r="H328" s="9">
        <v>2.5000000000000001E-5</v>
      </c>
      <c r="I328" s="9">
        <v>5.3999999999999998E-5</v>
      </c>
      <c r="J328" s="9">
        <v>6.7000000000000002E-5</v>
      </c>
      <c r="K328" s="9">
        <v>6.3999999999999997E-5</v>
      </c>
      <c r="L328" s="9">
        <v>7.4999999999999993E-5</v>
      </c>
      <c r="M328" s="9">
        <v>7.4999999999999993E-5</v>
      </c>
      <c r="N328" s="10">
        <v>291148</v>
      </c>
      <c r="O328" s="10">
        <v>286882</v>
      </c>
      <c r="P328" s="10">
        <v>273456</v>
      </c>
      <c r="Q328" s="10">
        <v>279552</v>
      </c>
      <c r="R328" s="10">
        <v>2264248</v>
      </c>
      <c r="S328" s="10">
        <v>2284546</v>
      </c>
      <c r="T328" s="10">
        <v>4973530</v>
      </c>
      <c r="U328" s="10">
        <v>6230120</v>
      </c>
      <c r="V328" s="10">
        <v>5903620</v>
      </c>
      <c r="W328" s="10">
        <v>6951892</v>
      </c>
      <c r="X328" s="10">
        <v>6920800</v>
      </c>
      <c r="Y328" s="13">
        <v>4266</v>
      </c>
      <c r="Z328" s="13">
        <v>13426</v>
      </c>
      <c r="AA328" s="12">
        <v>-6096</v>
      </c>
      <c r="AB328" s="12">
        <v>-1984696</v>
      </c>
      <c r="AC328" s="12">
        <v>-20298</v>
      </c>
      <c r="AD328" s="12">
        <v>-2688984</v>
      </c>
      <c r="AE328" s="12">
        <v>-1256590</v>
      </c>
      <c r="AF328" s="13">
        <v>326500</v>
      </c>
      <c r="AG328" s="12">
        <v>-1048272</v>
      </c>
      <c r="AH328" s="13">
        <v>31092</v>
      </c>
      <c r="AI328" s="11">
        <v>0</v>
      </c>
      <c r="AJ328" s="10">
        <v>1318286550</v>
      </c>
      <c r="AK328" s="10">
        <v>1631172341.8</v>
      </c>
      <c r="AL328" s="10">
        <v>1654408741.8499999</v>
      </c>
      <c r="AM328" s="10">
        <v>1387276853.05</v>
      </c>
      <c r="AN328" s="10">
        <v>7944808200</v>
      </c>
      <c r="AO328" s="10">
        <v>7224876734.3999996</v>
      </c>
      <c r="AP328" s="10">
        <v>19031076755.200001</v>
      </c>
      <c r="AQ328" s="10">
        <v>22689456012.5</v>
      </c>
      <c r="AR328" s="10">
        <v>23614479949.799999</v>
      </c>
      <c r="AS328" s="10">
        <v>20117037532.5</v>
      </c>
      <c r="AT328" s="10">
        <v>17388510052.099998</v>
      </c>
      <c r="AU328" s="14">
        <v>45869</v>
      </c>
      <c r="AV328" s="14">
        <v>45657</v>
      </c>
      <c r="AW328" s="14">
        <v>45291</v>
      </c>
      <c r="AX328" s="14">
        <v>44926</v>
      </c>
      <c r="AY328" s="14">
        <v>44561</v>
      </c>
      <c r="AZ328" s="14">
        <v>44196</v>
      </c>
      <c r="BA328" s="14">
        <v>43830</v>
      </c>
      <c r="BB328" s="14">
        <v>43465</v>
      </c>
      <c r="BC328" s="14">
        <v>43100</v>
      </c>
      <c r="BD328" s="14">
        <v>42735</v>
      </c>
      <c r="BE328" s="14">
        <v>42185</v>
      </c>
      <c r="BF328" s="8" t="s">
        <v>35</v>
      </c>
      <c r="BG328" s="8" t="s">
        <v>35</v>
      </c>
      <c r="BH328" s="8" t="s">
        <v>35</v>
      </c>
      <c r="BI328" s="8" t="s">
        <v>35</v>
      </c>
      <c r="BJ328" s="8" t="s">
        <v>35</v>
      </c>
      <c r="BK328" s="8" t="s">
        <v>35</v>
      </c>
      <c r="BL328" s="8" t="s">
        <v>35</v>
      </c>
      <c r="BM328" s="8" t="s">
        <v>35</v>
      </c>
      <c r="BN328" s="8" t="s">
        <v>35</v>
      </c>
      <c r="BO328" s="8" t="s">
        <v>35</v>
      </c>
      <c r="BP328" s="8" t="s">
        <v>35</v>
      </c>
      <c r="BQ328" s="8" t="s">
        <v>31</v>
      </c>
      <c r="BR328" s="8" t="s">
        <v>49</v>
      </c>
      <c r="BS328" s="10">
        <v>2623493405365830</v>
      </c>
      <c r="BT328" s="8" t="s">
        <v>41</v>
      </c>
      <c r="BU328" s="8" t="s">
        <v>27</v>
      </c>
      <c r="BV328" s="8" t="s">
        <v>27</v>
      </c>
      <c r="BW328" s="8" t="s">
        <v>27</v>
      </c>
      <c r="BX328" s="8" t="s">
        <v>27</v>
      </c>
      <c r="BY328" s="8" t="s">
        <v>27</v>
      </c>
      <c r="BZ328" s="8" t="s">
        <v>27</v>
      </c>
      <c r="CA328" s="8" t="s">
        <v>27</v>
      </c>
      <c r="CB328" s="8" t="s">
        <v>27</v>
      </c>
      <c r="CC328" s="8" t="s">
        <v>27</v>
      </c>
      <c r="CD328" s="8" t="s">
        <v>27</v>
      </c>
      <c r="CE328" s="8" t="s">
        <v>27</v>
      </c>
      <c r="CF328" s="8" t="s">
        <v>373</v>
      </c>
      <c r="CG328" s="8" t="s">
        <v>181</v>
      </c>
    </row>
    <row r="329" spans="1:85" ht="15.75" customHeight="1" x14ac:dyDescent="0.35">
      <c r="A329" s="8">
        <v>322</v>
      </c>
      <c r="B329" s="8" t="s">
        <v>501</v>
      </c>
      <c r="C329" s="9">
        <v>3.0000000000000001E-6</v>
      </c>
      <c r="D329" s="9">
        <v>3.0000000000000001E-6</v>
      </c>
      <c r="E329" s="9">
        <v>2.81E-4</v>
      </c>
      <c r="F329" s="9">
        <v>2.81E-4</v>
      </c>
      <c r="G329" s="9">
        <v>0</v>
      </c>
      <c r="H329" s="9">
        <v>0</v>
      </c>
      <c r="I329" s="8"/>
      <c r="J329" s="8"/>
      <c r="K329" s="8"/>
      <c r="L329" s="8"/>
      <c r="M329" s="8"/>
      <c r="N329" s="10">
        <v>257346</v>
      </c>
      <c r="O329" s="10">
        <v>257346</v>
      </c>
      <c r="P329" s="10">
        <v>25986272</v>
      </c>
      <c r="Q329" s="10">
        <v>25990622</v>
      </c>
      <c r="R329" s="10">
        <v>0</v>
      </c>
      <c r="S329" s="10">
        <v>0</v>
      </c>
      <c r="T329" s="8"/>
      <c r="U329" s="8"/>
      <c r="V329" s="8"/>
      <c r="W329" s="8"/>
      <c r="X329" s="8"/>
      <c r="Y329" s="11">
        <v>0</v>
      </c>
      <c r="Z329" s="12">
        <v>-25728926</v>
      </c>
      <c r="AA329" s="12">
        <v>-4350</v>
      </c>
      <c r="AB329" s="13">
        <v>25990622</v>
      </c>
      <c r="AC329" s="11">
        <v>0</v>
      </c>
      <c r="AD329" s="11">
        <v>0</v>
      </c>
      <c r="AE329" s="8"/>
      <c r="AF329" s="8"/>
      <c r="AG329" s="8"/>
      <c r="AH329" s="8"/>
      <c r="AI329" s="8"/>
      <c r="AJ329" s="10">
        <v>1463234575.8</v>
      </c>
      <c r="AK329" s="10">
        <v>1463234575.8</v>
      </c>
      <c r="AL329" s="10">
        <v>135128614459.8</v>
      </c>
      <c r="AM329" s="10">
        <v>128978461791.85001</v>
      </c>
      <c r="AN329" s="10">
        <v>0</v>
      </c>
      <c r="AO329" s="10">
        <v>0</v>
      </c>
      <c r="AP329" s="8"/>
      <c r="AQ329" s="8"/>
      <c r="AR329" s="8"/>
      <c r="AS329" s="8"/>
      <c r="AT329" s="8"/>
      <c r="AU329" s="14">
        <v>45657</v>
      </c>
      <c r="AV329" s="14">
        <v>45657</v>
      </c>
      <c r="AW329" s="14">
        <v>45107</v>
      </c>
      <c r="AX329" s="14">
        <v>44926</v>
      </c>
      <c r="AY329" s="14">
        <v>44196</v>
      </c>
      <c r="AZ329" s="14">
        <v>44196</v>
      </c>
      <c r="BA329" s="8"/>
      <c r="BB329" s="8"/>
      <c r="BC329" s="8"/>
      <c r="BD329" s="8"/>
      <c r="BE329" s="8"/>
      <c r="BF329" s="8" t="s">
        <v>35</v>
      </c>
      <c r="BG329" s="8" t="s">
        <v>35</v>
      </c>
      <c r="BH329" s="8" t="s">
        <v>35</v>
      </c>
      <c r="BI329" s="8" t="s">
        <v>35</v>
      </c>
      <c r="BJ329" s="8" t="s">
        <v>35</v>
      </c>
      <c r="BK329" s="8" t="s">
        <v>35</v>
      </c>
      <c r="BL329" s="8"/>
      <c r="BM329" s="8"/>
      <c r="BN329" s="8"/>
      <c r="BO329" s="8"/>
      <c r="BP329" s="8"/>
      <c r="BQ329" s="8" t="s">
        <v>31</v>
      </c>
      <c r="BR329" s="8" t="s">
        <v>49</v>
      </c>
      <c r="BS329" s="10">
        <v>27296786481873.602</v>
      </c>
      <c r="BT329" s="8" t="s">
        <v>41</v>
      </c>
      <c r="BU329" s="8" t="s">
        <v>27</v>
      </c>
      <c r="BV329" s="8" t="s">
        <v>27</v>
      </c>
      <c r="BW329" s="8" t="s">
        <v>27</v>
      </c>
      <c r="BX329" s="8" t="s">
        <v>27</v>
      </c>
      <c r="BY329" s="8" t="s">
        <v>27</v>
      </c>
      <c r="BZ329" s="8" t="s">
        <v>27</v>
      </c>
      <c r="CA329" s="8"/>
      <c r="CB329" s="8"/>
      <c r="CC329" s="8"/>
      <c r="CD329" s="8"/>
      <c r="CE329" s="8"/>
      <c r="CF329" s="8" t="s">
        <v>180</v>
      </c>
      <c r="CG329" s="8" t="s">
        <v>181</v>
      </c>
    </row>
    <row r="330" spans="1:85" ht="15.75" customHeight="1" x14ac:dyDescent="0.35">
      <c r="A330" s="8">
        <v>323</v>
      </c>
      <c r="B330" s="8" t="s">
        <v>502</v>
      </c>
      <c r="C330" s="9">
        <v>1.9999999999999999E-6</v>
      </c>
      <c r="D330" s="8"/>
      <c r="E330" s="8"/>
      <c r="F330" s="8"/>
      <c r="G330" s="8"/>
      <c r="H330" s="9">
        <v>0</v>
      </c>
      <c r="I330" s="9">
        <v>0</v>
      </c>
      <c r="J330" s="9">
        <v>0</v>
      </c>
      <c r="K330" s="8"/>
      <c r="L330" s="8"/>
      <c r="M330" s="8"/>
      <c r="N330" s="10">
        <v>226415</v>
      </c>
      <c r="O330" s="8"/>
      <c r="P330" s="8"/>
      <c r="Q330" s="8"/>
      <c r="R330" s="8"/>
      <c r="S330" s="10">
        <v>0</v>
      </c>
      <c r="T330" s="10">
        <v>0</v>
      </c>
      <c r="U330" s="10">
        <v>10440</v>
      </c>
      <c r="V330" s="8"/>
      <c r="W330" s="8"/>
      <c r="X330" s="8"/>
      <c r="Y330" s="13">
        <v>226415</v>
      </c>
      <c r="Z330" s="8"/>
      <c r="AA330" s="8"/>
      <c r="AB330" s="8"/>
      <c r="AC330" s="8"/>
      <c r="AD330" s="11">
        <v>0</v>
      </c>
      <c r="AE330" s="12">
        <v>-10440</v>
      </c>
      <c r="AF330" s="13">
        <v>10440</v>
      </c>
      <c r="AG330" s="8"/>
      <c r="AH330" s="8"/>
      <c r="AI330" s="8"/>
      <c r="AJ330" s="10">
        <v>1107019735.2</v>
      </c>
      <c r="AK330" s="8"/>
      <c r="AL330" s="8"/>
      <c r="AM330" s="8"/>
      <c r="AN330" s="8"/>
      <c r="AO330" s="10">
        <v>0</v>
      </c>
      <c r="AP330" s="10">
        <v>0</v>
      </c>
      <c r="AQ330" s="10">
        <v>38021443.75</v>
      </c>
      <c r="AR330" s="8"/>
      <c r="AS330" s="8"/>
      <c r="AT330" s="8"/>
      <c r="AU330" s="14">
        <v>45838</v>
      </c>
      <c r="AV330" s="8"/>
      <c r="AW330" s="8"/>
      <c r="AX330" s="8"/>
      <c r="AY330" s="8"/>
      <c r="AZ330" s="14">
        <v>43555</v>
      </c>
      <c r="BA330" s="14">
        <v>43555</v>
      </c>
      <c r="BB330" s="14">
        <v>43465</v>
      </c>
      <c r="BC330" s="8"/>
      <c r="BD330" s="8"/>
      <c r="BE330" s="8"/>
      <c r="BF330" s="8" t="s">
        <v>35</v>
      </c>
      <c r="BG330" s="8"/>
      <c r="BH330" s="8"/>
      <c r="BI330" s="8"/>
      <c r="BJ330" s="8"/>
      <c r="BK330" s="8" t="s">
        <v>35</v>
      </c>
      <c r="BL330" s="8" t="s">
        <v>35</v>
      </c>
      <c r="BM330" s="8" t="s">
        <v>35</v>
      </c>
      <c r="BN330" s="8"/>
      <c r="BO330" s="8"/>
      <c r="BP330" s="8"/>
      <c r="BQ330" s="8" t="s">
        <v>31</v>
      </c>
      <c r="BR330" s="8" t="s">
        <v>36</v>
      </c>
      <c r="BS330" s="10">
        <v>17438999834162.4</v>
      </c>
      <c r="BT330" s="8"/>
      <c r="BU330" s="8" t="s">
        <v>42</v>
      </c>
      <c r="BV330" s="8"/>
      <c r="BW330" s="8"/>
      <c r="BX330" s="8"/>
      <c r="BY330" s="8"/>
      <c r="BZ330" s="8" t="s">
        <v>43</v>
      </c>
      <c r="CA330" s="8" t="s">
        <v>43</v>
      </c>
      <c r="CB330" s="8"/>
      <c r="CC330" s="8"/>
      <c r="CD330" s="8"/>
      <c r="CE330" s="8"/>
      <c r="CF330" s="8" t="s">
        <v>145</v>
      </c>
      <c r="CG330" s="8" t="s">
        <v>146</v>
      </c>
    </row>
    <row r="331" spans="1:85" ht="15.75" hidden="1" customHeight="1" x14ac:dyDescent="0.35">
      <c r="A331" s="8">
        <v>324</v>
      </c>
      <c r="B331" s="8" t="s">
        <v>503</v>
      </c>
      <c r="C331" s="9">
        <v>1.9999999999999999E-6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10">
        <v>222000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3">
        <v>222000</v>
      </c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10">
        <v>976506907.60000002</v>
      </c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14">
        <v>45930</v>
      </c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 t="s">
        <v>201</v>
      </c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 t="s">
        <v>25</v>
      </c>
      <c r="BR331" s="8" t="s">
        <v>202</v>
      </c>
      <c r="BS331" s="10">
        <v>15303928356</v>
      </c>
      <c r="BT331" s="8"/>
      <c r="BU331" s="8" t="s">
        <v>27</v>
      </c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 t="s">
        <v>29</v>
      </c>
    </row>
    <row r="332" spans="1:85" ht="15.75" customHeight="1" x14ac:dyDescent="0.35">
      <c r="A332" s="8">
        <v>325</v>
      </c>
      <c r="B332" s="8" t="s">
        <v>504</v>
      </c>
      <c r="C332" s="9">
        <v>1.9999999999999999E-6</v>
      </c>
      <c r="D332" s="9">
        <v>1.92E-4</v>
      </c>
      <c r="E332" s="9">
        <v>2.31E-4</v>
      </c>
      <c r="F332" s="9">
        <v>9.8999999999999994E-5</v>
      </c>
      <c r="G332" s="9">
        <v>8.1000000000000004E-5</v>
      </c>
      <c r="H332" s="9">
        <v>1.2999999999999999E-5</v>
      </c>
      <c r="I332" s="9">
        <v>1.7E-5</v>
      </c>
      <c r="J332" s="9">
        <v>2.5399999999999999E-4</v>
      </c>
      <c r="K332" s="9">
        <v>9.9999999999999995E-7</v>
      </c>
      <c r="L332" s="9">
        <v>1.5E-5</v>
      </c>
      <c r="M332" s="9">
        <v>2.3E-5</v>
      </c>
      <c r="N332" s="10">
        <v>210200</v>
      </c>
      <c r="O332" s="10">
        <v>17731078</v>
      </c>
      <c r="P332" s="10">
        <v>21317039</v>
      </c>
      <c r="Q332" s="10">
        <v>9148156</v>
      </c>
      <c r="R332" s="10">
        <v>7511316</v>
      </c>
      <c r="S332" s="10">
        <v>1241062</v>
      </c>
      <c r="T332" s="10">
        <v>1524662</v>
      </c>
      <c r="U332" s="10">
        <v>23497600</v>
      </c>
      <c r="V332" s="10">
        <v>126756</v>
      </c>
      <c r="W332" s="10">
        <v>1402664</v>
      </c>
      <c r="X332" s="10">
        <v>2170748</v>
      </c>
      <c r="Y332" s="12">
        <v>-17520878</v>
      </c>
      <c r="Z332" s="12">
        <v>-3585961</v>
      </c>
      <c r="AA332" s="13">
        <v>12168883</v>
      </c>
      <c r="AB332" s="13">
        <v>1636840</v>
      </c>
      <c r="AC332" s="13">
        <v>6270254</v>
      </c>
      <c r="AD332" s="12">
        <v>-283600</v>
      </c>
      <c r="AE332" s="12">
        <v>-21972938</v>
      </c>
      <c r="AF332" s="13">
        <v>23370844</v>
      </c>
      <c r="AG332" s="12">
        <v>-1275908</v>
      </c>
      <c r="AH332" s="12">
        <v>-768084</v>
      </c>
      <c r="AI332" s="13">
        <v>44008</v>
      </c>
      <c r="AJ332" s="10">
        <v>1018062426.3</v>
      </c>
      <c r="AK332" s="10">
        <v>100816512990.89999</v>
      </c>
      <c r="AL332" s="10">
        <v>128968085813.39999</v>
      </c>
      <c r="AM332" s="10">
        <v>45397724179.5</v>
      </c>
      <c r="AN332" s="10">
        <v>26355754620</v>
      </c>
      <c r="AO332" s="10">
        <v>3924858553.1999998</v>
      </c>
      <c r="AP332" s="10">
        <v>5834077549.1999998</v>
      </c>
      <c r="AQ332" s="10">
        <v>85575841681.25</v>
      </c>
      <c r="AR332" s="10">
        <v>507024024.05000001</v>
      </c>
      <c r="AS332" s="10">
        <v>4058959012.1999998</v>
      </c>
      <c r="AT332" s="10">
        <v>5021676168.8999996</v>
      </c>
      <c r="AU332" s="14">
        <v>45777</v>
      </c>
      <c r="AV332" s="14">
        <v>45657</v>
      </c>
      <c r="AW332" s="14">
        <v>45291</v>
      </c>
      <c r="AX332" s="14">
        <v>44926</v>
      </c>
      <c r="AY332" s="14">
        <v>44561</v>
      </c>
      <c r="AZ332" s="14">
        <v>44196</v>
      </c>
      <c r="BA332" s="14">
        <v>43830</v>
      </c>
      <c r="BB332" s="14">
        <v>43465</v>
      </c>
      <c r="BC332" s="14">
        <v>43100</v>
      </c>
      <c r="BD332" s="14">
        <v>42735</v>
      </c>
      <c r="BE332" s="14">
        <v>42369</v>
      </c>
      <c r="BF332" s="8" t="s">
        <v>35</v>
      </c>
      <c r="BG332" s="8" t="s">
        <v>35</v>
      </c>
      <c r="BH332" s="8" t="s">
        <v>35</v>
      </c>
      <c r="BI332" s="8" t="s">
        <v>35</v>
      </c>
      <c r="BJ332" s="8" t="s">
        <v>35</v>
      </c>
      <c r="BK332" s="8" t="s">
        <v>35</v>
      </c>
      <c r="BL332" s="8" t="s">
        <v>35</v>
      </c>
      <c r="BM332" s="8" t="s">
        <v>35</v>
      </c>
      <c r="BN332" s="8" t="s">
        <v>35</v>
      </c>
      <c r="BO332" s="8" t="s">
        <v>35</v>
      </c>
      <c r="BP332" s="8" t="s">
        <v>35</v>
      </c>
      <c r="BQ332" s="8" t="s">
        <v>31</v>
      </c>
      <c r="BR332" s="8" t="s">
        <v>49</v>
      </c>
      <c r="BS332" s="10">
        <v>1204824020911400</v>
      </c>
      <c r="BT332" s="8" t="s">
        <v>61</v>
      </c>
      <c r="BU332" s="8" t="s">
        <v>27</v>
      </c>
      <c r="BV332" s="8" t="s">
        <v>27</v>
      </c>
      <c r="BW332" s="8" t="s">
        <v>27</v>
      </c>
      <c r="BX332" s="8" t="s">
        <v>27</v>
      </c>
      <c r="BY332" s="8" t="s">
        <v>27</v>
      </c>
      <c r="BZ332" s="8" t="s">
        <v>42</v>
      </c>
      <c r="CA332" s="8" t="s">
        <v>27</v>
      </c>
      <c r="CB332" s="8" t="s">
        <v>42</v>
      </c>
      <c r="CC332" s="8" t="s">
        <v>42</v>
      </c>
      <c r="CD332" s="8" t="s">
        <v>42</v>
      </c>
      <c r="CE332" s="8" t="s">
        <v>42</v>
      </c>
      <c r="CF332" s="8" t="s">
        <v>73</v>
      </c>
      <c r="CG332" s="8" t="s">
        <v>39</v>
      </c>
    </row>
    <row r="333" spans="1:85" ht="15.75" customHeight="1" x14ac:dyDescent="0.35">
      <c r="A333" s="8">
        <v>326</v>
      </c>
      <c r="B333" s="8" t="s">
        <v>505</v>
      </c>
      <c r="C333" s="9">
        <v>1.9999999999999999E-6</v>
      </c>
      <c r="D333" s="9">
        <v>9.0000000000000002E-6</v>
      </c>
      <c r="E333" s="9">
        <v>1.2999999999999999E-5</v>
      </c>
      <c r="F333" s="9">
        <v>1.0000000000000001E-5</v>
      </c>
      <c r="G333" s="9">
        <v>7.2999999999999999E-5</v>
      </c>
      <c r="H333" s="9">
        <v>8.0000000000000007E-5</v>
      </c>
      <c r="I333" s="9">
        <v>1.2E-5</v>
      </c>
      <c r="J333" s="9">
        <v>2.3E-5</v>
      </c>
      <c r="K333" s="9">
        <v>1.5E-5</v>
      </c>
      <c r="L333" s="9">
        <v>2.3E-5</v>
      </c>
      <c r="M333" s="9">
        <v>3.1999999999999999E-5</v>
      </c>
      <c r="N333" s="10">
        <v>196700</v>
      </c>
      <c r="O333" s="10">
        <v>843100</v>
      </c>
      <c r="P333" s="10">
        <v>1171000</v>
      </c>
      <c r="Q333" s="10">
        <v>959000</v>
      </c>
      <c r="R333" s="10">
        <v>6776600</v>
      </c>
      <c r="S333" s="10">
        <v>7358000</v>
      </c>
      <c r="T333" s="10">
        <v>1119000</v>
      </c>
      <c r="U333" s="10">
        <v>2105600</v>
      </c>
      <c r="V333" s="10">
        <v>1361400</v>
      </c>
      <c r="W333" s="10">
        <v>2146800</v>
      </c>
      <c r="X333" s="10">
        <v>2953200</v>
      </c>
      <c r="Y333" s="12">
        <v>-646400</v>
      </c>
      <c r="Z333" s="12">
        <v>-327900</v>
      </c>
      <c r="AA333" s="13">
        <v>212000</v>
      </c>
      <c r="AB333" s="12">
        <v>-5817600</v>
      </c>
      <c r="AC333" s="12">
        <v>-581400</v>
      </c>
      <c r="AD333" s="13">
        <v>6239000</v>
      </c>
      <c r="AE333" s="12">
        <v>-986600</v>
      </c>
      <c r="AF333" s="13">
        <v>744200</v>
      </c>
      <c r="AG333" s="12">
        <v>-785400</v>
      </c>
      <c r="AH333" s="12">
        <v>-806400</v>
      </c>
      <c r="AI333" s="13">
        <v>834400</v>
      </c>
      <c r="AJ333" s="10">
        <v>961732995</v>
      </c>
      <c r="AK333" s="10">
        <v>4793752589.3999996</v>
      </c>
      <c r="AL333" s="10">
        <v>7025716932</v>
      </c>
      <c r="AM333" s="10">
        <v>3800037423.5999999</v>
      </c>
      <c r="AN333" s="10">
        <v>23777778285</v>
      </c>
      <c r="AO333" s="10">
        <v>23269675010.400002</v>
      </c>
      <c r="AP333" s="10">
        <v>4281823017.1999998</v>
      </c>
      <c r="AQ333" s="10">
        <v>7668378537.5</v>
      </c>
      <c r="AR333" s="10">
        <v>5445600068.5</v>
      </c>
      <c r="AS333" s="10">
        <v>6212302442.1000004</v>
      </c>
      <c r="AT333" s="10">
        <v>6831752951.25</v>
      </c>
      <c r="AU333" s="14">
        <v>45838</v>
      </c>
      <c r="AV333" s="14">
        <v>45657</v>
      </c>
      <c r="AW333" s="14">
        <v>45199</v>
      </c>
      <c r="AX333" s="14">
        <v>44742</v>
      </c>
      <c r="AY333" s="14">
        <v>44561</v>
      </c>
      <c r="AZ333" s="14">
        <v>44196</v>
      </c>
      <c r="BA333" s="14">
        <v>43830</v>
      </c>
      <c r="BB333" s="14">
        <v>43465</v>
      </c>
      <c r="BC333" s="14">
        <v>43100</v>
      </c>
      <c r="BD333" s="14">
        <v>42735</v>
      </c>
      <c r="BE333" s="14">
        <v>42369</v>
      </c>
      <c r="BF333" s="8" t="s">
        <v>35</v>
      </c>
      <c r="BG333" s="8" t="s">
        <v>35</v>
      </c>
      <c r="BH333" s="8" t="s">
        <v>35</v>
      </c>
      <c r="BI333" s="8" t="s">
        <v>35</v>
      </c>
      <c r="BJ333" s="8" t="s">
        <v>35</v>
      </c>
      <c r="BK333" s="8" t="s">
        <v>35</v>
      </c>
      <c r="BL333" s="8" t="s">
        <v>35</v>
      </c>
      <c r="BM333" s="8" t="s">
        <v>35</v>
      </c>
      <c r="BN333" s="8" t="s">
        <v>35</v>
      </c>
      <c r="BO333" s="8" t="s">
        <v>35</v>
      </c>
      <c r="BP333" s="8" t="s">
        <v>35</v>
      </c>
      <c r="BQ333" s="8" t="s">
        <v>31</v>
      </c>
      <c r="BR333" s="8" t="s">
        <v>49</v>
      </c>
      <c r="BS333" s="10">
        <v>1869792838354170</v>
      </c>
      <c r="BT333" s="8" t="s">
        <v>101</v>
      </c>
      <c r="BU333" s="8" t="s">
        <v>42</v>
      </c>
      <c r="BV333" s="8" t="s">
        <v>42</v>
      </c>
      <c r="BW333" s="8" t="s">
        <v>42</v>
      </c>
      <c r="BX333" s="8" t="s">
        <v>42</v>
      </c>
      <c r="BY333" s="8" t="s">
        <v>42</v>
      </c>
      <c r="BZ333" s="8" t="s">
        <v>42</v>
      </c>
      <c r="CA333" s="8" t="s">
        <v>42</v>
      </c>
      <c r="CB333" s="8" t="s">
        <v>42</v>
      </c>
      <c r="CC333" s="8" t="s">
        <v>42</v>
      </c>
      <c r="CD333" s="8" t="s">
        <v>42</v>
      </c>
      <c r="CE333" s="8" t="s">
        <v>42</v>
      </c>
      <c r="CF333" s="8" t="s">
        <v>210</v>
      </c>
      <c r="CG333" s="8" t="s">
        <v>39</v>
      </c>
    </row>
    <row r="334" spans="1:85" ht="15.75" hidden="1" customHeight="1" x14ac:dyDescent="0.35">
      <c r="A334" s="8">
        <v>327</v>
      </c>
      <c r="B334" s="8" t="s">
        <v>506</v>
      </c>
      <c r="C334" s="9">
        <v>1.9999999999999999E-6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10">
        <v>183168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3">
        <v>183168</v>
      </c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10">
        <v>805697425.39999998</v>
      </c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14">
        <v>45930</v>
      </c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 t="s">
        <v>201</v>
      </c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 t="s">
        <v>25</v>
      </c>
      <c r="BR334" s="8" t="s">
        <v>202</v>
      </c>
      <c r="BS334" s="10">
        <v>996336765.60000002</v>
      </c>
      <c r="BT334" s="8"/>
      <c r="BU334" s="8" t="s">
        <v>27</v>
      </c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 t="s">
        <v>29</v>
      </c>
    </row>
    <row r="335" spans="1:85" ht="15.75" customHeight="1" x14ac:dyDescent="0.35">
      <c r="A335" s="8">
        <v>328</v>
      </c>
      <c r="B335" s="8" t="s">
        <v>507</v>
      </c>
      <c r="C335" s="9">
        <v>1.9999999999999999E-6</v>
      </c>
      <c r="D335" s="9">
        <v>1.9999999999999999E-6</v>
      </c>
      <c r="E335" s="9">
        <v>1.9999999999999999E-6</v>
      </c>
      <c r="F335" s="9">
        <v>9.9999999999999995E-7</v>
      </c>
      <c r="G335" s="9">
        <v>6.9999999999999999E-6</v>
      </c>
      <c r="H335" s="9">
        <v>1.1E-5</v>
      </c>
      <c r="I335" s="9">
        <v>0</v>
      </c>
      <c r="J335" s="9">
        <v>2.5000000000000001E-5</v>
      </c>
      <c r="K335" s="9">
        <v>5.0000000000000004E-6</v>
      </c>
      <c r="L335" s="8"/>
      <c r="M335" s="8"/>
      <c r="N335" s="10">
        <v>178600</v>
      </c>
      <c r="O335" s="10">
        <v>178600</v>
      </c>
      <c r="P335" s="10">
        <v>178600</v>
      </c>
      <c r="Q335" s="10">
        <v>86200</v>
      </c>
      <c r="R335" s="10">
        <v>618200</v>
      </c>
      <c r="S335" s="10">
        <v>987400</v>
      </c>
      <c r="T335" s="10">
        <v>0</v>
      </c>
      <c r="U335" s="10">
        <v>2287600</v>
      </c>
      <c r="V335" s="10">
        <v>421600</v>
      </c>
      <c r="W335" s="8"/>
      <c r="X335" s="8"/>
      <c r="Y335" s="11">
        <v>0</v>
      </c>
      <c r="Z335" s="11">
        <v>0</v>
      </c>
      <c r="AA335" s="13">
        <v>92400</v>
      </c>
      <c r="AB335" s="12">
        <v>-532000</v>
      </c>
      <c r="AC335" s="12">
        <v>-369200</v>
      </c>
      <c r="AD335" s="13">
        <v>987400</v>
      </c>
      <c r="AE335" s="12">
        <v>-2287600</v>
      </c>
      <c r="AF335" s="13">
        <v>1866000</v>
      </c>
      <c r="AG335" s="13">
        <v>421600</v>
      </c>
      <c r="AH335" s="8"/>
      <c r="AI335" s="8"/>
      <c r="AJ335" s="10">
        <v>1053740047.5</v>
      </c>
      <c r="AK335" s="10">
        <v>1053740047.5</v>
      </c>
      <c r="AL335" s="10">
        <v>1080529942.6500001</v>
      </c>
      <c r="AM335" s="10">
        <v>427767447.25</v>
      </c>
      <c r="AN335" s="10">
        <v>2169144120</v>
      </c>
      <c r="AO335" s="10">
        <v>3122652546</v>
      </c>
      <c r="AP335" s="10">
        <v>0</v>
      </c>
      <c r="AQ335" s="10">
        <v>8331203893.75</v>
      </c>
      <c r="AR335" s="10">
        <v>1559919964.6800001</v>
      </c>
      <c r="AS335" s="8"/>
      <c r="AT335" s="8"/>
      <c r="AU335" s="14">
        <v>45443</v>
      </c>
      <c r="AV335" s="14">
        <v>45443</v>
      </c>
      <c r="AW335" s="14">
        <v>45291</v>
      </c>
      <c r="AX335" s="14">
        <v>44926</v>
      </c>
      <c r="AY335" s="14">
        <v>44561</v>
      </c>
      <c r="AZ335" s="14">
        <v>44196</v>
      </c>
      <c r="BA335" s="14">
        <v>43524</v>
      </c>
      <c r="BB335" s="14">
        <v>43465</v>
      </c>
      <c r="BC335" s="14">
        <v>43069</v>
      </c>
      <c r="BD335" s="8"/>
      <c r="BE335" s="8"/>
      <c r="BF335" s="8" t="s">
        <v>35</v>
      </c>
      <c r="BG335" s="8" t="s">
        <v>35</v>
      </c>
      <c r="BH335" s="8" t="s">
        <v>35</v>
      </c>
      <c r="BI335" s="8" t="s">
        <v>35</v>
      </c>
      <c r="BJ335" s="8" t="s">
        <v>35</v>
      </c>
      <c r="BK335" s="8" t="s">
        <v>35</v>
      </c>
      <c r="BL335" s="8" t="s">
        <v>35</v>
      </c>
      <c r="BM335" s="8" t="s">
        <v>35</v>
      </c>
      <c r="BN335" s="8" t="s">
        <v>35</v>
      </c>
      <c r="BO335" s="8"/>
      <c r="BP335" s="8"/>
      <c r="BQ335" s="8" t="s">
        <v>31</v>
      </c>
      <c r="BR335" s="8" t="s">
        <v>36</v>
      </c>
      <c r="BS335" s="10">
        <v>1715962405213600</v>
      </c>
      <c r="BT335" s="8" t="s">
        <v>46</v>
      </c>
      <c r="BU335" s="8" t="s">
        <v>27</v>
      </c>
      <c r="BV335" s="8" t="s">
        <v>27</v>
      </c>
      <c r="BW335" s="8" t="s">
        <v>27</v>
      </c>
      <c r="BX335" s="8" t="s">
        <v>27</v>
      </c>
      <c r="BY335" s="8" t="s">
        <v>27</v>
      </c>
      <c r="BZ335" s="8" t="s">
        <v>27</v>
      </c>
      <c r="CA335" s="8" t="s">
        <v>27</v>
      </c>
      <c r="CB335" s="8" t="s">
        <v>27</v>
      </c>
      <c r="CC335" s="8" t="s">
        <v>27</v>
      </c>
      <c r="CD335" s="8"/>
      <c r="CE335" s="8"/>
      <c r="CF335" s="8" t="s">
        <v>238</v>
      </c>
      <c r="CG335" s="8" t="s">
        <v>132</v>
      </c>
    </row>
    <row r="336" spans="1:85" ht="15.75" customHeight="1" x14ac:dyDescent="0.35">
      <c r="A336" s="8">
        <v>329</v>
      </c>
      <c r="B336" s="8" t="s">
        <v>508</v>
      </c>
      <c r="C336" s="9">
        <v>1.9999999999999999E-6</v>
      </c>
      <c r="D336" s="9">
        <v>1.9999999999999999E-6</v>
      </c>
      <c r="E336" s="9">
        <v>3.0000000000000001E-6</v>
      </c>
      <c r="F336" s="9">
        <v>0</v>
      </c>
      <c r="G336" s="8"/>
      <c r="H336" s="9">
        <v>0</v>
      </c>
      <c r="I336" s="9">
        <v>0</v>
      </c>
      <c r="J336" s="9">
        <v>7.9999999999999996E-6</v>
      </c>
      <c r="K336" s="9">
        <v>6.0000000000000002E-6</v>
      </c>
      <c r="L336" s="9">
        <v>6.0000000000000002E-6</v>
      </c>
      <c r="M336" s="9">
        <v>5.0000000000000004E-6</v>
      </c>
      <c r="N336" s="10">
        <v>175476</v>
      </c>
      <c r="O336" s="10">
        <v>175476</v>
      </c>
      <c r="P336" s="10">
        <v>284800</v>
      </c>
      <c r="Q336" s="10">
        <v>10400</v>
      </c>
      <c r="R336" s="8"/>
      <c r="S336" s="10">
        <v>0</v>
      </c>
      <c r="T336" s="10">
        <v>0</v>
      </c>
      <c r="U336" s="10">
        <v>729400</v>
      </c>
      <c r="V336" s="10">
        <v>545588</v>
      </c>
      <c r="W336" s="10">
        <v>545588</v>
      </c>
      <c r="X336" s="10">
        <v>481588</v>
      </c>
      <c r="Y336" s="11">
        <v>0</v>
      </c>
      <c r="Z336" s="12">
        <v>-109324</v>
      </c>
      <c r="AA336" s="13">
        <v>274400</v>
      </c>
      <c r="AB336" s="13">
        <v>10400</v>
      </c>
      <c r="AC336" s="8"/>
      <c r="AD336" s="11">
        <v>0</v>
      </c>
      <c r="AE336" s="12">
        <v>-729400</v>
      </c>
      <c r="AF336" s="13">
        <v>183812</v>
      </c>
      <c r="AG336" s="11">
        <v>0</v>
      </c>
      <c r="AH336" s="13">
        <v>64000</v>
      </c>
      <c r="AI336" s="12">
        <v>-74400</v>
      </c>
      <c r="AJ336" s="10">
        <v>997732855</v>
      </c>
      <c r="AK336" s="10">
        <v>997732855</v>
      </c>
      <c r="AL336" s="10">
        <v>1723039959.75</v>
      </c>
      <c r="AM336" s="10">
        <v>51609960.049999997</v>
      </c>
      <c r="AN336" s="8"/>
      <c r="AO336" s="10">
        <v>0</v>
      </c>
      <c r="AP336" s="10">
        <v>0</v>
      </c>
      <c r="AQ336" s="10">
        <v>2656399806.25</v>
      </c>
      <c r="AR336" s="10">
        <v>1404889099.3499999</v>
      </c>
      <c r="AS336" s="10">
        <v>1404889099.3499999</v>
      </c>
      <c r="AT336" s="10">
        <v>1114076405.7</v>
      </c>
      <c r="AU336" s="14">
        <v>45657</v>
      </c>
      <c r="AV336" s="14">
        <v>45657</v>
      </c>
      <c r="AW336" s="14">
        <v>45291</v>
      </c>
      <c r="AX336" s="14">
        <v>44926</v>
      </c>
      <c r="AY336" s="8"/>
      <c r="AZ336" s="14">
        <v>43738</v>
      </c>
      <c r="BA336" s="14">
        <v>43738</v>
      </c>
      <c r="BB336" s="14">
        <v>43465</v>
      </c>
      <c r="BC336" s="14">
        <v>42460</v>
      </c>
      <c r="BD336" s="14">
        <v>42460</v>
      </c>
      <c r="BE336" s="14">
        <v>42369</v>
      </c>
      <c r="BF336" s="8" t="s">
        <v>35</v>
      </c>
      <c r="BG336" s="8" t="s">
        <v>35</v>
      </c>
      <c r="BH336" s="8" t="s">
        <v>35</v>
      </c>
      <c r="BI336" s="8" t="s">
        <v>35</v>
      </c>
      <c r="BJ336" s="8"/>
      <c r="BK336" s="8" t="s">
        <v>35</v>
      </c>
      <c r="BL336" s="8" t="s">
        <v>35</v>
      </c>
      <c r="BM336" s="8" t="s">
        <v>35</v>
      </c>
      <c r="BN336" s="8" t="s">
        <v>35</v>
      </c>
      <c r="BO336" s="8" t="s">
        <v>35</v>
      </c>
      <c r="BP336" s="8" t="s">
        <v>35</v>
      </c>
      <c r="BQ336" s="8" t="s">
        <v>31</v>
      </c>
      <c r="BR336" s="8" t="s">
        <v>36</v>
      </c>
      <c r="BS336" s="10">
        <v>87419896844965.203</v>
      </c>
      <c r="BT336" s="8" t="s">
        <v>61</v>
      </c>
      <c r="BU336" s="8" t="s">
        <v>27</v>
      </c>
      <c r="BV336" s="8" t="s">
        <v>27</v>
      </c>
      <c r="BW336" s="8" t="s">
        <v>42</v>
      </c>
      <c r="BX336" s="8" t="s">
        <v>27</v>
      </c>
      <c r="BY336" s="8"/>
      <c r="BZ336" s="8" t="s">
        <v>42</v>
      </c>
      <c r="CA336" s="8" t="s">
        <v>42</v>
      </c>
      <c r="CB336" s="8" t="s">
        <v>42</v>
      </c>
      <c r="CC336" s="8" t="s">
        <v>42</v>
      </c>
      <c r="CD336" s="8" t="s">
        <v>42</v>
      </c>
      <c r="CE336" s="8" t="s">
        <v>27</v>
      </c>
      <c r="CF336" s="8" t="s">
        <v>301</v>
      </c>
      <c r="CG336" s="8" t="s">
        <v>302</v>
      </c>
    </row>
    <row r="337" spans="1:85" ht="15.75" customHeight="1" x14ac:dyDescent="0.35">
      <c r="A337" s="8">
        <v>330</v>
      </c>
      <c r="B337" s="8" t="s">
        <v>509</v>
      </c>
      <c r="C337" s="9">
        <v>1.9999999999999999E-6</v>
      </c>
      <c r="D337" s="9">
        <v>1.9999999999999999E-6</v>
      </c>
      <c r="E337" s="9">
        <v>3.0000000000000001E-6</v>
      </c>
      <c r="F337" s="9">
        <v>1.9999999999999999E-6</v>
      </c>
      <c r="G337" s="9">
        <v>1.9999999999999999E-6</v>
      </c>
      <c r="H337" s="9">
        <v>9.9999999999999995E-7</v>
      </c>
      <c r="I337" s="9">
        <v>9.9999999999999995E-7</v>
      </c>
      <c r="J337" s="8"/>
      <c r="K337" s="8"/>
      <c r="L337" s="8"/>
      <c r="M337" s="8"/>
      <c r="N337" s="10">
        <v>164400</v>
      </c>
      <c r="O337" s="10">
        <v>164400</v>
      </c>
      <c r="P337" s="10">
        <v>234400</v>
      </c>
      <c r="Q337" s="10">
        <v>200200</v>
      </c>
      <c r="R337" s="10">
        <v>162600</v>
      </c>
      <c r="S337" s="10">
        <v>114000</v>
      </c>
      <c r="T337" s="10">
        <v>121600</v>
      </c>
      <c r="U337" s="8"/>
      <c r="V337" s="8"/>
      <c r="W337" s="8"/>
      <c r="X337" s="8"/>
      <c r="Y337" s="11">
        <v>0</v>
      </c>
      <c r="Z337" s="12">
        <v>-70000</v>
      </c>
      <c r="AA337" s="13">
        <v>34200</v>
      </c>
      <c r="AB337" s="13">
        <v>37600</v>
      </c>
      <c r="AC337" s="13">
        <v>48600</v>
      </c>
      <c r="AD337" s="12">
        <v>-7600</v>
      </c>
      <c r="AE337" s="13">
        <v>121600</v>
      </c>
      <c r="AF337" s="8"/>
      <c r="AG337" s="8"/>
      <c r="AH337" s="8"/>
      <c r="AI337" s="8"/>
      <c r="AJ337" s="10">
        <v>853848460.85000002</v>
      </c>
      <c r="AK337" s="10">
        <v>934756112.29999995</v>
      </c>
      <c r="AL337" s="10">
        <v>1418119969.9000001</v>
      </c>
      <c r="AM337" s="10">
        <v>993492470.29999995</v>
      </c>
      <c r="AN337" s="10">
        <v>570531952.5</v>
      </c>
      <c r="AO337" s="10">
        <v>360525016.80000001</v>
      </c>
      <c r="AP337" s="10">
        <v>465299101.19999999</v>
      </c>
      <c r="AQ337" s="8"/>
      <c r="AR337" s="8"/>
      <c r="AS337" s="8"/>
      <c r="AT337" s="8"/>
      <c r="AU337" s="14">
        <v>45747</v>
      </c>
      <c r="AV337" s="14">
        <v>45657</v>
      </c>
      <c r="AW337" s="14">
        <v>45291</v>
      </c>
      <c r="AX337" s="14">
        <v>44926</v>
      </c>
      <c r="AY337" s="14">
        <v>44561</v>
      </c>
      <c r="AZ337" s="14">
        <v>44196</v>
      </c>
      <c r="BA337" s="14">
        <v>43830</v>
      </c>
      <c r="BB337" s="8"/>
      <c r="BC337" s="8"/>
      <c r="BD337" s="8"/>
      <c r="BE337" s="8"/>
      <c r="BF337" s="8" t="s">
        <v>35</v>
      </c>
      <c r="BG337" s="8" t="s">
        <v>35</v>
      </c>
      <c r="BH337" s="8" t="s">
        <v>35</v>
      </c>
      <c r="BI337" s="8" t="s">
        <v>35</v>
      </c>
      <c r="BJ337" s="8" t="s">
        <v>35</v>
      </c>
      <c r="BK337" s="8" t="s">
        <v>35</v>
      </c>
      <c r="BL337" s="8" t="s">
        <v>35</v>
      </c>
      <c r="BM337" s="8"/>
      <c r="BN337" s="8"/>
      <c r="BO337" s="8"/>
      <c r="BP337" s="8"/>
      <c r="BQ337" s="8" t="s">
        <v>31</v>
      </c>
      <c r="BR337" s="8" t="s">
        <v>36</v>
      </c>
      <c r="BS337" s="10">
        <v>133008903970524</v>
      </c>
      <c r="BT337" s="8" t="s">
        <v>61</v>
      </c>
      <c r="BU337" s="8" t="s">
        <v>27</v>
      </c>
      <c r="BV337" s="8" t="s">
        <v>27</v>
      </c>
      <c r="BW337" s="8" t="s">
        <v>27</v>
      </c>
      <c r="BX337" s="8" t="s">
        <v>42</v>
      </c>
      <c r="BY337" s="8" t="s">
        <v>27</v>
      </c>
      <c r="BZ337" s="8" t="s">
        <v>27</v>
      </c>
      <c r="CA337" s="8" t="s">
        <v>42</v>
      </c>
      <c r="CB337" s="8"/>
      <c r="CC337" s="8"/>
      <c r="CD337" s="8"/>
      <c r="CE337" s="8"/>
      <c r="CF337" s="8" t="s">
        <v>317</v>
      </c>
      <c r="CG337" s="8" t="s">
        <v>39</v>
      </c>
    </row>
    <row r="338" spans="1:85" ht="15.75" customHeight="1" x14ac:dyDescent="0.35">
      <c r="A338" s="8">
        <v>331</v>
      </c>
      <c r="B338" s="8" t="s">
        <v>510</v>
      </c>
      <c r="C338" s="9">
        <v>1.9999999999999999E-6</v>
      </c>
      <c r="D338" s="9">
        <v>1.9999999999999999E-6</v>
      </c>
      <c r="E338" s="9">
        <v>3.0000000000000001E-6</v>
      </c>
      <c r="F338" s="9">
        <v>6.0000000000000002E-6</v>
      </c>
      <c r="G338" s="9">
        <v>0</v>
      </c>
      <c r="H338" s="9">
        <v>0</v>
      </c>
      <c r="I338" s="9">
        <v>5.0000000000000004E-6</v>
      </c>
      <c r="J338" s="9">
        <v>7.9999999999999996E-6</v>
      </c>
      <c r="K338" s="9">
        <v>7.9999999999999996E-6</v>
      </c>
      <c r="L338" s="9">
        <v>9.0000000000000002E-6</v>
      </c>
      <c r="M338" s="9">
        <v>9.0000000000000002E-6</v>
      </c>
      <c r="N338" s="10">
        <v>163900</v>
      </c>
      <c r="O338" s="10">
        <v>163900</v>
      </c>
      <c r="P338" s="10">
        <v>281500</v>
      </c>
      <c r="Q338" s="10">
        <v>550000</v>
      </c>
      <c r="R338" s="10">
        <v>0</v>
      </c>
      <c r="S338" s="10">
        <v>0</v>
      </c>
      <c r="T338" s="10">
        <v>419400</v>
      </c>
      <c r="U338" s="10">
        <v>709212</v>
      </c>
      <c r="V338" s="10">
        <v>746552</v>
      </c>
      <c r="W338" s="10">
        <v>786552</v>
      </c>
      <c r="X338" s="10">
        <v>829752</v>
      </c>
      <c r="Y338" s="11">
        <v>0</v>
      </c>
      <c r="Z338" s="12">
        <v>-117600</v>
      </c>
      <c r="AA338" s="12">
        <v>-268500</v>
      </c>
      <c r="AB338" s="13">
        <v>550000</v>
      </c>
      <c r="AC338" s="11">
        <v>0</v>
      </c>
      <c r="AD338" s="12">
        <v>-419400</v>
      </c>
      <c r="AE338" s="12">
        <v>-289812</v>
      </c>
      <c r="AF338" s="12">
        <v>-37340</v>
      </c>
      <c r="AG338" s="12">
        <v>-40000</v>
      </c>
      <c r="AH338" s="12">
        <v>-43200</v>
      </c>
      <c r="AI338" s="11">
        <v>0</v>
      </c>
      <c r="AJ338" s="10">
        <v>1007985041.8</v>
      </c>
      <c r="AK338" s="10">
        <v>1007985041.8</v>
      </c>
      <c r="AL338" s="10">
        <v>1703074954</v>
      </c>
      <c r="AM338" s="10">
        <v>2729375048.4000001</v>
      </c>
      <c r="AN338" s="10">
        <v>0</v>
      </c>
      <c r="AO338" s="10">
        <v>0</v>
      </c>
      <c r="AP338" s="10">
        <v>1604822672.4000001</v>
      </c>
      <c r="AQ338" s="10">
        <v>2582877143.75</v>
      </c>
      <c r="AR338" s="10">
        <v>2986208052.9000001</v>
      </c>
      <c r="AS338" s="10">
        <v>2276084898.5999999</v>
      </c>
      <c r="AT338" s="10">
        <v>1919497701.1500001</v>
      </c>
      <c r="AU338" s="14">
        <v>45473</v>
      </c>
      <c r="AV338" s="14">
        <v>45473</v>
      </c>
      <c r="AW338" s="14">
        <v>45291</v>
      </c>
      <c r="AX338" s="14">
        <v>44926</v>
      </c>
      <c r="AY338" s="14">
        <v>44012</v>
      </c>
      <c r="AZ338" s="14">
        <v>44012</v>
      </c>
      <c r="BA338" s="14">
        <v>43830</v>
      </c>
      <c r="BB338" s="14">
        <v>43465</v>
      </c>
      <c r="BC338" s="14">
        <v>43100</v>
      </c>
      <c r="BD338" s="14">
        <v>42735</v>
      </c>
      <c r="BE338" s="14">
        <v>42369</v>
      </c>
      <c r="BF338" s="8" t="s">
        <v>35</v>
      </c>
      <c r="BG338" s="8" t="s">
        <v>35</v>
      </c>
      <c r="BH338" s="8" t="s">
        <v>35</v>
      </c>
      <c r="BI338" s="8" t="s">
        <v>35</v>
      </c>
      <c r="BJ338" s="8" t="s">
        <v>35</v>
      </c>
      <c r="BK338" s="8" t="s">
        <v>35</v>
      </c>
      <c r="BL338" s="8" t="s">
        <v>35</v>
      </c>
      <c r="BM338" s="8" t="s">
        <v>35</v>
      </c>
      <c r="BN338" s="8" t="s">
        <v>35</v>
      </c>
      <c r="BO338" s="8" t="s">
        <v>35</v>
      </c>
      <c r="BP338" s="8" t="s">
        <v>35</v>
      </c>
      <c r="BQ338" s="8" t="s">
        <v>31</v>
      </c>
      <c r="BR338" s="8" t="s">
        <v>36</v>
      </c>
      <c r="BS338" s="10">
        <v>1054444403939180</v>
      </c>
      <c r="BT338" s="8" t="s">
        <v>57</v>
      </c>
      <c r="BU338" s="8" t="s">
        <v>43</v>
      </c>
      <c r="BV338" s="8" t="s">
        <v>42</v>
      </c>
      <c r="BW338" s="8" t="s">
        <v>42</v>
      </c>
      <c r="BX338" s="8" t="s">
        <v>42</v>
      </c>
      <c r="BY338" s="8" t="s">
        <v>43</v>
      </c>
      <c r="BZ338" s="8" t="s">
        <v>43</v>
      </c>
      <c r="CA338" s="8" t="s">
        <v>42</v>
      </c>
      <c r="CB338" s="8" t="s">
        <v>27</v>
      </c>
      <c r="CC338" s="8" t="s">
        <v>42</v>
      </c>
      <c r="CD338" s="8" t="s">
        <v>42</v>
      </c>
      <c r="CE338" s="8" t="s">
        <v>43</v>
      </c>
      <c r="CF338" s="8" t="s">
        <v>301</v>
      </c>
      <c r="CG338" s="8" t="s">
        <v>302</v>
      </c>
    </row>
    <row r="339" spans="1:85" ht="15.75" hidden="1" customHeight="1" x14ac:dyDescent="0.35">
      <c r="A339" s="8">
        <v>332</v>
      </c>
      <c r="B339" s="8" t="s">
        <v>511</v>
      </c>
      <c r="C339" s="9">
        <v>1.9999999999999999E-6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10">
        <v>163000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3">
        <v>163000</v>
      </c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10">
        <v>716984758</v>
      </c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14">
        <v>45930</v>
      </c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 t="s">
        <v>201</v>
      </c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 t="s">
        <v>25</v>
      </c>
      <c r="BR339" s="8" t="s">
        <v>202</v>
      </c>
      <c r="BS339" s="10">
        <v>106625899.2</v>
      </c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 t="s">
        <v>29</v>
      </c>
    </row>
    <row r="340" spans="1:85" ht="15.75" customHeight="1" x14ac:dyDescent="0.35">
      <c r="A340" s="8">
        <v>333</v>
      </c>
      <c r="B340" s="8" t="s">
        <v>512</v>
      </c>
      <c r="C340" s="9">
        <v>1.9999999999999999E-6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10">
        <v>162000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3">
        <v>162000</v>
      </c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10">
        <v>712586184.79999995</v>
      </c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14">
        <v>45930</v>
      </c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 t="s">
        <v>35</v>
      </c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 t="s">
        <v>31</v>
      </c>
      <c r="BR340" s="8" t="s">
        <v>49</v>
      </c>
      <c r="BS340" s="10">
        <v>75084444274120.797</v>
      </c>
      <c r="BT340" s="8" t="s">
        <v>41</v>
      </c>
      <c r="BU340" s="8" t="s">
        <v>42</v>
      </c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 t="s">
        <v>82</v>
      </c>
      <c r="CG340" s="8" t="s">
        <v>39</v>
      </c>
    </row>
    <row r="341" spans="1:85" ht="15.75" customHeight="1" x14ac:dyDescent="0.35">
      <c r="A341" s="8">
        <v>334</v>
      </c>
      <c r="B341" s="8" t="s">
        <v>513</v>
      </c>
      <c r="C341" s="9">
        <v>9.9999999999999995E-7</v>
      </c>
      <c r="D341" s="9">
        <v>1.9999999999999999E-6</v>
      </c>
      <c r="E341" s="9">
        <v>1.9999999999999999E-6</v>
      </c>
      <c r="F341" s="9">
        <v>6.0000000000000002E-6</v>
      </c>
      <c r="G341" s="9">
        <v>6.9999999999999999E-6</v>
      </c>
      <c r="H341" s="9">
        <v>6.9999999999999999E-6</v>
      </c>
      <c r="I341" s="9">
        <v>6.9999999999999999E-6</v>
      </c>
      <c r="J341" s="9">
        <v>6.9999999999999999E-6</v>
      </c>
      <c r="K341" s="9">
        <v>7.9999999999999996E-6</v>
      </c>
      <c r="L341" s="9">
        <v>2.5999999999999998E-5</v>
      </c>
      <c r="M341" s="9">
        <v>1.5E-5</v>
      </c>
      <c r="N341" s="10">
        <v>122835</v>
      </c>
      <c r="O341" s="10">
        <v>209132</v>
      </c>
      <c r="P341" s="10">
        <v>196628</v>
      </c>
      <c r="Q341" s="10">
        <v>592936</v>
      </c>
      <c r="R341" s="10">
        <v>619850</v>
      </c>
      <c r="S341" s="10">
        <v>667460</v>
      </c>
      <c r="T341" s="10">
        <v>686190</v>
      </c>
      <c r="U341" s="10">
        <v>670550</v>
      </c>
      <c r="V341" s="10">
        <v>728110</v>
      </c>
      <c r="W341" s="10">
        <v>2393292</v>
      </c>
      <c r="X341" s="10">
        <v>1400640</v>
      </c>
      <c r="Y341" s="12">
        <v>-86297</v>
      </c>
      <c r="Z341" s="13">
        <v>12504</v>
      </c>
      <c r="AA341" s="12">
        <v>-396308</v>
      </c>
      <c r="AB341" s="12">
        <v>-26914</v>
      </c>
      <c r="AC341" s="12">
        <v>-47610</v>
      </c>
      <c r="AD341" s="12">
        <v>-18730</v>
      </c>
      <c r="AE341" s="13">
        <v>15640</v>
      </c>
      <c r="AF341" s="12">
        <v>-57560</v>
      </c>
      <c r="AG341" s="12">
        <v>-1665182</v>
      </c>
      <c r="AH341" s="13">
        <v>992652</v>
      </c>
      <c r="AI341" s="11">
        <v>0</v>
      </c>
      <c r="AJ341" s="10">
        <v>651625710.10000002</v>
      </c>
      <c r="AK341" s="10">
        <v>1189096212.9000001</v>
      </c>
      <c r="AL341" s="10">
        <v>1115863938.8</v>
      </c>
      <c r="AM341" s="10">
        <v>2519978040</v>
      </c>
      <c r="AN341" s="10">
        <v>1906038766.8</v>
      </c>
      <c r="AO341" s="10">
        <v>2110842203.3</v>
      </c>
      <c r="AP341" s="10">
        <v>2393087673</v>
      </c>
      <c r="AQ341" s="10">
        <v>2442074162.5</v>
      </c>
      <c r="AR341" s="10">
        <v>2912439955.0999999</v>
      </c>
      <c r="AS341" s="10">
        <v>6925588781.1000004</v>
      </c>
      <c r="AT341" s="10">
        <v>3046392057.5</v>
      </c>
      <c r="AU341" s="14">
        <v>45808</v>
      </c>
      <c r="AV341" s="14">
        <v>45657</v>
      </c>
      <c r="AW341" s="14">
        <v>45230</v>
      </c>
      <c r="AX341" s="14">
        <v>44712</v>
      </c>
      <c r="AY341" s="14">
        <v>44469</v>
      </c>
      <c r="AZ341" s="14">
        <v>44165</v>
      </c>
      <c r="BA341" s="14">
        <v>43799</v>
      </c>
      <c r="BB341" s="14">
        <v>43465</v>
      </c>
      <c r="BC341" s="14">
        <v>43100</v>
      </c>
      <c r="BD341" s="14">
        <v>42735</v>
      </c>
      <c r="BE341" s="14">
        <v>42308</v>
      </c>
      <c r="BF341" s="8" t="s">
        <v>35</v>
      </c>
      <c r="BG341" s="8" t="s">
        <v>35</v>
      </c>
      <c r="BH341" s="8" t="s">
        <v>35</v>
      </c>
      <c r="BI341" s="8" t="s">
        <v>35</v>
      </c>
      <c r="BJ341" s="8" t="s">
        <v>35</v>
      </c>
      <c r="BK341" s="8" t="s">
        <v>35</v>
      </c>
      <c r="BL341" s="8" t="s">
        <v>35</v>
      </c>
      <c r="BM341" s="8" t="s">
        <v>35</v>
      </c>
      <c r="BN341" s="8" t="s">
        <v>35</v>
      </c>
      <c r="BO341" s="8" t="s">
        <v>35</v>
      </c>
      <c r="BP341" s="8" t="s">
        <v>35</v>
      </c>
      <c r="BQ341" s="8" t="s">
        <v>31</v>
      </c>
      <c r="BR341" s="8" t="s">
        <v>53</v>
      </c>
      <c r="BS341" s="10">
        <v>27853111644073.199</v>
      </c>
      <c r="BT341" s="8" t="s">
        <v>37</v>
      </c>
      <c r="BU341" s="8" t="s">
        <v>27</v>
      </c>
      <c r="BV341" s="8" t="s">
        <v>27</v>
      </c>
      <c r="BW341" s="8" t="s">
        <v>42</v>
      </c>
      <c r="BX341" s="8" t="s">
        <v>27</v>
      </c>
      <c r="BY341" s="8" t="s">
        <v>27</v>
      </c>
      <c r="BZ341" s="8" t="s">
        <v>27</v>
      </c>
      <c r="CA341" s="8" t="s">
        <v>27</v>
      </c>
      <c r="CB341" s="8" t="s">
        <v>42</v>
      </c>
      <c r="CC341" s="8" t="s">
        <v>27</v>
      </c>
      <c r="CD341" s="8" t="s">
        <v>27</v>
      </c>
      <c r="CE341" s="8" t="s">
        <v>43</v>
      </c>
      <c r="CF341" s="8" t="s">
        <v>131</v>
      </c>
      <c r="CG341" s="8" t="s">
        <v>132</v>
      </c>
    </row>
    <row r="342" spans="1:85" ht="15.75" hidden="1" customHeight="1" x14ac:dyDescent="0.35">
      <c r="A342" s="8">
        <v>335</v>
      </c>
      <c r="B342" s="8" t="s">
        <v>514</v>
      </c>
      <c r="C342" s="9">
        <v>9.9999999999999995E-7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10">
        <v>121064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3">
        <v>121064</v>
      </c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10">
        <v>532521739.39999998</v>
      </c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14">
        <v>45930</v>
      </c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 t="s">
        <v>201</v>
      </c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 t="s">
        <v>25</v>
      </c>
      <c r="BR342" s="8" t="s">
        <v>202</v>
      </c>
      <c r="BS342" s="10">
        <v>608334778.79999995</v>
      </c>
      <c r="BT342" s="8"/>
      <c r="BU342" s="8" t="s">
        <v>27</v>
      </c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 t="s">
        <v>29</v>
      </c>
    </row>
    <row r="343" spans="1:85" ht="15.75" customHeight="1" x14ac:dyDescent="0.35">
      <c r="A343" s="8">
        <v>336</v>
      </c>
      <c r="B343" s="8" t="s">
        <v>515</v>
      </c>
      <c r="C343" s="9">
        <v>9.9999999999999995E-7</v>
      </c>
      <c r="D343" s="9">
        <v>9.9999999999999995E-7</v>
      </c>
      <c r="E343" s="9">
        <v>9.9999999999999995E-7</v>
      </c>
      <c r="F343" s="9">
        <v>9.9999999999999995E-7</v>
      </c>
      <c r="G343" s="9">
        <v>9.9999999999999995E-7</v>
      </c>
      <c r="H343" s="9">
        <v>9.9999999999999995E-7</v>
      </c>
      <c r="I343" s="9">
        <v>9.9999999999999995E-7</v>
      </c>
      <c r="J343" s="9">
        <v>9.9999999999999995E-7</v>
      </c>
      <c r="K343" s="9">
        <v>9.9999999999999995E-7</v>
      </c>
      <c r="L343" s="8"/>
      <c r="M343" s="8"/>
      <c r="N343" s="10">
        <v>120600</v>
      </c>
      <c r="O343" s="10">
        <v>96100</v>
      </c>
      <c r="P343" s="10">
        <v>85100</v>
      </c>
      <c r="Q343" s="10">
        <v>104800</v>
      </c>
      <c r="R343" s="10">
        <v>71400</v>
      </c>
      <c r="S343" s="10">
        <v>96200</v>
      </c>
      <c r="T343" s="10">
        <v>96200</v>
      </c>
      <c r="U343" s="10">
        <v>116600</v>
      </c>
      <c r="V343" s="10">
        <v>69600</v>
      </c>
      <c r="W343" s="8"/>
      <c r="X343" s="8"/>
      <c r="Y343" s="13">
        <v>24500</v>
      </c>
      <c r="Z343" s="13">
        <v>11000</v>
      </c>
      <c r="AA343" s="12">
        <v>-19700</v>
      </c>
      <c r="AB343" s="13">
        <v>33400</v>
      </c>
      <c r="AC343" s="12">
        <v>-24800</v>
      </c>
      <c r="AD343" s="11">
        <v>0</v>
      </c>
      <c r="AE343" s="12">
        <v>-20400</v>
      </c>
      <c r="AF343" s="13">
        <v>47000</v>
      </c>
      <c r="AG343" s="13">
        <v>69600</v>
      </c>
      <c r="AH343" s="8"/>
      <c r="AI343" s="8"/>
      <c r="AJ343" s="10">
        <v>546063672</v>
      </c>
      <c r="AK343" s="10">
        <v>546411573</v>
      </c>
      <c r="AL343" s="10">
        <v>514854985</v>
      </c>
      <c r="AM343" s="10">
        <v>520070076.35000002</v>
      </c>
      <c r="AN343" s="10">
        <v>250528822.5</v>
      </c>
      <c r="AO343" s="10">
        <v>304232479.19999999</v>
      </c>
      <c r="AP343" s="10">
        <v>368106622</v>
      </c>
      <c r="AQ343" s="10">
        <v>424645262.5</v>
      </c>
      <c r="AR343" s="10">
        <v>245339995.19999999</v>
      </c>
      <c r="AS343" s="8"/>
      <c r="AT343" s="8"/>
      <c r="AU343" s="14">
        <v>45869</v>
      </c>
      <c r="AV343" s="14">
        <v>45657</v>
      </c>
      <c r="AW343" s="14">
        <v>45291</v>
      </c>
      <c r="AX343" s="14">
        <v>44926</v>
      </c>
      <c r="AY343" s="14">
        <v>44561</v>
      </c>
      <c r="AZ343" s="14">
        <v>44196</v>
      </c>
      <c r="BA343" s="14">
        <v>43830</v>
      </c>
      <c r="BB343" s="14">
        <v>43465</v>
      </c>
      <c r="BC343" s="14">
        <v>43039</v>
      </c>
      <c r="BD343" s="8"/>
      <c r="BE343" s="8"/>
      <c r="BF343" s="8" t="s">
        <v>35</v>
      </c>
      <c r="BG343" s="8" t="s">
        <v>35</v>
      </c>
      <c r="BH343" s="8" t="s">
        <v>35</v>
      </c>
      <c r="BI343" s="8" t="s">
        <v>35</v>
      </c>
      <c r="BJ343" s="8" t="s">
        <v>35</v>
      </c>
      <c r="BK343" s="8" t="s">
        <v>35</v>
      </c>
      <c r="BL343" s="8" t="s">
        <v>35</v>
      </c>
      <c r="BM343" s="8" t="s">
        <v>35</v>
      </c>
      <c r="BN343" s="8" t="s">
        <v>35</v>
      </c>
      <c r="BO343" s="8"/>
      <c r="BP343" s="8"/>
      <c r="BQ343" s="8" t="s">
        <v>31</v>
      </c>
      <c r="BR343" s="8" t="s">
        <v>49</v>
      </c>
      <c r="BS343" s="10">
        <v>1345343903213740</v>
      </c>
      <c r="BT343" s="8" t="s">
        <v>46</v>
      </c>
      <c r="BU343" s="8" t="s">
        <v>27</v>
      </c>
      <c r="BV343" s="8" t="s">
        <v>27</v>
      </c>
      <c r="BW343" s="8" t="s">
        <v>27</v>
      </c>
      <c r="BX343" s="8" t="s">
        <v>27</v>
      </c>
      <c r="BY343" s="8" t="s">
        <v>42</v>
      </c>
      <c r="BZ343" s="8" t="s">
        <v>27</v>
      </c>
      <c r="CA343" s="8" t="s">
        <v>27</v>
      </c>
      <c r="CB343" s="8" t="s">
        <v>42</v>
      </c>
      <c r="CC343" s="8" t="s">
        <v>27</v>
      </c>
      <c r="CD343" s="8"/>
      <c r="CE343" s="8"/>
      <c r="CF343" s="8" t="s">
        <v>131</v>
      </c>
      <c r="CG343" s="8" t="s">
        <v>132</v>
      </c>
    </row>
    <row r="344" spans="1:85" ht="15.75" customHeight="1" x14ac:dyDescent="0.35">
      <c r="A344" s="8">
        <v>337</v>
      </c>
      <c r="B344" s="8" t="s">
        <v>516</v>
      </c>
      <c r="C344" s="9">
        <v>9.9999999999999995E-7</v>
      </c>
      <c r="D344" s="9">
        <v>9.9999999999999995E-7</v>
      </c>
      <c r="E344" s="9">
        <v>1.9999999999999999E-6</v>
      </c>
      <c r="F344" s="8"/>
      <c r="G344" s="8"/>
      <c r="H344" s="8"/>
      <c r="I344" s="8"/>
      <c r="J344" s="8"/>
      <c r="K344" s="8"/>
      <c r="L344" s="8"/>
      <c r="M344" s="8"/>
      <c r="N344" s="10">
        <v>118700</v>
      </c>
      <c r="O344" s="10">
        <v>118700</v>
      </c>
      <c r="P344" s="10">
        <v>222600</v>
      </c>
      <c r="Q344" s="8"/>
      <c r="R344" s="8"/>
      <c r="S344" s="8"/>
      <c r="T344" s="8"/>
      <c r="U344" s="8"/>
      <c r="V344" s="8"/>
      <c r="W344" s="8"/>
      <c r="X344" s="8"/>
      <c r="Y344" s="11">
        <v>0</v>
      </c>
      <c r="Z344" s="12">
        <v>-103900</v>
      </c>
      <c r="AA344" s="13">
        <v>222600</v>
      </c>
      <c r="AB344" s="8"/>
      <c r="AC344" s="8"/>
      <c r="AD344" s="8"/>
      <c r="AE344" s="8"/>
      <c r="AF344" s="8"/>
      <c r="AG344" s="8"/>
      <c r="AH344" s="8"/>
      <c r="AI344" s="8"/>
      <c r="AJ344" s="10">
        <v>674912105.39999998</v>
      </c>
      <c r="AK344" s="10">
        <v>674912105.39999998</v>
      </c>
      <c r="AL344" s="10">
        <v>1346729968</v>
      </c>
      <c r="AM344" s="8"/>
      <c r="AN344" s="8"/>
      <c r="AO344" s="8"/>
      <c r="AP344" s="8"/>
      <c r="AQ344" s="8"/>
      <c r="AR344" s="8"/>
      <c r="AS344" s="8"/>
      <c r="AT344" s="8"/>
      <c r="AU344" s="14">
        <v>45657</v>
      </c>
      <c r="AV344" s="14">
        <v>45657</v>
      </c>
      <c r="AW344" s="14">
        <v>45291</v>
      </c>
      <c r="AX344" s="8"/>
      <c r="AY344" s="8"/>
      <c r="AZ344" s="8"/>
      <c r="BA344" s="8"/>
      <c r="BB344" s="8"/>
      <c r="BC344" s="8"/>
      <c r="BD344" s="8"/>
      <c r="BE344" s="8"/>
      <c r="BF344" s="8" t="s">
        <v>35</v>
      </c>
      <c r="BG344" s="8" t="s">
        <v>35</v>
      </c>
      <c r="BH344" s="8" t="s">
        <v>35</v>
      </c>
      <c r="BI344" s="8"/>
      <c r="BJ344" s="8"/>
      <c r="BK344" s="8"/>
      <c r="BL344" s="8"/>
      <c r="BM344" s="8"/>
      <c r="BN344" s="8"/>
      <c r="BO344" s="8"/>
      <c r="BP344" s="8"/>
      <c r="BQ344" s="8" t="s">
        <v>31</v>
      </c>
      <c r="BR344" s="8" t="s">
        <v>36</v>
      </c>
      <c r="BS344" s="10">
        <v>10422977464264.801</v>
      </c>
      <c r="BT344" s="8" t="s">
        <v>61</v>
      </c>
      <c r="BU344" s="8" t="s">
        <v>27</v>
      </c>
      <c r="BV344" s="8" t="s">
        <v>43</v>
      </c>
      <c r="BW344" s="8" t="s">
        <v>43</v>
      </c>
      <c r="BX344" s="8"/>
      <c r="BY344" s="8"/>
      <c r="BZ344" s="8"/>
      <c r="CA344" s="8"/>
      <c r="CB344" s="8"/>
      <c r="CC344" s="8"/>
      <c r="CD344" s="8"/>
      <c r="CE344" s="8"/>
      <c r="CF344" s="8" t="s">
        <v>301</v>
      </c>
      <c r="CG344" s="8" t="s">
        <v>302</v>
      </c>
    </row>
    <row r="345" spans="1:85" ht="15.75" customHeight="1" x14ac:dyDescent="0.35">
      <c r="A345" s="8">
        <v>338</v>
      </c>
      <c r="B345" s="8" t="s">
        <v>517</v>
      </c>
      <c r="C345" s="9">
        <v>9.9999999999999995E-7</v>
      </c>
      <c r="D345" s="9">
        <v>9.9999999999999995E-7</v>
      </c>
      <c r="E345" s="9">
        <v>9.9999999999999995E-7</v>
      </c>
      <c r="F345" s="8"/>
      <c r="G345" s="8"/>
      <c r="H345" s="8"/>
      <c r="I345" s="8"/>
      <c r="J345" s="8"/>
      <c r="K345" s="8"/>
      <c r="L345" s="8"/>
      <c r="M345" s="8"/>
      <c r="N345" s="10">
        <v>117300</v>
      </c>
      <c r="O345" s="10">
        <v>117300</v>
      </c>
      <c r="P345" s="10">
        <v>110200</v>
      </c>
      <c r="Q345" s="8"/>
      <c r="R345" s="8"/>
      <c r="S345" s="8"/>
      <c r="T345" s="8"/>
      <c r="U345" s="8"/>
      <c r="V345" s="8"/>
      <c r="W345" s="8"/>
      <c r="X345" s="8"/>
      <c r="Y345" s="11">
        <v>0</v>
      </c>
      <c r="Z345" s="13">
        <v>7100</v>
      </c>
      <c r="AA345" s="13">
        <v>110200</v>
      </c>
      <c r="AB345" s="8"/>
      <c r="AC345" s="8"/>
      <c r="AD345" s="8"/>
      <c r="AE345" s="8"/>
      <c r="AF345" s="8"/>
      <c r="AG345" s="8"/>
      <c r="AH345" s="8"/>
      <c r="AI345" s="8"/>
      <c r="AJ345" s="10">
        <v>692069977.35000002</v>
      </c>
      <c r="AK345" s="10">
        <v>692069977.35000002</v>
      </c>
      <c r="AL345" s="10">
        <v>666710033.39999998</v>
      </c>
      <c r="AM345" s="8"/>
      <c r="AN345" s="8"/>
      <c r="AO345" s="8"/>
      <c r="AP345" s="8"/>
      <c r="AQ345" s="8"/>
      <c r="AR345" s="8"/>
      <c r="AS345" s="8"/>
      <c r="AT345" s="8"/>
      <c r="AU345" s="14">
        <v>45443</v>
      </c>
      <c r="AV345" s="14">
        <v>45443</v>
      </c>
      <c r="AW345" s="14">
        <v>45291</v>
      </c>
      <c r="AX345" s="8"/>
      <c r="AY345" s="8"/>
      <c r="AZ345" s="8"/>
      <c r="BA345" s="8"/>
      <c r="BB345" s="8"/>
      <c r="BC345" s="8"/>
      <c r="BD345" s="8"/>
      <c r="BE345" s="8"/>
      <c r="BF345" s="8" t="s">
        <v>35</v>
      </c>
      <c r="BG345" s="8" t="s">
        <v>35</v>
      </c>
      <c r="BH345" s="8" t="s">
        <v>35</v>
      </c>
      <c r="BI345" s="8"/>
      <c r="BJ345" s="8"/>
      <c r="BK345" s="8"/>
      <c r="BL345" s="8"/>
      <c r="BM345" s="8"/>
      <c r="BN345" s="8"/>
      <c r="BO345" s="8"/>
      <c r="BP345" s="8"/>
      <c r="BQ345" s="8" t="s">
        <v>31</v>
      </c>
      <c r="BR345" s="8" t="s">
        <v>49</v>
      </c>
      <c r="BS345" s="10">
        <v>20333542583502</v>
      </c>
      <c r="BT345" s="8"/>
      <c r="BU345" s="8" t="s">
        <v>27</v>
      </c>
      <c r="BV345" s="8" t="s">
        <v>27</v>
      </c>
      <c r="BW345" s="8" t="s">
        <v>27</v>
      </c>
      <c r="BX345" s="8"/>
      <c r="BY345" s="8"/>
      <c r="BZ345" s="8"/>
      <c r="CA345" s="8"/>
      <c r="CB345" s="8"/>
      <c r="CC345" s="8"/>
      <c r="CD345" s="8"/>
      <c r="CE345" s="8"/>
      <c r="CF345" s="8" t="s">
        <v>50</v>
      </c>
      <c r="CG345" s="8" t="s">
        <v>51</v>
      </c>
    </row>
    <row r="346" spans="1:85" ht="15.75" customHeight="1" x14ac:dyDescent="0.35">
      <c r="A346" s="8">
        <v>339</v>
      </c>
      <c r="B346" s="8" t="s">
        <v>518</v>
      </c>
      <c r="C346" s="9">
        <v>9.9999999999999995E-7</v>
      </c>
      <c r="D346" s="9">
        <v>1.5999999999999999E-5</v>
      </c>
      <c r="E346" s="9">
        <v>1.2E-5</v>
      </c>
      <c r="F346" s="9">
        <v>1.2E-5</v>
      </c>
      <c r="G346" s="9">
        <v>1.2E-5</v>
      </c>
      <c r="H346" s="9">
        <v>0</v>
      </c>
      <c r="I346" s="9">
        <v>0</v>
      </c>
      <c r="J346" s="9">
        <v>5.9999999999999995E-4</v>
      </c>
      <c r="K346" s="9">
        <v>1.0579999999999999E-3</v>
      </c>
      <c r="L346" s="9">
        <v>1.0380000000000001E-3</v>
      </c>
      <c r="M346" s="9">
        <v>3.1100000000000002E-4</v>
      </c>
      <c r="N346" s="10">
        <v>110900</v>
      </c>
      <c r="O346" s="10">
        <v>1451900</v>
      </c>
      <c r="P346" s="10">
        <v>1138500</v>
      </c>
      <c r="Q346" s="10">
        <v>1071800</v>
      </c>
      <c r="R346" s="10">
        <v>1071800</v>
      </c>
      <c r="S346" s="10">
        <v>0</v>
      </c>
      <c r="T346" s="10">
        <v>0</v>
      </c>
      <c r="U346" s="10">
        <v>55479400</v>
      </c>
      <c r="V346" s="10">
        <v>97778600</v>
      </c>
      <c r="W346" s="10">
        <v>95900400</v>
      </c>
      <c r="X346" s="10">
        <v>28774800</v>
      </c>
      <c r="Y346" s="12">
        <v>-1341000</v>
      </c>
      <c r="Z346" s="13">
        <v>313400</v>
      </c>
      <c r="AA346" s="13">
        <v>66700</v>
      </c>
      <c r="AB346" s="11">
        <v>0</v>
      </c>
      <c r="AC346" s="13">
        <v>1071800</v>
      </c>
      <c r="AD346" s="11">
        <v>0</v>
      </c>
      <c r="AE346" s="12">
        <v>-55479400</v>
      </c>
      <c r="AF346" s="12">
        <v>-42299200</v>
      </c>
      <c r="AG346" s="13">
        <v>1878200</v>
      </c>
      <c r="AH346" s="13">
        <v>67125600</v>
      </c>
      <c r="AI346" s="13">
        <v>10694400</v>
      </c>
      <c r="AJ346" s="10">
        <v>537122399.39999998</v>
      </c>
      <c r="AK346" s="10">
        <v>8255307241.1999998</v>
      </c>
      <c r="AL346" s="10">
        <v>6887924982.3999996</v>
      </c>
      <c r="AM346" s="10">
        <v>5318807516.5500002</v>
      </c>
      <c r="AN346" s="10">
        <v>3760738875</v>
      </c>
      <c r="AO346" s="10">
        <v>0</v>
      </c>
      <c r="AP346" s="10">
        <v>0</v>
      </c>
      <c r="AQ346" s="10">
        <v>202050266743.75</v>
      </c>
      <c r="AR346" s="10">
        <v>391114400092.75</v>
      </c>
      <c r="AS346" s="10">
        <v>277511782708.79999</v>
      </c>
      <c r="AT346" s="10">
        <v>66565869286.800003</v>
      </c>
      <c r="AU346" s="14">
        <v>45777</v>
      </c>
      <c r="AV346" s="14">
        <v>45657</v>
      </c>
      <c r="AW346" s="14">
        <v>45291</v>
      </c>
      <c r="AX346" s="14">
        <v>44926</v>
      </c>
      <c r="AY346" s="14">
        <v>44561</v>
      </c>
      <c r="AZ346" s="14">
        <v>43646</v>
      </c>
      <c r="BA346" s="14">
        <v>43646</v>
      </c>
      <c r="BB346" s="14">
        <v>43465</v>
      </c>
      <c r="BC346" s="14">
        <v>43100</v>
      </c>
      <c r="BD346" s="14">
        <v>42735</v>
      </c>
      <c r="BE346" s="14">
        <v>42369</v>
      </c>
      <c r="BF346" s="8" t="s">
        <v>35</v>
      </c>
      <c r="BG346" s="8" t="s">
        <v>35</v>
      </c>
      <c r="BH346" s="8" t="s">
        <v>35</v>
      </c>
      <c r="BI346" s="8" t="s">
        <v>35</v>
      </c>
      <c r="BJ346" s="8" t="s">
        <v>35</v>
      </c>
      <c r="BK346" s="8" t="s">
        <v>35</v>
      </c>
      <c r="BL346" s="8" t="s">
        <v>35</v>
      </c>
      <c r="BM346" s="8" t="s">
        <v>35</v>
      </c>
      <c r="BN346" s="8" t="s">
        <v>35</v>
      </c>
      <c r="BO346" s="8" t="s">
        <v>35</v>
      </c>
      <c r="BP346" s="8" t="s">
        <v>35</v>
      </c>
      <c r="BQ346" s="8" t="s">
        <v>31</v>
      </c>
      <c r="BR346" s="8" t="s">
        <v>49</v>
      </c>
      <c r="BS346" s="10">
        <v>109157699380421</v>
      </c>
      <c r="BT346" s="8" t="s">
        <v>41</v>
      </c>
      <c r="BU346" s="8" t="s">
        <v>27</v>
      </c>
      <c r="BV346" s="8" t="s">
        <v>27</v>
      </c>
      <c r="BW346" s="8" t="s">
        <v>43</v>
      </c>
      <c r="BX346" s="8" t="s">
        <v>42</v>
      </c>
      <c r="BY346" s="8" t="s">
        <v>42</v>
      </c>
      <c r="BZ346" s="8" t="s">
        <v>27</v>
      </c>
      <c r="CA346" s="8" t="s">
        <v>27</v>
      </c>
      <c r="CB346" s="8" t="s">
        <v>27</v>
      </c>
      <c r="CC346" s="8" t="s">
        <v>42</v>
      </c>
      <c r="CD346" s="8" t="s">
        <v>42</v>
      </c>
      <c r="CE346" s="8" t="s">
        <v>42</v>
      </c>
      <c r="CF346" s="8" t="s">
        <v>65</v>
      </c>
      <c r="CG346" s="8" t="s">
        <v>65</v>
      </c>
    </row>
    <row r="347" spans="1:85" ht="15.75" customHeight="1" x14ac:dyDescent="0.35">
      <c r="A347" s="8">
        <v>340</v>
      </c>
      <c r="B347" s="8" t="s">
        <v>519</v>
      </c>
      <c r="C347" s="9">
        <v>9.9999999999999995E-7</v>
      </c>
      <c r="D347" s="9">
        <v>6.3999999999999997E-5</v>
      </c>
      <c r="E347" s="9">
        <v>6.3E-5</v>
      </c>
      <c r="F347" s="9">
        <v>9.9999999999999995E-7</v>
      </c>
      <c r="G347" s="9">
        <v>9.9999999999999995E-7</v>
      </c>
      <c r="H347" s="9">
        <v>9.9999999999999995E-7</v>
      </c>
      <c r="I347" s="9">
        <v>0</v>
      </c>
      <c r="J347" s="8"/>
      <c r="K347" s="8"/>
      <c r="L347" s="8"/>
      <c r="M347" s="8"/>
      <c r="N347" s="10">
        <v>104738</v>
      </c>
      <c r="O347" s="10">
        <v>5883438</v>
      </c>
      <c r="P347" s="10">
        <v>5831242</v>
      </c>
      <c r="Q347" s="10">
        <v>96142</v>
      </c>
      <c r="R347" s="10">
        <v>95098</v>
      </c>
      <c r="S347" s="10">
        <v>53628</v>
      </c>
      <c r="T347" s="10">
        <v>41800</v>
      </c>
      <c r="U347" s="8"/>
      <c r="V347" s="8"/>
      <c r="W347" s="8"/>
      <c r="X347" s="8"/>
      <c r="Y347" s="12">
        <v>-5778700</v>
      </c>
      <c r="Z347" s="13">
        <v>52196</v>
      </c>
      <c r="AA347" s="13">
        <v>5735100</v>
      </c>
      <c r="AB347" s="13">
        <v>1044</v>
      </c>
      <c r="AC347" s="13">
        <v>41470</v>
      </c>
      <c r="AD347" s="13">
        <v>11828</v>
      </c>
      <c r="AE347" s="13">
        <v>41800</v>
      </c>
      <c r="AF347" s="8"/>
      <c r="AG347" s="8"/>
      <c r="AH347" s="8"/>
      <c r="AI347" s="8"/>
      <c r="AJ347" s="10">
        <v>460708976</v>
      </c>
      <c r="AK347" s="10">
        <v>33452433241.599998</v>
      </c>
      <c r="AL347" s="10">
        <v>35279014040.550003</v>
      </c>
      <c r="AM347" s="10">
        <v>505947270.39999998</v>
      </c>
      <c r="AN347" s="10">
        <v>332843053.60000002</v>
      </c>
      <c r="AO347" s="10">
        <v>169598512</v>
      </c>
      <c r="AP347" s="10">
        <v>145777503</v>
      </c>
      <c r="AQ347" s="8"/>
      <c r="AR347" s="8"/>
      <c r="AS347" s="8"/>
      <c r="AT347" s="8"/>
      <c r="AU347" s="14">
        <v>45930</v>
      </c>
      <c r="AV347" s="14">
        <v>45657</v>
      </c>
      <c r="AW347" s="14">
        <v>45291</v>
      </c>
      <c r="AX347" s="14">
        <v>44895</v>
      </c>
      <c r="AY347" s="14">
        <v>44530</v>
      </c>
      <c r="AZ347" s="14">
        <v>44165</v>
      </c>
      <c r="BA347" s="14">
        <v>43799</v>
      </c>
      <c r="BB347" s="8"/>
      <c r="BC347" s="8"/>
      <c r="BD347" s="8"/>
      <c r="BE347" s="8"/>
      <c r="BF347" s="8" t="s">
        <v>35</v>
      </c>
      <c r="BG347" s="8" t="s">
        <v>35</v>
      </c>
      <c r="BH347" s="8" t="s">
        <v>35</v>
      </c>
      <c r="BI347" s="8" t="s">
        <v>35</v>
      </c>
      <c r="BJ347" s="8" t="s">
        <v>35</v>
      </c>
      <c r="BK347" s="8" t="s">
        <v>35</v>
      </c>
      <c r="BL347" s="8" t="s">
        <v>35</v>
      </c>
      <c r="BM347" s="8"/>
      <c r="BN347" s="8"/>
      <c r="BO347" s="8"/>
      <c r="BP347" s="8"/>
      <c r="BQ347" s="8" t="s">
        <v>31</v>
      </c>
      <c r="BR347" s="8" t="s">
        <v>36</v>
      </c>
      <c r="BS347" s="10">
        <v>118659480174277</v>
      </c>
      <c r="BT347" s="8" t="s">
        <v>46</v>
      </c>
      <c r="BU347" s="8" t="s">
        <v>27</v>
      </c>
      <c r="BV347" s="8" t="s">
        <v>27</v>
      </c>
      <c r="BW347" s="8" t="s">
        <v>27</v>
      </c>
      <c r="BX347" s="8" t="s">
        <v>42</v>
      </c>
      <c r="BY347" s="8" t="s">
        <v>27</v>
      </c>
      <c r="BZ347" s="8" t="s">
        <v>27</v>
      </c>
      <c r="CA347" s="8" t="s">
        <v>27</v>
      </c>
      <c r="CB347" s="8"/>
      <c r="CC347" s="8"/>
      <c r="CD347" s="8"/>
      <c r="CE347" s="8"/>
      <c r="CF347" s="8" t="s">
        <v>373</v>
      </c>
      <c r="CG347" s="8" t="s">
        <v>181</v>
      </c>
    </row>
    <row r="348" spans="1:85" ht="15.75" customHeight="1" x14ac:dyDescent="0.35">
      <c r="A348" s="8">
        <v>341</v>
      </c>
      <c r="B348" s="8" t="s">
        <v>520</v>
      </c>
      <c r="C348" s="9">
        <v>9.9999999999999995E-7</v>
      </c>
      <c r="D348" s="9">
        <v>4.3000000000000002E-5</v>
      </c>
      <c r="E348" s="9">
        <v>0</v>
      </c>
      <c r="F348" s="9">
        <v>9.9999999999999995E-7</v>
      </c>
      <c r="G348" s="8"/>
      <c r="H348" s="9">
        <v>0</v>
      </c>
      <c r="I348" s="9">
        <v>0</v>
      </c>
      <c r="J348" s="9">
        <v>2.32E-4</v>
      </c>
      <c r="K348" s="8"/>
      <c r="L348" s="8"/>
      <c r="M348" s="8"/>
      <c r="N348" s="10">
        <v>97135</v>
      </c>
      <c r="O348" s="10">
        <v>3930800</v>
      </c>
      <c r="P348" s="10">
        <v>0</v>
      </c>
      <c r="Q348" s="10">
        <v>90482</v>
      </c>
      <c r="R348" s="8"/>
      <c r="S348" s="10">
        <v>0</v>
      </c>
      <c r="T348" s="10">
        <v>0</v>
      </c>
      <c r="U348" s="10">
        <v>21400800</v>
      </c>
      <c r="V348" s="8"/>
      <c r="W348" s="8"/>
      <c r="X348" s="8"/>
      <c r="Y348" s="12">
        <v>-3833665</v>
      </c>
      <c r="Z348" s="13">
        <v>3930800</v>
      </c>
      <c r="AA348" s="12">
        <v>-90482</v>
      </c>
      <c r="AB348" s="13">
        <v>90482</v>
      </c>
      <c r="AC348" s="8"/>
      <c r="AD348" s="11">
        <v>0</v>
      </c>
      <c r="AE348" s="12">
        <v>-21400800</v>
      </c>
      <c r="AF348" s="13">
        <v>21400800</v>
      </c>
      <c r="AG348" s="8"/>
      <c r="AH348" s="8"/>
      <c r="AI348" s="8"/>
      <c r="AJ348" s="10">
        <v>474925992.89999998</v>
      </c>
      <c r="AK348" s="10">
        <v>22349997604.200001</v>
      </c>
      <c r="AL348" s="10">
        <v>0</v>
      </c>
      <c r="AM348" s="10">
        <v>449016940.89999998</v>
      </c>
      <c r="AN348" s="8"/>
      <c r="AO348" s="10">
        <v>0</v>
      </c>
      <c r="AP348" s="10">
        <v>0</v>
      </c>
      <c r="AQ348" s="10">
        <v>77939511775</v>
      </c>
      <c r="AR348" s="8"/>
      <c r="AS348" s="8"/>
      <c r="AT348" s="8"/>
      <c r="AU348" s="14">
        <v>45838</v>
      </c>
      <c r="AV348" s="14">
        <v>45657</v>
      </c>
      <c r="AW348" s="14">
        <v>45016</v>
      </c>
      <c r="AX348" s="14">
        <v>44926</v>
      </c>
      <c r="AY348" s="8"/>
      <c r="AZ348" s="14">
        <v>43738</v>
      </c>
      <c r="BA348" s="14">
        <v>43738</v>
      </c>
      <c r="BB348" s="14">
        <v>43465</v>
      </c>
      <c r="BC348" s="8"/>
      <c r="BD348" s="8"/>
      <c r="BE348" s="8"/>
      <c r="BF348" s="8" t="s">
        <v>35</v>
      </c>
      <c r="BG348" s="8" t="s">
        <v>35</v>
      </c>
      <c r="BH348" s="8" t="s">
        <v>35</v>
      </c>
      <c r="BI348" s="8" t="s">
        <v>35</v>
      </c>
      <c r="BJ348" s="8"/>
      <c r="BK348" s="8" t="s">
        <v>35</v>
      </c>
      <c r="BL348" s="8" t="s">
        <v>35</v>
      </c>
      <c r="BM348" s="8" t="s">
        <v>35</v>
      </c>
      <c r="BN348" s="8"/>
      <c r="BO348" s="8"/>
      <c r="BP348" s="8"/>
      <c r="BQ348" s="8" t="s">
        <v>31</v>
      </c>
      <c r="BR348" s="8" t="s">
        <v>36</v>
      </c>
      <c r="BS348" s="10">
        <v>588366435734738</v>
      </c>
      <c r="BT348" s="8" t="s">
        <v>61</v>
      </c>
      <c r="BU348" s="8" t="s">
        <v>27</v>
      </c>
      <c r="BV348" s="8" t="s">
        <v>42</v>
      </c>
      <c r="BW348" s="8" t="s">
        <v>42</v>
      </c>
      <c r="BX348" s="8" t="s">
        <v>42</v>
      </c>
      <c r="BY348" s="8"/>
      <c r="BZ348" s="8" t="s">
        <v>42</v>
      </c>
      <c r="CA348" s="8" t="s">
        <v>42</v>
      </c>
      <c r="CB348" s="8" t="s">
        <v>42</v>
      </c>
      <c r="CC348" s="8"/>
      <c r="CD348" s="8"/>
      <c r="CE348" s="8"/>
      <c r="CF348" s="8" t="s">
        <v>521</v>
      </c>
      <c r="CG348" s="8" t="s">
        <v>39</v>
      </c>
    </row>
    <row r="349" spans="1:85" ht="15.75" customHeight="1" x14ac:dyDescent="0.35">
      <c r="A349" s="8">
        <v>342</v>
      </c>
      <c r="B349" s="8" t="s">
        <v>522</v>
      </c>
      <c r="C349" s="9">
        <v>9.9999999999999995E-7</v>
      </c>
      <c r="D349" s="8"/>
      <c r="E349" s="8"/>
      <c r="F349" s="9">
        <v>0</v>
      </c>
      <c r="G349" s="9">
        <v>0</v>
      </c>
      <c r="H349" s="9">
        <v>3.9999999999999998E-6</v>
      </c>
      <c r="I349" s="8"/>
      <c r="J349" s="8"/>
      <c r="K349" s="8"/>
      <c r="L349" s="8"/>
      <c r="M349" s="8"/>
      <c r="N349" s="10">
        <v>87396</v>
      </c>
      <c r="O349" s="8"/>
      <c r="P349" s="8"/>
      <c r="Q349" s="10">
        <v>0</v>
      </c>
      <c r="R349" s="10">
        <v>0</v>
      </c>
      <c r="S349" s="10">
        <v>349200</v>
      </c>
      <c r="T349" s="8"/>
      <c r="U349" s="8"/>
      <c r="V349" s="8"/>
      <c r="W349" s="8"/>
      <c r="X349" s="8"/>
      <c r="Y349" s="13">
        <v>87396</v>
      </c>
      <c r="Z349" s="8"/>
      <c r="AA349" s="8"/>
      <c r="AB349" s="11">
        <v>0</v>
      </c>
      <c r="AC349" s="12">
        <v>-349200</v>
      </c>
      <c r="AD349" s="13">
        <v>349200</v>
      </c>
      <c r="AE349" s="8"/>
      <c r="AF349" s="8"/>
      <c r="AG349" s="8"/>
      <c r="AH349" s="8"/>
      <c r="AI349" s="8"/>
      <c r="AJ349" s="10">
        <v>427308633.60000002</v>
      </c>
      <c r="AK349" s="8"/>
      <c r="AL349" s="8"/>
      <c r="AM349" s="10">
        <v>0</v>
      </c>
      <c r="AN349" s="10">
        <v>0</v>
      </c>
      <c r="AO349" s="10">
        <v>1104344982</v>
      </c>
      <c r="AP349" s="8"/>
      <c r="AQ349" s="8"/>
      <c r="AR349" s="8"/>
      <c r="AS349" s="8"/>
      <c r="AT349" s="8"/>
      <c r="AU349" s="14">
        <v>45838</v>
      </c>
      <c r="AV349" s="8"/>
      <c r="AW349" s="8"/>
      <c r="AX349" s="14">
        <v>44377</v>
      </c>
      <c r="AY349" s="14">
        <v>44377</v>
      </c>
      <c r="AZ349" s="14">
        <v>44196</v>
      </c>
      <c r="BA349" s="8"/>
      <c r="BB349" s="8"/>
      <c r="BC349" s="8"/>
      <c r="BD349" s="8"/>
      <c r="BE349" s="8"/>
      <c r="BF349" s="8" t="s">
        <v>35</v>
      </c>
      <c r="BG349" s="8"/>
      <c r="BH349" s="8"/>
      <c r="BI349" s="8" t="s">
        <v>35</v>
      </c>
      <c r="BJ349" s="8" t="s">
        <v>35</v>
      </c>
      <c r="BK349" s="8" t="s">
        <v>35</v>
      </c>
      <c r="BL349" s="8"/>
      <c r="BM349" s="8"/>
      <c r="BN349" s="8"/>
      <c r="BO349" s="8"/>
      <c r="BP349" s="8"/>
      <c r="BQ349" s="8" t="s">
        <v>31</v>
      </c>
      <c r="BR349" s="8" t="s">
        <v>36</v>
      </c>
      <c r="BS349" s="10">
        <v>12143268209088</v>
      </c>
      <c r="BT349" s="8"/>
      <c r="BU349" s="8" t="s">
        <v>27</v>
      </c>
      <c r="BV349" s="8"/>
      <c r="BW349" s="8"/>
      <c r="BX349" s="8" t="s">
        <v>42</v>
      </c>
      <c r="BY349" s="8" t="s">
        <v>42</v>
      </c>
      <c r="BZ349" s="8" t="s">
        <v>27</v>
      </c>
      <c r="CA349" s="8"/>
      <c r="CB349" s="8"/>
      <c r="CC349" s="8"/>
      <c r="CD349" s="8"/>
      <c r="CE349" s="8"/>
      <c r="CF349" s="8" t="s">
        <v>473</v>
      </c>
      <c r="CG349" s="8" t="s">
        <v>474</v>
      </c>
    </row>
    <row r="350" spans="1:85" ht="15.75" customHeight="1" x14ac:dyDescent="0.35">
      <c r="A350" s="8">
        <v>343</v>
      </c>
      <c r="B350" s="8" t="s">
        <v>523</v>
      </c>
      <c r="C350" s="9">
        <v>9.9999999999999995E-7</v>
      </c>
      <c r="D350" s="9">
        <v>1.9999999999999999E-6</v>
      </c>
      <c r="E350" s="8"/>
      <c r="F350" s="8"/>
      <c r="G350" s="8"/>
      <c r="H350" s="8"/>
      <c r="I350" s="8"/>
      <c r="J350" s="8"/>
      <c r="K350" s="8"/>
      <c r="L350" s="8"/>
      <c r="M350" s="8"/>
      <c r="N350" s="10">
        <v>87300</v>
      </c>
      <c r="O350" s="10">
        <v>156800</v>
      </c>
      <c r="P350" s="8"/>
      <c r="Q350" s="8"/>
      <c r="R350" s="8"/>
      <c r="S350" s="8"/>
      <c r="T350" s="8"/>
      <c r="U350" s="8"/>
      <c r="V350" s="8"/>
      <c r="W350" s="8"/>
      <c r="X350" s="8"/>
      <c r="Y350" s="12">
        <v>-69500</v>
      </c>
      <c r="Z350" s="13">
        <v>156800</v>
      </c>
      <c r="AA350" s="8"/>
      <c r="AB350" s="8"/>
      <c r="AC350" s="8"/>
      <c r="AD350" s="8"/>
      <c r="AE350" s="8"/>
      <c r="AF350" s="8"/>
      <c r="AG350" s="8"/>
      <c r="AH350" s="8"/>
      <c r="AI350" s="8"/>
      <c r="AJ350" s="10">
        <v>426839262</v>
      </c>
      <c r="AK350" s="10">
        <v>891543682</v>
      </c>
      <c r="AL350" s="8"/>
      <c r="AM350" s="8"/>
      <c r="AN350" s="8"/>
      <c r="AO350" s="8"/>
      <c r="AP350" s="8"/>
      <c r="AQ350" s="8"/>
      <c r="AR350" s="8"/>
      <c r="AS350" s="8"/>
      <c r="AT350" s="8"/>
      <c r="AU350" s="14">
        <v>45838</v>
      </c>
      <c r="AV350" s="14">
        <v>45657</v>
      </c>
      <c r="AW350" s="8"/>
      <c r="AX350" s="8"/>
      <c r="AY350" s="8"/>
      <c r="AZ350" s="8"/>
      <c r="BA350" s="8"/>
      <c r="BB350" s="8"/>
      <c r="BC350" s="8"/>
      <c r="BD350" s="8"/>
      <c r="BE350" s="8"/>
      <c r="BF350" s="8" t="s">
        <v>35</v>
      </c>
      <c r="BG350" s="8" t="s">
        <v>35</v>
      </c>
      <c r="BH350" s="8"/>
      <c r="BI350" s="8"/>
      <c r="BJ350" s="8"/>
      <c r="BK350" s="8"/>
      <c r="BL350" s="8"/>
      <c r="BM350" s="8"/>
      <c r="BN350" s="8"/>
      <c r="BO350" s="8"/>
      <c r="BP350" s="8"/>
      <c r="BQ350" s="8" t="s">
        <v>31</v>
      </c>
      <c r="BR350" s="8" t="s">
        <v>36</v>
      </c>
      <c r="BS350" s="10">
        <v>39849915949.199997</v>
      </c>
      <c r="BT350" s="8"/>
      <c r="BU350" s="8" t="s">
        <v>27</v>
      </c>
      <c r="BV350" s="8" t="s">
        <v>43</v>
      </c>
      <c r="BW350" s="8"/>
      <c r="BX350" s="8"/>
      <c r="BY350" s="8"/>
      <c r="BZ350" s="8"/>
      <c r="CA350" s="8"/>
      <c r="CB350" s="8"/>
      <c r="CC350" s="8"/>
      <c r="CD350" s="8"/>
      <c r="CE350" s="8"/>
      <c r="CF350" s="8" t="s">
        <v>262</v>
      </c>
      <c r="CG350" s="8" t="s">
        <v>71</v>
      </c>
    </row>
    <row r="351" spans="1:85" ht="15.75" hidden="1" customHeight="1" x14ac:dyDescent="0.35">
      <c r="A351" s="8">
        <v>344</v>
      </c>
      <c r="B351" s="8" t="s">
        <v>524</v>
      </c>
      <c r="C351" s="9">
        <v>9.9999999999999995E-7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10">
        <v>86400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3">
        <v>86400</v>
      </c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10">
        <v>380045920.80000001</v>
      </c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14">
        <v>45930</v>
      </c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 t="s">
        <v>201</v>
      </c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 t="s">
        <v>25</v>
      </c>
      <c r="BR351" s="8" t="s">
        <v>202</v>
      </c>
      <c r="BS351" s="10">
        <v>452126078.39999998</v>
      </c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 t="s">
        <v>29</v>
      </c>
    </row>
    <row r="352" spans="1:85" ht="15.75" customHeight="1" x14ac:dyDescent="0.35">
      <c r="A352" s="8">
        <v>345</v>
      </c>
      <c r="B352" s="8" t="s">
        <v>525</v>
      </c>
      <c r="C352" s="9">
        <v>9.9999999999999995E-7</v>
      </c>
      <c r="D352" s="9">
        <v>1.8E-5</v>
      </c>
      <c r="E352" s="9">
        <v>3.0000000000000001E-5</v>
      </c>
      <c r="F352" s="9">
        <v>6.9999999999999999E-6</v>
      </c>
      <c r="G352" s="9">
        <v>9.9999999999999995E-7</v>
      </c>
      <c r="H352" s="9">
        <v>4.5000000000000003E-5</v>
      </c>
      <c r="I352" s="9">
        <v>9.9999999999999995E-7</v>
      </c>
      <c r="J352" s="9">
        <v>3.0000000000000001E-5</v>
      </c>
      <c r="K352" s="9">
        <v>4.5000000000000003E-5</v>
      </c>
      <c r="L352" s="8"/>
      <c r="M352" s="8"/>
      <c r="N352" s="10">
        <v>79100</v>
      </c>
      <c r="O352" s="10">
        <v>1650400</v>
      </c>
      <c r="P352" s="10">
        <v>2792783</v>
      </c>
      <c r="Q352" s="10">
        <v>603266</v>
      </c>
      <c r="R352" s="10">
        <v>62600</v>
      </c>
      <c r="S352" s="10">
        <v>4131906</v>
      </c>
      <c r="T352" s="10">
        <v>63800</v>
      </c>
      <c r="U352" s="10">
        <v>2751668</v>
      </c>
      <c r="V352" s="10">
        <v>4119534</v>
      </c>
      <c r="W352" s="8"/>
      <c r="X352" s="8"/>
      <c r="Y352" s="12">
        <v>-1571300</v>
      </c>
      <c r="Z352" s="12">
        <v>-1142383</v>
      </c>
      <c r="AA352" s="13">
        <v>2189517</v>
      </c>
      <c r="AB352" s="13">
        <v>540666</v>
      </c>
      <c r="AC352" s="12">
        <v>-4069306</v>
      </c>
      <c r="AD352" s="13">
        <v>4068106</v>
      </c>
      <c r="AE352" s="12">
        <v>-2687868</v>
      </c>
      <c r="AF352" s="12">
        <v>-1367866</v>
      </c>
      <c r="AG352" s="13">
        <v>4119534</v>
      </c>
      <c r="AH352" s="8"/>
      <c r="AI352" s="8"/>
      <c r="AJ352" s="10">
        <v>377463144.44999999</v>
      </c>
      <c r="AK352" s="10">
        <v>9383951393.2999992</v>
      </c>
      <c r="AL352" s="10">
        <v>16896337180.549999</v>
      </c>
      <c r="AM352" s="10">
        <v>2993707505.25</v>
      </c>
      <c r="AN352" s="10">
        <v>219651352.5</v>
      </c>
      <c r="AO352" s="10">
        <v>13067152675.200001</v>
      </c>
      <c r="AP352" s="10">
        <v>244128935.19999999</v>
      </c>
      <c r="AQ352" s="10">
        <v>10021291762.5</v>
      </c>
      <c r="AR352" s="10">
        <v>16478135975.25</v>
      </c>
      <c r="AS352" s="8"/>
      <c r="AT352" s="8"/>
      <c r="AU352" s="14">
        <v>45900</v>
      </c>
      <c r="AV352" s="14">
        <v>45657</v>
      </c>
      <c r="AW352" s="14">
        <v>45291</v>
      </c>
      <c r="AX352" s="14">
        <v>44926</v>
      </c>
      <c r="AY352" s="14">
        <v>44561</v>
      </c>
      <c r="AZ352" s="14">
        <v>44196</v>
      </c>
      <c r="BA352" s="14">
        <v>43830</v>
      </c>
      <c r="BB352" s="14">
        <v>43465</v>
      </c>
      <c r="BC352" s="14">
        <v>43100</v>
      </c>
      <c r="BD352" s="8"/>
      <c r="BE352" s="8"/>
      <c r="BF352" s="8" t="s">
        <v>35</v>
      </c>
      <c r="BG352" s="8" t="s">
        <v>35</v>
      </c>
      <c r="BH352" s="8" t="s">
        <v>35</v>
      </c>
      <c r="BI352" s="8" t="s">
        <v>35</v>
      </c>
      <c r="BJ352" s="8" t="s">
        <v>35</v>
      </c>
      <c r="BK352" s="8" t="s">
        <v>35</v>
      </c>
      <c r="BL352" s="8" t="s">
        <v>35</v>
      </c>
      <c r="BM352" s="8" t="s">
        <v>35</v>
      </c>
      <c r="BN352" s="8" t="s">
        <v>35</v>
      </c>
      <c r="BO352" s="8"/>
      <c r="BP352" s="8"/>
      <c r="BQ352" s="8" t="s">
        <v>31</v>
      </c>
      <c r="BR352" s="8" t="s">
        <v>36</v>
      </c>
      <c r="BS352" s="10">
        <v>387009397282469</v>
      </c>
      <c r="BT352" s="8" t="s">
        <v>290</v>
      </c>
      <c r="BU352" s="8" t="s">
        <v>27</v>
      </c>
      <c r="BV352" s="8" t="s">
        <v>42</v>
      </c>
      <c r="BW352" s="8" t="s">
        <v>42</v>
      </c>
      <c r="BX352" s="8" t="s">
        <v>42</v>
      </c>
      <c r="BY352" s="8" t="s">
        <v>42</v>
      </c>
      <c r="BZ352" s="8" t="s">
        <v>43</v>
      </c>
      <c r="CA352" s="8" t="s">
        <v>43</v>
      </c>
      <c r="CB352" s="8" t="s">
        <v>42</v>
      </c>
      <c r="CC352" s="8" t="s">
        <v>42</v>
      </c>
      <c r="CD352" s="8"/>
      <c r="CE352" s="8"/>
      <c r="CF352" s="8" t="s">
        <v>346</v>
      </c>
      <c r="CG352" s="8" t="s">
        <v>347</v>
      </c>
    </row>
    <row r="353" spans="1:85" ht="15.75" customHeight="1" x14ac:dyDescent="0.35">
      <c r="A353" s="8">
        <v>346</v>
      </c>
      <c r="B353" s="8" t="s">
        <v>526</v>
      </c>
      <c r="C353" s="9">
        <v>9.9999999999999995E-7</v>
      </c>
      <c r="D353" s="9">
        <v>9.9999999999999995E-7</v>
      </c>
      <c r="E353" s="9">
        <v>6.0000000000000002E-6</v>
      </c>
      <c r="F353" s="9">
        <v>6.9999999999999999E-6</v>
      </c>
      <c r="G353" s="9">
        <v>1.4E-5</v>
      </c>
      <c r="H353" s="8"/>
      <c r="I353" s="8"/>
      <c r="J353" s="8"/>
      <c r="K353" s="8"/>
      <c r="L353" s="8"/>
      <c r="M353" s="8"/>
      <c r="N353" s="10">
        <v>67000</v>
      </c>
      <c r="O353" s="10">
        <v>67000</v>
      </c>
      <c r="P353" s="10">
        <v>555800</v>
      </c>
      <c r="Q353" s="10">
        <v>652600</v>
      </c>
      <c r="R353" s="10">
        <v>1306800</v>
      </c>
      <c r="S353" s="8"/>
      <c r="T353" s="8"/>
      <c r="U353" s="8"/>
      <c r="V353" s="8"/>
      <c r="W353" s="8"/>
      <c r="X353" s="8"/>
      <c r="Y353" s="11">
        <v>0</v>
      </c>
      <c r="Z353" s="12">
        <v>-488800</v>
      </c>
      <c r="AA353" s="12">
        <v>-96800</v>
      </c>
      <c r="AB353" s="12">
        <v>-654200</v>
      </c>
      <c r="AC353" s="13">
        <v>1306800</v>
      </c>
      <c r="AD353" s="8"/>
      <c r="AE353" s="8"/>
      <c r="AF353" s="8"/>
      <c r="AG353" s="8"/>
      <c r="AH353" s="8"/>
      <c r="AI353" s="8"/>
      <c r="AJ353" s="10">
        <v>380952954.19999999</v>
      </c>
      <c r="AK353" s="10">
        <v>380952954.19999999</v>
      </c>
      <c r="AL353" s="10">
        <v>3362590063.4000001</v>
      </c>
      <c r="AM353" s="10">
        <v>3238527522.4499998</v>
      </c>
      <c r="AN353" s="10">
        <v>4585308427.5</v>
      </c>
      <c r="AO353" s="8"/>
      <c r="AP353" s="8"/>
      <c r="AQ353" s="8"/>
      <c r="AR353" s="8"/>
      <c r="AS353" s="8"/>
      <c r="AT353" s="8"/>
      <c r="AU353" s="14">
        <v>45657</v>
      </c>
      <c r="AV353" s="14">
        <v>45657</v>
      </c>
      <c r="AW353" s="14">
        <v>45291</v>
      </c>
      <c r="AX353" s="14">
        <v>44926</v>
      </c>
      <c r="AY353" s="14">
        <v>44561</v>
      </c>
      <c r="AZ353" s="8"/>
      <c r="BA353" s="8"/>
      <c r="BB353" s="8"/>
      <c r="BC353" s="8"/>
      <c r="BD353" s="8"/>
      <c r="BE353" s="8"/>
      <c r="BF353" s="8" t="s">
        <v>35</v>
      </c>
      <c r="BG353" s="8" t="s">
        <v>35</v>
      </c>
      <c r="BH353" s="8" t="s">
        <v>35</v>
      </c>
      <c r="BI353" s="8" t="s">
        <v>35</v>
      </c>
      <c r="BJ353" s="8" t="s">
        <v>35</v>
      </c>
      <c r="BK353" s="8"/>
      <c r="BL353" s="8"/>
      <c r="BM353" s="8"/>
      <c r="BN353" s="8"/>
      <c r="BO353" s="8"/>
      <c r="BP353" s="8"/>
      <c r="BQ353" s="8" t="s">
        <v>31</v>
      </c>
      <c r="BR353" s="8" t="s">
        <v>36</v>
      </c>
      <c r="BS353" s="10">
        <v>4024449098356.7998</v>
      </c>
      <c r="BT353" s="8" t="s">
        <v>37</v>
      </c>
      <c r="BU353" s="8" t="s">
        <v>27</v>
      </c>
      <c r="BV353" s="8" t="s">
        <v>27</v>
      </c>
      <c r="BW353" s="8" t="s">
        <v>27</v>
      </c>
      <c r="BX353" s="8" t="s">
        <v>27</v>
      </c>
      <c r="BY353" s="8" t="s">
        <v>27</v>
      </c>
      <c r="BZ353" s="8"/>
      <c r="CA353" s="8"/>
      <c r="CB353" s="8"/>
      <c r="CC353" s="8"/>
      <c r="CD353" s="8"/>
      <c r="CE353" s="8"/>
      <c r="CF353" s="8" t="s">
        <v>70</v>
      </c>
      <c r="CG353" s="8" t="s">
        <v>71</v>
      </c>
    </row>
    <row r="354" spans="1:85" ht="15.75" customHeight="1" x14ac:dyDescent="0.35">
      <c r="A354" s="8">
        <v>347</v>
      </c>
      <c r="B354" s="8" t="s">
        <v>527</v>
      </c>
      <c r="C354" s="9">
        <v>9.9999999999999995E-7</v>
      </c>
      <c r="D354" s="9">
        <v>9.9999999999999995E-7</v>
      </c>
      <c r="E354" s="9">
        <v>9.9999999999999995E-7</v>
      </c>
      <c r="F354" s="9">
        <v>1.9999999999999999E-6</v>
      </c>
      <c r="G354" s="8"/>
      <c r="H354" s="8"/>
      <c r="I354" s="9">
        <v>0</v>
      </c>
      <c r="J354" s="9">
        <v>0</v>
      </c>
      <c r="K354" s="8"/>
      <c r="L354" s="8"/>
      <c r="M354" s="8"/>
      <c r="N354" s="10">
        <v>63131</v>
      </c>
      <c r="O354" s="10">
        <v>57882</v>
      </c>
      <c r="P354" s="10">
        <v>90918</v>
      </c>
      <c r="Q354" s="10">
        <v>157198</v>
      </c>
      <c r="R354" s="8"/>
      <c r="S354" s="8"/>
      <c r="T354" s="10">
        <v>0</v>
      </c>
      <c r="U354" s="10">
        <v>0</v>
      </c>
      <c r="V354" s="8"/>
      <c r="W354" s="8"/>
      <c r="X354" s="8"/>
      <c r="Y354" s="13">
        <v>5249</v>
      </c>
      <c r="Z354" s="12">
        <v>-33036</v>
      </c>
      <c r="AA354" s="12">
        <v>-66280</v>
      </c>
      <c r="AB354" s="13">
        <v>157198</v>
      </c>
      <c r="AC354" s="8"/>
      <c r="AD354" s="8"/>
      <c r="AE354" s="11">
        <v>0</v>
      </c>
      <c r="AF354" s="11">
        <v>0</v>
      </c>
      <c r="AG354" s="8"/>
      <c r="AH354" s="8"/>
      <c r="AI354" s="8"/>
      <c r="AJ354" s="10">
        <v>308668794.30000001</v>
      </c>
      <c r="AK354" s="10">
        <v>329109204.30000001</v>
      </c>
      <c r="AL354" s="10">
        <v>550053959.04999995</v>
      </c>
      <c r="AM354" s="10">
        <v>780095075.10000002</v>
      </c>
      <c r="AN354" s="8"/>
      <c r="AO354" s="8"/>
      <c r="AP354" s="10">
        <v>0</v>
      </c>
      <c r="AQ354" s="10">
        <v>0</v>
      </c>
      <c r="AR354" s="8"/>
      <c r="AS354" s="8"/>
      <c r="AT354" s="8"/>
      <c r="AU354" s="14">
        <v>45838</v>
      </c>
      <c r="AV354" s="14">
        <v>45657</v>
      </c>
      <c r="AW354" s="14">
        <v>45291</v>
      </c>
      <c r="AX354" s="14">
        <v>44926</v>
      </c>
      <c r="AY354" s="8"/>
      <c r="AZ354" s="8"/>
      <c r="BA354" s="14">
        <v>43465</v>
      </c>
      <c r="BB354" s="14">
        <v>43465</v>
      </c>
      <c r="BC354" s="8"/>
      <c r="BD354" s="8"/>
      <c r="BE354" s="8"/>
      <c r="BF354" s="8" t="s">
        <v>35</v>
      </c>
      <c r="BG354" s="8" t="s">
        <v>35</v>
      </c>
      <c r="BH354" s="8" t="s">
        <v>35</v>
      </c>
      <c r="BI354" s="8" t="s">
        <v>35</v>
      </c>
      <c r="BJ354" s="8"/>
      <c r="BK354" s="8"/>
      <c r="BL354" s="8" t="s">
        <v>35</v>
      </c>
      <c r="BM354" s="8" t="s">
        <v>35</v>
      </c>
      <c r="BN354" s="8"/>
      <c r="BO354" s="8"/>
      <c r="BP354" s="8"/>
      <c r="BQ354" s="8" t="s">
        <v>31</v>
      </c>
      <c r="BR354" s="8" t="s">
        <v>36</v>
      </c>
      <c r="BS354" s="10">
        <v>13551325602566.4</v>
      </c>
      <c r="BT354" s="8"/>
      <c r="BU354" s="8" t="s">
        <v>42</v>
      </c>
      <c r="BV354" s="8" t="s">
        <v>42</v>
      </c>
      <c r="BW354" s="8" t="s">
        <v>27</v>
      </c>
      <c r="BX354" s="8" t="s">
        <v>27</v>
      </c>
      <c r="BY354" s="8"/>
      <c r="BZ354" s="8"/>
      <c r="CA354" s="8" t="s">
        <v>27</v>
      </c>
      <c r="CB354" s="8" t="s">
        <v>42</v>
      </c>
      <c r="CC354" s="8"/>
      <c r="CD354" s="8"/>
      <c r="CE354" s="8"/>
      <c r="CF354" s="8" t="s">
        <v>382</v>
      </c>
      <c r="CG354" s="8" t="s">
        <v>383</v>
      </c>
    </row>
    <row r="355" spans="1:85" ht="15.75" customHeight="1" x14ac:dyDescent="0.35">
      <c r="A355" s="8">
        <v>348</v>
      </c>
      <c r="B355" s="8" t="s">
        <v>528</v>
      </c>
      <c r="C355" s="9">
        <v>9.9999999999999995E-7</v>
      </c>
      <c r="D355" s="9">
        <v>3.3100000000000002E-4</v>
      </c>
      <c r="E355" s="9">
        <v>7.7800000000000005E-4</v>
      </c>
      <c r="F355" s="9">
        <v>7.1699999999999997E-4</v>
      </c>
      <c r="G355" s="9">
        <v>5.0600000000000005E-4</v>
      </c>
      <c r="H355" s="9">
        <v>9.9999999999999995E-7</v>
      </c>
      <c r="I355" s="9">
        <v>3.8999999999999999E-4</v>
      </c>
      <c r="J355" s="9">
        <v>8.7000000000000001E-4</v>
      </c>
      <c r="K355" s="9">
        <v>1.653E-3</v>
      </c>
      <c r="L355" s="9">
        <v>1.8320000000000001E-3</v>
      </c>
      <c r="M355" s="9">
        <v>0</v>
      </c>
      <c r="N355" s="10">
        <v>59400</v>
      </c>
      <c r="O355" s="10">
        <v>30559400</v>
      </c>
      <c r="P355" s="10">
        <v>71896800</v>
      </c>
      <c r="Q355" s="10">
        <v>66271800</v>
      </c>
      <c r="R355" s="10">
        <v>46734400</v>
      </c>
      <c r="S355" s="10">
        <v>118400</v>
      </c>
      <c r="T355" s="10">
        <v>36077000</v>
      </c>
      <c r="U355" s="10">
        <v>80345000</v>
      </c>
      <c r="V355" s="10">
        <v>152712000</v>
      </c>
      <c r="W355" s="10">
        <v>169245200</v>
      </c>
      <c r="X355" s="10">
        <v>0</v>
      </c>
      <c r="Y355" s="12">
        <v>-30500000</v>
      </c>
      <c r="Z355" s="12">
        <v>-41337400</v>
      </c>
      <c r="AA355" s="13">
        <v>5625000</v>
      </c>
      <c r="AB355" s="13">
        <v>19537400</v>
      </c>
      <c r="AC355" s="13">
        <v>46616000</v>
      </c>
      <c r="AD355" s="12">
        <v>-35958600</v>
      </c>
      <c r="AE355" s="12">
        <v>-44268000</v>
      </c>
      <c r="AF355" s="12">
        <v>-72367000</v>
      </c>
      <c r="AG355" s="12">
        <v>-16533200</v>
      </c>
      <c r="AH355" s="13">
        <v>169245200</v>
      </c>
      <c r="AI355" s="11">
        <v>0</v>
      </c>
      <c r="AJ355" s="10">
        <v>283455288.89999998</v>
      </c>
      <c r="AK355" s="10">
        <v>173756618120.89999</v>
      </c>
      <c r="AL355" s="10">
        <v>434975639735.5</v>
      </c>
      <c r="AM355" s="10">
        <v>328873807693.20001</v>
      </c>
      <c r="AN355" s="10">
        <v>163981967482.5</v>
      </c>
      <c r="AO355" s="10">
        <v>293040051.39999998</v>
      </c>
      <c r="AP355" s="10">
        <v>138047655697.60001</v>
      </c>
      <c r="AQ355" s="10">
        <v>292608223668.75</v>
      </c>
      <c r="AR355" s="10">
        <v>610848000108</v>
      </c>
      <c r="AS355" s="10">
        <v>489753297722.09998</v>
      </c>
      <c r="AT355" s="10">
        <v>0</v>
      </c>
      <c r="AU355" s="14">
        <v>45900</v>
      </c>
      <c r="AV355" s="14">
        <v>45657</v>
      </c>
      <c r="AW355" s="14">
        <v>45291</v>
      </c>
      <c r="AX355" s="14">
        <v>44926</v>
      </c>
      <c r="AY355" s="14">
        <v>44561</v>
      </c>
      <c r="AZ355" s="14">
        <v>44012</v>
      </c>
      <c r="BA355" s="14">
        <v>43830</v>
      </c>
      <c r="BB355" s="14">
        <v>43465</v>
      </c>
      <c r="BC355" s="14">
        <v>43100</v>
      </c>
      <c r="BD355" s="14">
        <v>42735</v>
      </c>
      <c r="BE355" s="14">
        <v>42094</v>
      </c>
      <c r="BF355" s="8" t="s">
        <v>35</v>
      </c>
      <c r="BG355" s="8" t="s">
        <v>35</v>
      </c>
      <c r="BH355" s="8" t="s">
        <v>35</v>
      </c>
      <c r="BI355" s="8" t="s">
        <v>35</v>
      </c>
      <c r="BJ355" s="8" t="s">
        <v>35</v>
      </c>
      <c r="BK355" s="8" t="s">
        <v>35</v>
      </c>
      <c r="BL355" s="8" t="s">
        <v>35</v>
      </c>
      <c r="BM355" s="8" t="s">
        <v>35</v>
      </c>
      <c r="BN355" s="8" t="s">
        <v>35</v>
      </c>
      <c r="BO355" s="8" t="s">
        <v>35</v>
      </c>
      <c r="BP355" s="8" t="s">
        <v>35</v>
      </c>
      <c r="BQ355" s="8" t="s">
        <v>31</v>
      </c>
      <c r="BR355" s="8" t="s">
        <v>49</v>
      </c>
      <c r="BS355" s="10">
        <v>1944470759824180</v>
      </c>
      <c r="BT355" s="8" t="s">
        <v>57</v>
      </c>
      <c r="BU355" s="8" t="s">
        <v>42</v>
      </c>
      <c r="BV355" s="8" t="s">
        <v>42</v>
      </c>
      <c r="BW355" s="8" t="s">
        <v>42</v>
      </c>
      <c r="BX355" s="8" t="s">
        <v>27</v>
      </c>
      <c r="BY355" s="8" t="s">
        <v>42</v>
      </c>
      <c r="BZ355" s="8" t="s">
        <v>42</v>
      </c>
      <c r="CA355" s="8" t="s">
        <v>42</v>
      </c>
      <c r="CB355" s="8" t="s">
        <v>42</v>
      </c>
      <c r="CC355" s="8" t="s">
        <v>42</v>
      </c>
      <c r="CD355" s="8" t="s">
        <v>42</v>
      </c>
      <c r="CE355" s="8" t="s">
        <v>42</v>
      </c>
      <c r="CF355" s="8" t="s">
        <v>82</v>
      </c>
      <c r="CG355" s="8" t="s">
        <v>39</v>
      </c>
    </row>
    <row r="356" spans="1:85" ht="15.75" customHeight="1" x14ac:dyDescent="0.35">
      <c r="A356" s="8">
        <v>349</v>
      </c>
      <c r="B356" s="8" t="s">
        <v>529</v>
      </c>
      <c r="C356" s="9">
        <v>9.9999999999999995E-7</v>
      </c>
      <c r="D356" s="9">
        <v>9.9999999999999995E-7</v>
      </c>
      <c r="E356" s="8"/>
      <c r="F356" s="8"/>
      <c r="G356" s="8"/>
      <c r="H356" s="8"/>
      <c r="I356" s="8"/>
      <c r="J356" s="8"/>
      <c r="K356" s="8"/>
      <c r="L356" s="8"/>
      <c r="M356" s="8"/>
      <c r="N356" s="10">
        <v>52000</v>
      </c>
      <c r="O356" s="10">
        <v>52000</v>
      </c>
      <c r="P356" s="8"/>
      <c r="Q356" s="8"/>
      <c r="R356" s="8"/>
      <c r="S356" s="8"/>
      <c r="T356" s="8"/>
      <c r="U356" s="8"/>
      <c r="V356" s="8"/>
      <c r="W356" s="8"/>
      <c r="X356" s="8"/>
      <c r="Y356" s="11">
        <v>0</v>
      </c>
      <c r="Z356" s="13">
        <v>52000</v>
      </c>
      <c r="AA356" s="8"/>
      <c r="AB356" s="8"/>
      <c r="AC356" s="8"/>
      <c r="AD356" s="8"/>
      <c r="AE356" s="8"/>
      <c r="AF356" s="8"/>
      <c r="AG356" s="8"/>
      <c r="AH356" s="8"/>
      <c r="AI356" s="8"/>
      <c r="AJ356" s="10">
        <v>378650692.5</v>
      </c>
      <c r="AK356" s="10">
        <v>378650692.5</v>
      </c>
      <c r="AL356" s="8"/>
      <c r="AM356" s="8"/>
      <c r="AN356" s="8"/>
      <c r="AO356" s="8"/>
      <c r="AP356" s="8"/>
      <c r="AQ356" s="8"/>
      <c r="AR356" s="8"/>
      <c r="AS356" s="8"/>
      <c r="AT356" s="8"/>
      <c r="AU356" s="14">
        <v>45596</v>
      </c>
      <c r="AV356" s="14">
        <v>45596</v>
      </c>
      <c r="AW356" s="8"/>
      <c r="AX356" s="8"/>
      <c r="AY356" s="8"/>
      <c r="AZ356" s="8"/>
      <c r="BA356" s="8"/>
      <c r="BB356" s="8"/>
      <c r="BC356" s="8"/>
      <c r="BD356" s="8"/>
      <c r="BE356" s="8"/>
      <c r="BF356" s="8" t="s">
        <v>35</v>
      </c>
      <c r="BG356" s="8" t="s">
        <v>35</v>
      </c>
      <c r="BH356" s="8"/>
      <c r="BI356" s="8"/>
      <c r="BJ356" s="8"/>
      <c r="BK356" s="8"/>
      <c r="BL356" s="8"/>
      <c r="BM356" s="8"/>
      <c r="BN356" s="8"/>
      <c r="BO356" s="8"/>
      <c r="BP356" s="8"/>
      <c r="BQ356" s="8" t="s">
        <v>31</v>
      </c>
      <c r="BR356" s="8" t="s">
        <v>36</v>
      </c>
      <c r="BS356" s="10">
        <v>151278714730.79999</v>
      </c>
      <c r="BT356" s="8"/>
      <c r="BU356" s="8" t="s">
        <v>27</v>
      </c>
      <c r="BV356" s="8" t="s">
        <v>27</v>
      </c>
      <c r="BW356" s="8"/>
      <c r="BX356" s="8"/>
      <c r="BY356" s="8"/>
      <c r="BZ356" s="8"/>
      <c r="CA356" s="8"/>
      <c r="CB356" s="8"/>
      <c r="CC356" s="8"/>
      <c r="CD356" s="8"/>
      <c r="CE356" s="8"/>
      <c r="CF356" s="8" t="s">
        <v>65</v>
      </c>
      <c r="CG356" s="8" t="s">
        <v>65</v>
      </c>
    </row>
    <row r="357" spans="1:85" ht="15.75" hidden="1" customHeight="1" x14ac:dyDescent="0.35">
      <c r="A357" s="8">
        <v>350</v>
      </c>
      <c r="B357" s="8" t="s">
        <v>530</v>
      </c>
      <c r="C357" s="9">
        <v>0</v>
      </c>
      <c r="D357" s="9">
        <v>0</v>
      </c>
      <c r="E357" s="8"/>
      <c r="F357" s="8"/>
      <c r="G357" s="8"/>
      <c r="H357" s="8"/>
      <c r="I357" s="8"/>
      <c r="J357" s="8"/>
      <c r="K357" s="8"/>
      <c r="L357" s="8"/>
      <c r="M357" s="8"/>
      <c r="N357" s="10">
        <v>30300</v>
      </c>
      <c r="O357" s="10">
        <v>30300</v>
      </c>
      <c r="P357" s="8"/>
      <c r="Q357" s="8"/>
      <c r="R357" s="8"/>
      <c r="S357" s="8"/>
      <c r="T357" s="8"/>
      <c r="U357" s="8"/>
      <c r="V357" s="8"/>
      <c r="W357" s="8"/>
      <c r="X357" s="8"/>
      <c r="Y357" s="11">
        <v>0</v>
      </c>
      <c r="Z357" s="13">
        <v>30300</v>
      </c>
      <c r="AA357" s="8"/>
      <c r="AB357" s="8"/>
      <c r="AC357" s="8"/>
      <c r="AD357" s="8"/>
      <c r="AE357" s="8"/>
      <c r="AF357" s="8"/>
      <c r="AG357" s="8"/>
      <c r="AH357" s="8"/>
      <c r="AI357" s="8"/>
      <c r="AJ357" s="10">
        <v>172281744.19999999</v>
      </c>
      <c r="AK357" s="10">
        <v>172281744.19999999</v>
      </c>
      <c r="AL357" s="8"/>
      <c r="AM357" s="8"/>
      <c r="AN357" s="8"/>
      <c r="AO357" s="8"/>
      <c r="AP357" s="8"/>
      <c r="AQ357" s="8"/>
      <c r="AR357" s="8"/>
      <c r="AS357" s="8"/>
      <c r="AT357" s="8"/>
      <c r="AU357" s="14">
        <v>45657</v>
      </c>
      <c r="AV357" s="14">
        <v>45657</v>
      </c>
      <c r="AW357" s="8"/>
      <c r="AX357" s="8"/>
      <c r="AY357" s="8"/>
      <c r="AZ357" s="8"/>
      <c r="BA357" s="8"/>
      <c r="BB357" s="8"/>
      <c r="BC357" s="8"/>
      <c r="BD357" s="8"/>
      <c r="BE357" s="8"/>
      <c r="BF357" s="8" t="s">
        <v>201</v>
      </c>
      <c r="BG357" s="8" t="s">
        <v>201</v>
      </c>
      <c r="BH357" s="8"/>
      <c r="BI357" s="8"/>
      <c r="BJ357" s="8"/>
      <c r="BK357" s="8"/>
      <c r="BL357" s="8"/>
      <c r="BM357" s="8"/>
      <c r="BN357" s="8"/>
      <c r="BO357" s="8"/>
      <c r="BP357" s="8"/>
      <c r="BQ357" s="8" t="s">
        <v>25</v>
      </c>
      <c r="BR357" s="8" t="s">
        <v>202</v>
      </c>
      <c r="BS357" s="10">
        <v>178599098.40000001</v>
      </c>
      <c r="BT357" s="8"/>
      <c r="BU357" s="8" t="s">
        <v>27</v>
      </c>
      <c r="BV357" s="8" t="s">
        <v>43</v>
      </c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 t="s">
        <v>29</v>
      </c>
    </row>
    <row r="358" spans="1:85" ht="15.75" customHeight="1" x14ac:dyDescent="0.35">
      <c r="A358" s="8">
        <v>351</v>
      </c>
      <c r="B358" s="8" t="s">
        <v>531</v>
      </c>
      <c r="C358" s="9">
        <v>0</v>
      </c>
      <c r="D358" s="9">
        <v>1.9999999999999999E-6</v>
      </c>
      <c r="E358" s="9">
        <v>1.5799999999999999E-4</v>
      </c>
      <c r="F358" s="9">
        <v>1.65E-4</v>
      </c>
      <c r="G358" s="8"/>
      <c r="H358" s="8"/>
      <c r="I358" s="8"/>
      <c r="J358" s="8"/>
      <c r="K358" s="8"/>
      <c r="L358" s="8"/>
      <c r="M358" s="8"/>
      <c r="N358" s="10">
        <v>30200</v>
      </c>
      <c r="O358" s="10">
        <v>186602</v>
      </c>
      <c r="P358" s="10">
        <v>14620400</v>
      </c>
      <c r="Q358" s="10">
        <v>15262800</v>
      </c>
      <c r="R358" s="8"/>
      <c r="S358" s="8"/>
      <c r="T358" s="8"/>
      <c r="U358" s="8"/>
      <c r="V358" s="8"/>
      <c r="W358" s="8"/>
      <c r="X358" s="8"/>
      <c r="Y358" s="12">
        <v>-156402</v>
      </c>
      <c r="Z358" s="12">
        <v>-14433798</v>
      </c>
      <c r="AA358" s="12">
        <v>-642400</v>
      </c>
      <c r="AB358" s="13">
        <v>15262800</v>
      </c>
      <c r="AC358" s="8"/>
      <c r="AD358" s="8"/>
      <c r="AE358" s="8"/>
      <c r="AF358" s="8"/>
      <c r="AG358" s="8"/>
      <c r="AH358" s="8"/>
      <c r="AI358" s="8"/>
      <c r="AJ358" s="10">
        <v>136742270</v>
      </c>
      <c r="AK358" s="10">
        <v>1060993747.1</v>
      </c>
      <c r="AL358" s="10">
        <v>88453419937.899994</v>
      </c>
      <c r="AM358" s="10">
        <v>75741644984.5</v>
      </c>
      <c r="AN358" s="8"/>
      <c r="AO358" s="8"/>
      <c r="AP358" s="8"/>
      <c r="AQ358" s="8"/>
      <c r="AR358" s="8"/>
      <c r="AS358" s="8"/>
      <c r="AT358" s="8"/>
      <c r="AU358" s="14">
        <v>45869</v>
      </c>
      <c r="AV358" s="14">
        <v>45657</v>
      </c>
      <c r="AW358" s="14">
        <v>45291</v>
      </c>
      <c r="AX358" s="14">
        <v>44926</v>
      </c>
      <c r="AY358" s="8"/>
      <c r="AZ358" s="8"/>
      <c r="BA358" s="8"/>
      <c r="BB358" s="8"/>
      <c r="BC358" s="8"/>
      <c r="BD358" s="8"/>
      <c r="BE358" s="8"/>
      <c r="BF358" s="8" t="s">
        <v>35</v>
      </c>
      <c r="BG358" s="8" t="s">
        <v>35</v>
      </c>
      <c r="BH358" s="8" t="s">
        <v>35</v>
      </c>
      <c r="BI358" s="8" t="s">
        <v>35</v>
      </c>
      <c r="BJ358" s="8"/>
      <c r="BK358" s="8"/>
      <c r="BL358" s="8"/>
      <c r="BM358" s="8"/>
      <c r="BN358" s="8"/>
      <c r="BO358" s="8"/>
      <c r="BP358" s="8"/>
      <c r="BQ358" s="8" t="s">
        <v>31</v>
      </c>
      <c r="BR358" s="8" t="s">
        <v>36</v>
      </c>
      <c r="BS358" s="10">
        <v>11621209996034.4</v>
      </c>
      <c r="BT358" s="8" t="s">
        <v>46</v>
      </c>
      <c r="BU358" s="8" t="s">
        <v>42</v>
      </c>
      <c r="BV358" s="8" t="s">
        <v>43</v>
      </c>
      <c r="BW358" s="8" t="s">
        <v>42</v>
      </c>
      <c r="BX358" s="8" t="s">
        <v>42</v>
      </c>
      <c r="BY358" s="8"/>
      <c r="BZ358" s="8"/>
      <c r="CA358" s="8"/>
      <c r="CB358" s="8"/>
      <c r="CC358" s="8"/>
      <c r="CD358" s="8"/>
      <c r="CE358" s="8"/>
      <c r="CF358" s="8" t="s">
        <v>145</v>
      </c>
      <c r="CG358" s="8" t="s">
        <v>146</v>
      </c>
    </row>
    <row r="359" spans="1:85" ht="15.75" customHeight="1" x14ac:dyDescent="0.35">
      <c r="A359" s="8">
        <v>352</v>
      </c>
      <c r="B359" s="8" t="s">
        <v>532</v>
      </c>
      <c r="C359" s="9">
        <v>0</v>
      </c>
      <c r="D359" s="9">
        <v>3.0000000000000001E-6</v>
      </c>
      <c r="E359" s="9">
        <v>9.9999999999999995E-7</v>
      </c>
      <c r="F359" s="9">
        <v>1.9999999999999999E-6</v>
      </c>
      <c r="G359" s="9">
        <v>0</v>
      </c>
      <c r="H359" s="8"/>
      <c r="I359" s="8"/>
      <c r="J359" s="8"/>
      <c r="K359" s="8"/>
      <c r="L359" s="9">
        <v>0</v>
      </c>
      <c r="M359" s="9">
        <v>0</v>
      </c>
      <c r="N359" s="10">
        <v>27300</v>
      </c>
      <c r="O359" s="10">
        <v>241200</v>
      </c>
      <c r="P359" s="10">
        <v>86300</v>
      </c>
      <c r="Q359" s="10">
        <v>216200</v>
      </c>
      <c r="R359" s="10">
        <v>30800</v>
      </c>
      <c r="S359" s="8"/>
      <c r="T359" s="8"/>
      <c r="U359" s="8"/>
      <c r="V359" s="8"/>
      <c r="W359" s="10">
        <v>0</v>
      </c>
      <c r="X359" s="10">
        <v>0</v>
      </c>
      <c r="Y359" s="12">
        <v>-213900</v>
      </c>
      <c r="Z359" s="13">
        <v>154900</v>
      </c>
      <c r="AA359" s="12">
        <v>-129900</v>
      </c>
      <c r="AB359" s="13">
        <v>185400</v>
      </c>
      <c r="AC359" s="13">
        <v>30800</v>
      </c>
      <c r="AD359" s="8"/>
      <c r="AE359" s="8"/>
      <c r="AF359" s="8"/>
      <c r="AG359" s="8"/>
      <c r="AH359" s="11">
        <v>0</v>
      </c>
      <c r="AI359" s="11">
        <v>0</v>
      </c>
      <c r="AJ359" s="10">
        <v>133478928.3</v>
      </c>
      <c r="AK359" s="10">
        <v>1371430667.3</v>
      </c>
      <c r="AL359" s="10">
        <v>522114959.10000002</v>
      </c>
      <c r="AM359" s="10">
        <v>1072892492.65</v>
      </c>
      <c r="AN359" s="10">
        <v>108071287.5</v>
      </c>
      <c r="AO359" s="8"/>
      <c r="AP359" s="8"/>
      <c r="AQ359" s="8"/>
      <c r="AR359" s="8"/>
      <c r="AS359" s="10">
        <v>0</v>
      </c>
      <c r="AT359" s="10">
        <v>0</v>
      </c>
      <c r="AU359" s="14">
        <v>45838</v>
      </c>
      <c r="AV359" s="14">
        <v>45657</v>
      </c>
      <c r="AW359" s="14">
        <v>45291</v>
      </c>
      <c r="AX359" s="14">
        <v>44926</v>
      </c>
      <c r="AY359" s="14">
        <v>44561</v>
      </c>
      <c r="AZ359" s="8"/>
      <c r="BA359" s="8"/>
      <c r="BB359" s="8"/>
      <c r="BC359" s="8"/>
      <c r="BD359" s="14">
        <v>42277</v>
      </c>
      <c r="BE359" s="14">
        <v>42277</v>
      </c>
      <c r="BF359" s="8" t="s">
        <v>35</v>
      </c>
      <c r="BG359" s="8" t="s">
        <v>35</v>
      </c>
      <c r="BH359" s="8" t="s">
        <v>35</v>
      </c>
      <c r="BI359" s="8" t="s">
        <v>35</v>
      </c>
      <c r="BJ359" s="8" t="s">
        <v>35</v>
      </c>
      <c r="BK359" s="8"/>
      <c r="BL359" s="8"/>
      <c r="BM359" s="8"/>
      <c r="BN359" s="8"/>
      <c r="BO359" s="8" t="s">
        <v>35</v>
      </c>
      <c r="BP359" s="8" t="s">
        <v>35</v>
      </c>
      <c r="BQ359" s="8" t="s">
        <v>31</v>
      </c>
      <c r="BR359" s="8" t="s">
        <v>49</v>
      </c>
      <c r="BS359" s="10">
        <v>236671329366421</v>
      </c>
      <c r="BT359" s="8" t="s">
        <v>61</v>
      </c>
      <c r="BU359" s="8" t="s">
        <v>27</v>
      </c>
      <c r="BV359" s="8" t="s">
        <v>27</v>
      </c>
      <c r="BW359" s="8" t="s">
        <v>27</v>
      </c>
      <c r="BX359" s="8" t="s">
        <v>27</v>
      </c>
      <c r="BY359" s="8" t="s">
        <v>27</v>
      </c>
      <c r="BZ359" s="8"/>
      <c r="CA359" s="8"/>
      <c r="CB359" s="8"/>
      <c r="CC359" s="8"/>
      <c r="CD359" s="8" t="s">
        <v>43</v>
      </c>
      <c r="CE359" s="8" t="s">
        <v>42</v>
      </c>
      <c r="CF359" s="8" t="s">
        <v>533</v>
      </c>
      <c r="CG359" s="8" t="s">
        <v>39</v>
      </c>
    </row>
    <row r="360" spans="1:85" ht="15.75" customHeight="1" x14ac:dyDescent="0.35">
      <c r="A360" s="8">
        <v>353</v>
      </c>
      <c r="B360" s="8" t="s">
        <v>534</v>
      </c>
      <c r="C360" s="9">
        <v>0</v>
      </c>
      <c r="D360" s="9">
        <v>3.0000000000000001E-6</v>
      </c>
      <c r="E360" s="8"/>
      <c r="F360" s="8"/>
      <c r="G360" s="8"/>
      <c r="H360" s="8"/>
      <c r="I360" s="9">
        <v>7.9999999999999996E-6</v>
      </c>
      <c r="J360" s="9">
        <v>7.9999999999999996E-6</v>
      </c>
      <c r="K360" s="8"/>
      <c r="L360" s="8"/>
      <c r="M360" s="8"/>
      <c r="N360" s="10">
        <v>16305</v>
      </c>
      <c r="O360" s="10">
        <v>279524</v>
      </c>
      <c r="P360" s="8"/>
      <c r="Q360" s="8"/>
      <c r="R360" s="8"/>
      <c r="S360" s="8"/>
      <c r="T360" s="10">
        <v>737788</v>
      </c>
      <c r="U360" s="10">
        <v>737788</v>
      </c>
      <c r="V360" s="8"/>
      <c r="W360" s="8"/>
      <c r="X360" s="8"/>
      <c r="Y360" s="12">
        <v>-263219</v>
      </c>
      <c r="Z360" s="13">
        <v>279524</v>
      </c>
      <c r="AA360" s="8"/>
      <c r="AB360" s="8"/>
      <c r="AC360" s="8"/>
      <c r="AD360" s="8"/>
      <c r="AE360" s="11">
        <v>0</v>
      </c>
      <c r="AF360" s="13">
        <v>737788</v>
      </c>
      <c r="AG360" s="8"/>
      <c r="AH360" s="8"/>
      <c r="AI360" s="8"/>
      <c r="AJ360" s="10">
        <v>73827271</v>
      </c>
      <c r="AK360" s="10">
        <v>1589335606.5</v>
      </c>
      <c r="AL360" s="8"/>
      <c r="AM360" s="8"/>
      <c r="AN360" s="8"/>
      <c r="AO360" s="8"/>
      <c r="AP360" s="10">
        <v>2480812154</v>
      </c>
      <c r="AQ360" s="10">
        <v>2480812154</v>
      </c>
      <c r="AR360" s="8"/>
      <c r="AS360" s="8"/>
      <c r="AT360" s="8"/>
      <c r="AU360" s="14">
        <v>45869</v>
      </c>
      <c r="AV360" s="14">
        <v>45657</v>
      </c>
      <c r="AW360" s="8"/>
      <c r="AX360" s="8"/>
      <c r="AY360" s="8"/>
      <c r="AZ360" s="8"/>
      <c r="BA360" s="14">
        <v>43373</v>
      </c>
      <c r="BB360" s="14">
        <v>43373</v>
      </c>
      <c r="BC360" s="8"/>
      <c r="BD360" s="8"/>
      <c r="BE360" s="8"/>
      <c r="BF360" s="8" t="s">
        <v>35</v>
      </c>
      <c r="BG360" s="8" t="s">
        <v>35</v>
      </c>
      <c r="BH360" s="8"/>
      <c r="BI360" s="8"/>
      <c r="BJ360" s="8"/>
      <c r="BK360" s="8"/>
      <c r="BL360" s="8" t="s">
        <v>35</v>
      </c>
      <c r="BM360" s="8" t="s">
        <v>35</v>
      </c>
      <c r="BN360" s="8"/>
      <c r="BO360" s="8"/>
      <c r="BP360" s="8"/>
      <c r="BQ360" s="8" t="s">
        <v>31</v>
      </c>
      <c r="BR360" s="8" t="s">
        <v>160</v>
      </c>
      <c r="BS360" s="10">
        <v>6398831211490.7998</v>
      </c>
      <c r="BT360" s="8" t="s">
        <v>57</v>
      </c>
      <c r="BU360" s="8" t="s">
        <v>27</v>
      </c>
      <c r="BV360" s="8" t="s">
        <v>42</v>
      </c>
      <c r="BW360" s="8"/>
      <c r="BX360" s="8"/>
      <c r="BY360" s="8"/>
      <c r="BZ360" s="8"/>
      <c r="CA360" s="8" t="s">
        <v>27</v>
      </c>
      <c r="CB360" s="8" t="s">
        <v>43</v>
      </c>
      <c r="CC360" s="8"/>
      <c r="CD360" s="8"/>
      <c r="CE360" s="8"/>
      <c r="CF360" s="8" t="s">
        <v>391</v>
      </c>
      <c r="CG360" s="8" t="s">
        <v>99</v>
      </c>
    </row>
    <row r="361" spans="1:85" ht="15.75" customHeight="1" x14ac:dyDescent="0.35">
      <c r="A361" s="8">
        <v>354</v>
      </c>
      <c r="B361" s="8" t="s">
        <v>535</v>
      </c>
      <c r="C361" s="9">
        <v>0</v>
      </c>
      <c r="D361" s="9">
        <v>0</v>
      </c>
      <c r="E361" s="9">
        <v>9.9999999999999995E-7</v>
      </c>
      <c r="F361" s="8"/>
      <c r="G361" s="8"/>
      <c r="H361" s="8"/>
      <c r="I361" s="8"/>
      <c r="J361" s="8"/>
      <c r="K361" s="8"/>
      <c r="L361" s="8"/>
      <c r="M361" s="8"/>
      <c r="N361" s="10">
        <v>14000</v>
      </c>
      <c r="O361" s="10">
        <v>14000</v>
      </c>
      <c r="P361" s="10">
        <v>90000</v>
      </c>
      <c r="Q361" s="8"/>
      <c r="R361" s="8"/>
      <c r="S361" s="8"/>
      <c r="T361" s="8"/>
      <c r="U361" s="8"/>
      <c r="V361" s="8"/>
      <c r="W361" s="8"/>
      <c r="X361" s="8"/>
      <c r="Y361" s="11">
        <v>0</v>
      </c>
      <c r="Z361" s="12">
        <v>-76000</v>
      </c>
      <c r="AA361" s="13">
        <v>90000</v>
      </c>
      <c r="AB361" s="8"/>
      <c r="AC361" s="8"/>
      <c r="AD361" s="8"/>
      <c r="AE361" s="8"/>
      <c r="AF361" s="8"/>
      <c r="AG361" s="8"/>
      <c r="AH361" s="8"/>
      <c r="AI361" s="8"/>
      <c r="AJ361" s="10">
        <v>79602057</v>
      </c>
      <c r="AK361" s="10">
        <v>79602057</v>
      </c>
      <c r="AL361" s="10">
        <v>544500058.85000002</v>
      </c>
      <c r="AM361" s="8"/>
      <c r="AN361" s="8"/>
      <c r="AO361" s="8"/>
      <c r="AP361" s="8"/>
      <c r="AQ361" s="8"/>
      <c r="AR361" s="8"/>
      <c r="AS361" s="8"/>
      <c r="AT361" s="8"/>
      <c r="AU361" s="14">
        <v>45657</v>
      </c>
      <c r="AV361" s="14">
        <v>45657</v>
      </c>
      <c r="AW361" s="14">
        <v>45291</v>
      </c>
      <c r="AX361" s="8"/>
      <c r="AY361" s="8"/>
      <c r="AZ361" s="8"/>
      <c r="BA361" s="8"/>
      <c r="BB361" s="8"/>
      <c r="BC361" s="8"/>
      <c r="BD361" s="8"/>
      <c r="BE361" s="8"/>
      <c r="BF361" s="8" t="s">
        <v>35</v>
      </c>
      <c r="BG361" s="8" t="s">
        <v>35</v>
      </c>
      <c r="BH361" s="8" t="s">
        <v>35</v>
      </c>
      <c r="BI361" s="8"/>
      <c r="BJ361" s="8"/>
      <c r="BK361" s="8"/>
      <c r="BL361" s="8"/>
      <c r="BM361" s="8"/>
      <c r="BN361" s="8"/>
      <c r="BO361" s="8"/>
      <c r="BP361" s="8"/>
      <c r="BQ361" s="8" t="s">
        <v>31</v>
      </c>
      <c r="BR361" s="8" t="s">
        <v>36</v>
      </c>
      <c r="BS361" s="10">
        <v>2258528071654.7998</v>
      </c>
      <c r="BT361" s="8" t="s">
        <v>57</v>
      </c>
      <c r="BU361" s="8" t="s">
        <v>42</v>
      </c>
      <c r="BV361" s="8" t="s">
        <v>27</v>
      </c>
      <c r="BW361" s="8" t="s">
        <v>42</v>
      </c>
      <c r="BX361" s="8"/>
      <c r="BY361" s="8"/>
      <c r="BZ361" s="8"/>
      <c r="CA361" s="8"/>
      <c r="CB361" s="8"/>
      <c r="CC361" s="8"/>
      <c r="CD361" s="8"/>
      <c r="CE361" s="8"/>
      <c r="CF361" s="8" t="s">
        <v>70</v>
      </c>
      <c r="CG361" s="8" t="s">
        <v>71</v>
      </c>
    </row>
    <row r="362" spans="1:85" ht="15.75" customHeight="1" x14ac:dyDescent="0.35">
      <c r="A362" s="8">
        <v>355</v>
      </c>
      <c r="B362" s="8" t="s">
        <v>536</v>
      </c>
      <c r="C362" s="9">
        <v>0</v>
      </c>
      <c r="D362" s="9">
        <v>0</v>
      </c>
      <c r="E362" s="9">
        <v>1.9999999999999999E-6</v>
      </c>
      <c r="F362" s="9">
        <v>1.9999999999999999E-6</v>
      </c>
      <c r="G362" s="9">
        <v>3.9999999999999998E-6</v>
      </c>
      <c r="H362" s="9">
        <v>9.9999999999999995E-7</v>
      </c>
      <c r="I362" s="9">
        <v>9.9999999999999995E-7</v>
      </c>
      <c r="J362" s="9">
        <v>9.9999999999999995E-7</v>
      </c>
      <c r="K362" s="9">
        <v>1.9999999999999999E-6</v>
      </c>
      <c r="L362" s="9">
        <v>9.9999999999999995E-7</v>
      </c>
      <c r="M362" s="8"/>
      <c r="N362" s="10">
        <v>14000</v>
      </c>
      <c r="O362" s="10">
        <v>14000</v>
      </c>
      <c r="P362" s="10">
        <v>177300</v>
      </c>
      <c r="Q362" s="10">
        <v>197600</v>
      </c>
      <c r="R362" s="10">
        <v>389400</v>
      </c>
      <c r="S362" s="10">
        <v>61600</v>
      </c>
      <c r="T362" s="10">
        <v>66000</v>
      </c>
      <c r="U362" s="10">
        <v>110800</v>
      </c>
      <c r="V362" s="10">
        <v>141200</v>
      </c>
      <c r="W362" s="10">
        <v>64800</v>
      </c>
      <c r="X362" s="8"/>
      <c r="Y362" s="11">
        <v>0</v>
      </c>
      <c r="Z362" s="12">
        <v>-163300</v>
      </c>
      <c r="AA362" s="12">
        <v>-20300</v>
      </c>
      <c r="AB362" s="12">
        <v>-191800</v>
      </c>
      <c r="AC362" s="13">
        <v>327800</v>
      </c>
      <c r="AD362" s="12">
        <v>-4400</v>
      </c>
      <c r="AE362" s="12">
        <v>-44800</v>
      </c>
      <c r="AF362" s="12">
        <v>-30400</v>
      </c>
      <c r="AG362" s="13">
        <v>76400</v>
      </c>
      <c r="AH362" s="13">
        <v>64800</v>
      </c>
      <c r="AI362" s="8"/>
      <c r="AJ362" s="10">
        <v>86099979.400000006</v>
      </c>
      <c r="AK362" s="10">
        <v>86099979.400000006</v>
      </c>
      <c r="AL362" s="10">
        <v>1072664945.05</v>
      </c>
      <c r="AM362" s="10">
        <v>980590019.20000005</v>
      </c>
      <c r="AN362" s="10">
        <v>1366329330</v>
      </c>
      <c r="AO362" s="10">
        <v>194810054.40000001</v>
      </c>
      <c r="AP362" s="10">
        <v>252547155.19999999</v>
      </c>
      <c r="AQ362" s="10">
        <v>403522206.25</v>
      </c>
      <c r="AR362" s="10">
        <v>564799936.39999998</v>
      </c>
      <c r="AS362" s="10">
        <v>187515061.80000001</v>
      </c>
      <c r="AT362" s="8"/>
      <c r="AU362" s="14">
        <v>45473</v>
      </c>
      <c r="AV362" s="14">
        <v>45473</v>
      </c>
      <c r="AW362" s="14">
        <v>45291</v>
      </c>
      <c r="AX362" s="14">
        <v>44926</v>
      </c>
      <c r="AY362" s="14">
        <v>44561</v>
      </c>
      <c r="AZ362" s="14">
        <v>44196</v>
      </c>
      <c r="BA362" s="14">
        <v>43830</v>
      </c>
      <c r="BB362" s="14">
        <v>43465</v>
      </c>
      <c r="BC362" s="14">
        <v>43100</v>
      </c>
      <c r="BD362" s="14">
        <v>42735</v>
      </c>
      <c r="BE362" s="8"/>
      <c r="BF362" s="8" t="s">
        <v>35</v>
      </c>
      <c r="BG362" s="8" t="s">
        <v>35</v>
      </c>
      <c r="BH362" s="8" t="s">
        <v>35</v>
      </c>
      <c r="BI362" s="8" t="s">
        <v>35</v>
      </c>
      <c r="BJ362" s="8" t="s">
        <v>35</v>
      </c>
      <c r="BK362" s="8" t="s">
        <v>35</v>
      </c>
      <c r="BL362" s="8" t="s">
        <v>35</v>
      </c>
      <c r="BM362" s="8" t="s">
        <v>35</v>
      </c>
      <c r="BN362" s="8" t="s">
        <v>35</v>
      </c>
      <c r="BO362" s="8" t="s">
        <v>35</v>
      </c>
      <c r="BP362" s="8"/>
      <c r="BQ362" s="8" t="s">
        <v>31</v>
      </c>
      <c r="BR362" s="8" t="s">
        <v>36</v>
      </c>
      <c r="BS362" s="10">
        <v>2010269345285280</v>
      </c>
      <c r="BT362" s="8" t="s">
        <v>61</v>
      </c>
      <c r="BU362" s="8" t="s">
        <v>27</v>
      </c>
      <c r="BV362" s="8" t="s">
        <v>27</v>
      </c>
      <c r="BW362" s="8" t="s">
        <v>27</v>
      </c>
      <c r="BX362" s="8" t="s">
        <v>27</v>
      </c>
      <c r="BY362" s="8" t="s">
        <v>27</v>
      </c>
      <c r="BZ362" s="8" t="s">
        <v>27</v>
      </c>
      <c r="CA362" s="8" t="s">
        <v>27</v>
      </c>
      <c r="CB362" s="8" t="s">
        <v>27</v>
      </c>
      <c r="CC362" s="8" t="s">
        <v>27</v>
      </c>
      <c r="CD362" s="8" t="s">
        <v>27</v>
      </c>
      <c r="CE362" s="8"/>
      <c r="CF362" s="8" t="s">
        <v>114</v>
      </c>
      <c r="CG362" s="8" t="s">
        <v>115</v>
      </c>
    </row>
    <row r="363" spans="1:85" ht="15.75" customHeight="1" x14ac:dyDescent="0.35">
      <c r="A363" s="8">
        <v>356</v>
      </c>
      <c r="B363" s="8" t="s">
        <v>537</v>
      </c>
      <c r="C363" s="9">
        <v>0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10">
        <v>7800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3">
        <v>7800</v>
      </c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10">
        <v>34309770.600000001</v>
      </c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14">
        <v>45930</v>
      </c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 t="s">
        <v>35</v>
      </c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 t="s">
        <v>31</v>
      </c>
      <c r="BR363" s="8" t="s">
        <v>36</v>
      </c>
      <c r="BS363" s="10">
        <v>363202294792843</v>
      </c>
      <c r="BT363" s="8" t="s">
        <v>41</v>
      </c>
      <c r="BU363" s="8" t="s">
        <v>27</v>
      </c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 t="s">
        <v>538</v>
      </c>
      <c r="CG363" s="8" t="s">
        <v>539</v>
      </c>
    </row>
    <row r="364" spans="1:85" ht="15.75" customHeight="1" x14ac:dyDescent="0.35">
      <c r="A364" s="8">
        <v>357</v>
      </c>
      <c r="B364" s="8" t="s">
        <v>540</v>
      </c>
      <c r="C364" s="9">
        <v>0</v>
      </c>
      <c r="D364" s="9">
        <v>0</v>
      </c>
      <c r="E364" s="8"/>
      <c r="F364" s="8"/>
      <c r="G364" s="8"/>
      <c r="H364" s="8"/>
      <c r="I364" s="8"/>
      <c r="J364" s="8"/>
      <c r="K364" s="8"/>
      <c r="L364" s="8"/>
      <c r="M364" s="8"/>
      <c r="N364" s="10">
        <v>6861</v>
      </c>
      <c r="O364" s="10">
        <v>6861</v>
      </c>
      <c r="P364" s="8"/>
      <c r="Q364" s="8"/>
      <c r="R364" s="8"/>
      <c r="S364" s="8"/>
      <c r="T364" s="8"/>
      <c r="U364" s="8"/>
      <c r="V364" s="8"/>
      <c r="W364" s="8"/>
      <c r="X364" s="8"/>
      <c r="Y364" s="11">
        <v>0</v>
      </c>
      <c r="Z364" s="13">
        <v>6861</v>
      </c>
      <c r="AA364" s="8"/>
      <c r="AB364" s="8"/>
      <c r="AC364" s="8"/>
      <c r="AD364" s="8"/>
      <c r="AE364" s="8"/>
      <c r="AF364" s="8"/>
      <c r="AG364" s="8"/>
      <c r="AH364" s="8"/>
      <c r="AI364" s="8"/>
      <c r="AJ364" s="10">
        <v>42195148.299999997</v>
      </c>
      <c r="AK364" s="10">
        <v>42195148.299999997</v>
      </c>
      <c r="AL364" s="8"/>
      <c r="AM364" s="8"/>
      <c r="AN364" s="8"/>
      <c r="AO364" s="8"/>
      <c r="AP364" s="8"/>
      <c r="AQ364" s="8"/>
      <c r="AR364" s="8"/>
      <c r="AS364" s="8"/>
      <c r="AT364" s="8"/>
      <c r="AU364" s="14">
        <v>45473</v>
      </c>
      <c r="AV364" s="14">
        <v>45473</v>
      </c>
      <c r="AW364" s="8"/>
      <c r="AX364" s="8"/>
      <c r="AY364" s="8"/>
      <c r="AZ364" s="8"/>
      <c r="BA364" s="8"/>
      <c r="BB364" s="8"/>
      <c r="BC364" s="8"/>
      <c r="BD364" s="8"/>
      <c r="BE364" s="8"/>
      <c r="BF364" s="8" t="s">
        <v>35</v>
      </c>
      <c r="BG364" s="8" t="s">
        <v>35</v>
      </c>
      <c r="BH364" s="8"/>
      <c r="BI364" s="8"/>
      <c r="BJ364" s="8"/>
      <c r="BK364" s="8"/>
      <c r="BL364" s="8"/>
      <c r="BM364" s="8"/>
      <c r="BN364" s="8"/>
      <c r="BO364" s="8"/>
      <c r="BP364" s="8"/>
      <c r="BQ364" s="8" t="s">
        <v>31</v>
      </c>
      <c r="BR364" s="8" t="s">
        <v>36</v>
      </c>
      <c r="BS364" s="10">
        <v>9273413056705.1992</v>
      </c>
      <c r="BT364" s="8"/>
      <c r="BU364" s="8" t="s">
        <v>27</v>
      </c>
      <c r="BV364" s="8" t="s">
        <v>42</v>
      </c>
      <c r="BW364" s="8"/>
      <c r="BX364" s="8"/>
      <c r="BY364" s="8"/>
      <c r="BZ364" s="8"/>
      <c r="CA364" s="8"/>
      <c r="CB364" s="8"/>
      <c r="CC364" s="8"/>
      <c r="CD364" s="8"/>
      <c r="CE364" s="8"/>
      <c r="CF364" s="8" t="s">
        <v>145</v>
      </c>
      <c r="CG364" s="8" t="s">
        <v>146</v>
      </c>
    </row>
    <row r="365" spans="1:85" ht="15.75" customHeight="1" x14ac:dyDescent="0.35">
      <c r="A365" s="8">
        <v>358</v>
      </c>
      <c r="B365" s="8" t="s">
        <v>541</v>
      </c>
      <c r="C365" s="9">
        <v>0</v>
      </c>
      <c r="D365" s="9">
        <v>0</v>
      </c>
      <c r="E365" s="8"/>
      <c r="F365" s="8"/>
      <c r="G365" s="8"/>
      <c r="H365" s="8"/>
      <c r="I365" s="8"/>
      <c r="J365" s="8"/>
      <c r="K365" s="8"/>
      <c r="L365" s="8"/>
      <c r="M365" s="8"/>
      <c r="N365" s="10">
        <v>4725</v>
      </c>
      <c r="O365" s="10">
        <v>4725</v>
      </c>
      <c r="P365" s="8"/>
      <c r="Q365" s="8"/>
      <c r="R365" s="8"/>
      <c r="S365" s="8"/>
      <c r="T365" s="8"/>
      <c r="U365" s="8"/>
      <c r="V365" s="8"/>
      <c r="W365" s="8"/>
      <c r="X365" s="8"/>
      <c r="Y365" s="11">
        <v>0</v>
      </c>
      <c r="Z365" s="13">
        <v>4725</v>
      </c>
      <c r="AA365" s="8"/>
      <c r="AB365" s="8"/>
      <c r="AC365" s="8"/>
      <c r="AD365" s="8"/>
      <c r="AE365" s="8"/>
      <c r="AF365" s="8"/>
      <c r="AG365" s="8"/>
      <c r="AH365" s="8"/>
      <c r="AI365" s="8"/>
      <c r="AJ365" s="10">
        <v>34406287.200000003</v>
      </c>
      <c r="AK365" s="10">
        <v>34406287.200000003</v>
      </c>
      <c r="AL365" s="8"/>
      <c r="AM365" s="8"/>
      <c r="AN365" s="8"/>
      <c r="AO365" s="8"/>
      <c r="AP365" s="8"/>
      <c r="AQ365" s="8"/>
      <c r="AR365" s="8"/>
      <c r="AS365" s="8"/>
      <c r="AT365" s="8"/>
      <c r="AU365" s="14">
        <v>45596</v>
      </c>
      <c r="AV365" s="14">
        <v>45596</v>
      </c>
      <c r="AW365" s="8"/>
      <c r="AX365" s="8"/>
      <c r="AY365" s="8"/>
      <c r="AZ365" s="8"/>
      <c r="BA365" s="8"/>
      <c r="BB365" s="8"/>
      <c r="BC365" s="8"/>
      <c r="BD365" s="8"/>
      <c r="BE365" s="8"/>
      <c r="BF365" s="8" t="s">
        <v>35</v>
      </c>
      <c r="BG365" s="8" t="s">
        <v>35</v>
      </c>
      <c r="BH365" s="8"/>
      <c r="BI365" s="8"/>
      <c r="BJ365" s="8"/>
      <c r="BK365" s="8"/>
      <c r="BL365" s="8"/>
      <c r="BM365" s="8"/>
      <c r="BN365" s="8"/>
      <c r="BO365" s="8"/>
      <c r="BP365" s="8"/>
      <c r="BQ365" s="8" t="s">
        <v>31</v>
      </c>
      <c r="BR365" s="8" t="s">
        <v>36</v>
      </c>
      <c r="BS365" s="10">
        <v>33739473810212.398</v>
      </c>
      <c r="BT365" s="8" t="s">
        <v>41</v>
      </c>
      <c r="BU365" s="8"/>
      <c r="BV365" s="8" t="s">
        <v>27</v>
      </c>
      <c r="BW365" s="8"/>
      <c r="BX365" s="8"/>
      <c r="BY365" s="8"/>
      <c r="BZ365" s="8"/>
      <c r="CA365" s="8"/>
      <c r="CB365" s="8"/>
      <c r="CC365" s="8"/>
      <c r="CD365" s="8"/>
      <c r="CE365" s="8"/>
      <c r="CF365" s="8" t="s">
        <v>95</v>
      </c>
      <c r="CG365" s="8" t="s">
        <v>96</v>
      </c>
    </row>
    <row r="366" spans="1:85" ht="15.75" customHeight="1" x14ac:dyDescent="0.35">
      <c r="A366" s="8">
        <v>359</v>
      </c>
      <c r="B366" s="8" t="s">
        <v>542</v>
      </c>
      <c r="C366" s="9">
        <v>0</v>
      </c>
      <c r="D366" s="9">
        <v>0</v>
      </c>
      <c r="E366" s="9">
        <v>0</v>
      </c>
      <c r="F366" s="8"/>
      <c r="G366" s="9">
        <v>0</v>
      </c>
      <c r="H366" s="9">
        <v>1.9999999999999999E-6</v>
      </c>
      <c r="I366" s="8"/>
      <c r="J366" s="8"/>
      <c r="K366" s="8"/>
      <c r="L366" s="8"/>
      <c r="M366" s="8"/>
      <c r="N366" s="10">
        <v>1043</v>
      </c>
      <c r="O366" s="10">
        <v>1078</v>
      </c>
      <c r="P366" s="10">
        <v>1014</v>
      </c>
      <c r="Q366" s="8"/>
      <c r="R366" s="10">
        <v>494</v>
      </c>
      <c r="S366" s="10">
        <v>202464</v>
      </c>
      <c r="T366" s="8"/>
      <c r="U366" s="8"/>
      <c r="V366" s="8"/>
      <c r="W366" s="8"/>
      <c r="X366" s="8"/>
      <c r="Y366" s="12">
        <v>-35</v>
      </c>
      <c r="Z366" s="13">
        <v>64</v>
      </c>
      <c r="AA366" s="13">
        <v>1014</v>
      </c>
      <c r="AB366" s="8"/>
      <c r="AC366" s="12">
        <v>-201970</v>
      </c>
      <c r="AD366" s="13">
        <v>202464</v>
      </c>
      <c r="AE366" s="8"/>
      <c r="AF366" s="8"/>
      <c r="AG366" s="8"/>
      <c r="AH366" s="8"/>
      <c r="AI366" s="8"/>
      <c r="AJ366" s="10">
        <v>6299484.0499999998</v>
      </c>
      <c r="AK366" s="10">
        <v>7168633.25</v>
      </c>
      <c r="AL366" s="10">
        <v>5044700.25</v>
      </c>
      <c r="AM366" s="8"/>
      <c r="AN366" s="10">
        <v>1624076.8</v>
      </c>
      <c r="AO366" s="10">
        <v>764301583.5</v>
      </c>
      <c r="AP366" s="8"/>
      <c r="AQ366" s="8"/>
      <c r="AR366" s="8"/>
      <c r="AS366" s="8"/>
      <c r="AT366" s="8"/>
      <c r="AU366" s="14">
        <v>45688</v>
      </c>
      <c r="AV366" s="14">
        <v>45322</v>
      </c>
      <c r="AW366" s="14">
        <v>44957</v>
      </c>
      <c r="AX366" s="8"/>
      <c r="AY366" s="14">
        <v>44227</v>
      </c>
      <c r="AZ366" s="14">
        <v>43861</v>
      </c>
      <c r="BA366" s="8"/>
      <c r="BB366" s="8"/>
      <c r="BC366" s="8"/>
      <c r="BD366" s="8"/>
      <c r="BE366" s="8"/>
      <c r="BF366" s="8" t="s">
        <v>35</v>
      </c>
      <c r="BG366" s="8" t="s">
        <v>35</v>
      </c>
      <c r="BH366" s="8" t="s">
        <v>35</v>
      </c>
      <c r="BI366" s="8"/>
      <c r="BJ366" s="8" t="s">
        <v>35</v>
      </c>
      <c r="BK366" s="8" t="s">
        <v>35</v>
      </c>
      <c r="BL366" s="8"/>
      <c r="BM366" s="8"/>
      <c r="BN366" s="8"/>
      <c r="BO366" s="8"/>
      <c r="BP366" s="8"/>
      <c r="BQ366" s="8" t="s">
        <v>31</v>
      </c>
      <c r="BR366" s="8" t="s">
        <v>36</v>
      </c>
      <c r="BS366" s="10">
        <v>357690341794775</v>
      </c>
      <c r="BT366" s="8"/>
      <c r="BU366" s="8" t="s">
        <v>27</v>
      </c>
      <c r="BV366" s="8" t="s">
        <v>43</v>
      </c>
      <c r="BW366" s="8" t="s">
        <v>27</v>
      </c>
      <c r="BX366" s="8"/>
      <c r="BY366" s="8" t="s">
        <v>27</v>
      </c>
      <c r="BZ366" s="8" t="s">
        <v>27</v>
      </c>
      <c r="CA366" s="8"/>
      <c r="CB366" s="8"/>
      <c r="CC366" s="8"/>
      <c r="CD366" s="8"/>
      <c r="CE366" s="8"/>
      <c r="CF366" s="8" t="s">
        <v>543</v>
      </c>
      <c r="CG366" s="8" t="s">
        <v>181</v>
      </c>
    </row>
    <row r="367" spans="1:85" ht="15.75" customHeight="1" x14ac:dyDescent="0.35">
      <c r="A367" s="8">
        <v>360</v>
      </c>
      <c r="B367" s="8" t="s">
        <v>544</v>
      </c>
      <c r="C367" s="9">
        <v>0</v>
      </c>
      <c r="D367" s="9">
        <v>0</v>
      </c>
      <c r="E367" s="9">
        <v>2.2699999999999999E-4</v>
      </c>
      <c r="F367" s="9">
        <v>1.7799999999999999E-4</v>
      </c>
      <c r="G367" s="9">
        <v>0</v>
      </c>
      <c r="H367" s="9">
        <v>0</v>
      </c>
      <c r="I367" s="9">
        <v>0</v>
      </c>
      <c r="J367" s="9">
        <v>0</v>
      </c>
      <c r="K367" s="8"/>
      <c r="L367" s="9">
        <v>0</v>
      </c>
      <c r="M367" s="9">
        <v>0</v>
      </c>
      <c r="N367" s="10">
        <v>0</v>
      </c>
      <c r="O367" s="10">
        <v>0</v>
      </c>
      <c r="P367" s="10">
        <v>21011900</v>
      </c>
      <c r="Q367" s="10">
        <v>16492400</v>
      </c>
      <c r="R367" s="10">
        <v>0</v>
      </c>
      <c r="S367" s="10">
        <v>0</v>
      </c>
      <c r="T367" s="10">
        <v>0</v>
      </c>
      <c r="U367" s="10">
        <v>0</v>
      </c>
      <c r="V367" s="8"/>
      <c r="W367" s="10">
        <v>0</v>
      </c>
      <c r="X367" s="10">
        <v>0</v>
      </c>
      <c r="Y367" s="11">
        <v>0</v>
      </c>
      <c r="Z367" s="12">
        <v>-21011900</v>
      </c>
      <c r="AA367" s="13">
        <v>4519500</v>
      </c>
      <c r="AB367" s="13">
        <v>16492400</v>
      </c>
      <c r="AC367" s="11">
        <v>0</v>
      </c>
      <c r="AD367" s="11">
        <v>0</v>
      </c>
      <c r="AE367" s="11">
        <v>0</v>
      </c>
      <c r="AF367" s="11">
        <v>0</v>
      </c>
      <c r="AG367" s="8"/>
      <c r="AH367" s="11">
        <v>0</v>
      </c>
      <c r="AI367" s="11">
        <v>0</v>
      </c>
      <c r="AJ367" s="10">
        <v>0</v>
      </c>
      <c r="AK367" s="10">
        <v>0</v>
      </c>
      <c r="AL367" s="10">
        <v>127121994850.25</v>
      </c>
      <c r="AM367" s="10">
        <v>81843535122.25</v>
      </c>
      <c r="AN367" s="10">
        <v>0</v>
      </c>
      <c r="AO367" s="10">
        <v>0</v>
      </c>
      <c r="AP367" s="10">
        <v>0</v>
      </c>
      <c r="AQ367" s="10">
        <v>0</v>
      </c>
      <c r="AR367" s="8"/>
      <c r="AS367" s="10">
        <v>0</v>
      </c>
      <c r="AT367" s="10">
        <v>0</v>
      </c>
      <c r="AU367" s="14">
        <v>45535</v>
      </c>
      <c r="AV367" s="14">
        <v>45535</v>
      </c>
      <c r="AW367" s="14">
        <v>45291</v>
      </c>
      <c r="AX367" s="14">
        <v>44926</v>
      </c>
      <c r="AY367" s="14">
        <v>44104</v>
      </c>
      <c r="AZ367" s="14">
        <v>44104</v>
      </c>
      <c r="BA367" s="14">
        <v>43738</v>
      </c>
      <c r="BB367" s="14">
        <v>43281</v>
      </c>
      <c r="BC367" s="8"/>
      <c r="BD367" s="14">
        <v>42308</v>
      </c>
      <c r="BE367" s="14">
        <v>42308</v>
      </c>
      <c r="BF367" s="8" t="s">
        <v>35</v>
      </c>
      <c r="BG367" s="8" t="s">
        <v>35</v>
      </c>
      <c r="BH367" s="8" t="s">
        <v>35</v>
      </c>
      <c r="BI367" s="8" t="s">
        <v>35</v>
      </c>
      <c r="BJ367" s="8" t="s">
        <v>35</v>
      </c>
      <c r="BK367" s="8" t="s">
        <v>35</v>
      </c>
      <c r="BL367" s="8" t="s">
        <v>35</v>
      </c>
      <c r="BM367" s="8" t="s">
        <v>35</v>
      </c>
      <c r="BN367" s="8"/>
      <c r="BO367" s="8" t="s">
        <v>35</v>
      </c>
      <c r="BP367" s="8" t="s">
        <v>35</v>
      </c>
      <c r="BQ367" s="8" t="s">
        <v>31</v>
      </c>
      <c r="BR367" s="8" t="s">
        <v>49</v>
      </c>
      <c r="BS367" s="10">
        <v>945763041545233</v>
      </c>
      <c r="BT367" s="8" t="s">
        <v>91</v>
      </c>
      <c r="BU367" s="8" t="s">
        <v>27</v>
      </c>
      <c r="BV367" s="8" t="s">
        <v>42</v>
      </c>
      <c r="BW367" s="8" t="s">
        <v>42</v>
      </c>
      <c r="BX367" s="8" t="s">
        <v>42</v>
      </c>
      <c r="BY367" s="8" t="s">
        <v>42</v>
      </c>
      <c r="BZ367" s="8" t="s">
        <v>42</v>
      </c>
      <c r="CA367" s="8" t="s">
        <v>42</v>
      </c>
      <c r="CB367" s="8" t="s">
        <v>42</v>
      </c>
      <c r="CC367" s="8"/>
      <c r="CD367" s="8" t="s">
        <v>42</v>
      </c>
      <c r="CE367" s="8" t="s">
        <v>42</v>
      </c>
      <c r="CF367" s="8" t="s">
        <v>85</v>
      </c>
      <c r="CG367" s="8" t="s">
        <v>39</v>
      </c>
    </row>
    <row r="368" spans="1:85" ht="15.75" customHeight="1" x14ac:dyDescent="0.35">
      <c r="A368" s="8">
        <v>361</v>
      </c>
      <c r="B368" s="8" t="s">
        <v>545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8"/>
      <c r="K368" s="8"/>
      <c r="L368" s="8"/>
      <c r="M368" s="8"/>
      <c r="N368" s="10">
        <v>0</v>
      </c>
      <c r="O368" s="10">
        <v>0</v>
      </c>
      <c r="P368" s="10">
        <v>28348</v>
      </c>
      <c r="Q368" s="10">
        <v>24820</v>
      </c>
      <c r="R368" s="10">
        <v>33954</v>
      </c>
      <c r="S368" s="10">
        <v>38112</v>
      </c>
      <c r="T368" s="10">
        <v>31338</v>
      </c>
      <c r="U368" s="8"/>
      <c r="V368" s="8"/>
      <c r="W368" s="8"/>
      <c r="X368" s="8"/>
      <c r="Y368" s="11">
        <v>0</v>
      </c>
      <c r="Z368" s="12">
        <v>-28348</v>
      </c>
      <c r="AA368" s="13">
        <v>3528</v>
      </c>
      <c r="AB368" s="12">
        <v>-9134</v>
      </c>
      <c r="AC368" s="12">
        <v>-4158</v>
      </c>
      <c r="AD368" s="13">
        <v>6774</v>
      </c>
      <c r="AE368" s="13">
        <v>31338</v>
      </c>
      <c r="AF368" s="8"/>
      <c r="AG368" s="8"/>
      <c r="AH368" s="8"/>
      <c r="AI368" s="8"/>
      <c r="AJ368" s="10">
        <v>0</v>
      </c>
      <c r="AK368" s="10">
        <v>0</v>
      </c>
      <c r="AL368" s="10">
        <v>171505380.34999999</v>
      </c>
      <c r="AM368" s="10">
        <v>123169269.3</v>
      </c>
      <c r="AN368" s="10">
        <v>119137980</v>
      </c>
      <c r="AO368" s="10">
        <v>120529188</v>
      </c>
      <c r="AP368" s="10">
        <v>119914039.2</v>
      </c>
      <c r="AQ368" s="8"/>
      <c r="AR368" s="8"/>
      <c r="AS368" s="8"/>
      <c r="AT368" s="8"/>
      <c r="AU368" s="14">
        <v>45657</v>
      </c>
      <c r="AV368" s="14">
        <v>45657</v>
      </c>
      <c r="AW368" s="14">
        <v>45291</v>
      </c>
      <c r="AX368" s="14">
        <v>44926</v>
      </c>
      <c r="AY368" s="14">
        <v>44561</v>
      </c>
      <c r="AZ368" s="14">
        <v>44196</v>
      </c>
      <c r="BA368" s="14">
        <v>43830</v>
      </c>
      <c r="BB368" s="8"/>
      <c r="BC368" s="8"/>
      <c r="BD368" s="8"/>
      <c r="BE368" s="8"/>
      <c r="BF368" s="8" t="s">
        <v>35</v>
      </c>
      <c r="BG368" s="8" t="s">
        <v>35</v>
      </c>
      <c r="BH368" s="8" t="s">
        <v>35</v>
      </c>
      <c r="BI368" s="8" t="s">
        <v>35</v>
      </c>
      <c r="BJ368" s="8" t="s">
        <v>35</v>
      </c>
      <c r="BK368" s="8" t="s">
        <v>35</v>
      </c>
      <c r="BL368" s="8" t="s">
        <v>35</v>
      </c>
      <c r="BM368" s="8"/>
      <c r="BN368" s="8"/>
      <c r="BO368" s="8"/>
      <c r="BP368" s="8"/>
      <c r="BQ368" s="8" t="s">
        <v>31</v>
      </c>
      <c r="BR368" s="8" t="s">
        <v>36</v>
      </c>
      <c r="BS368" s="10">
        <v>443268939986807</v>
      </c>
      <c r="BT368" s="8" t="s">
        <v>41</v>
      </c>
      <c r="BU368" s="8" t="s">
        <v>27</v>
      </c>
      <c r="BV368" s="8" t="s">
        <v>42</v>
      </c>
      <c r="BW368" s="8" t="s">
        <v>42</v>
      </c>
      <c r="BX368" s="8" t="s">
        <v>27</v>
      </c>
      <c r="BY368" s="8" t="s">
        <v>27</v>
      </c>
      <c r="BZ368" s="8" t="s">
        <v>27</v>
      </c>
      <c r="CA368" s="8" t="s">
        <v>43</v>
      </c>
      <c r="CB368" s="8"/>
      <c r="CC368" s="8"/>
      <c r="CD368" s="8"/>
      <c r="CE368" s="8"/>
      <c r="CF368" s="8" t="s">
        <v>120</v>
      </c>
      <c r="CG368" s="8" t="s">
        <v>51</v>
      </c>
    </row>
    <row r="369" spans="1:85" ht="15.75" customHeight="1" x14ac:dyDescent="0.35">
      <c r="A369" s="8">
        <v>362</v>
      </c>
      <c r="B369" s="8" t="s">
        <v>546</v>
      </c>
      <c r="C369" s="9">
        <v>0</v>
      </c>
      <c r="D369" s="9">
        <v>0</v>
      </c>
      <c r="E369" s="9">
        <v>1.1E-5</v>
      </c>
      <c r="F369" s="9">
        <v>6.9999999999999999E-6</v>
      </c>
      <c r="G369" s="8"/>
      <c r="H369" s="8"/>
      <c r="I369" s="8"/>
      <c r="J369" s="8"/>
      <c r="K369" s="8"/>
      <c r="L369" s="8"/>
      <c r="M369" s="8"/>
      <c r="N369" s="10">
        <v>0</v>
      </c>
      <c r="O369" s="10">
        <v>9</v>
      </c>
      <c r="P369" s="10">
        <v>1060560</v>
      </c>
      <c r="Q369" s="10">
        <v>684352</v>
      </c>
      <c r="R369" s="8"/>
      <c r="S369" s="8"/>
      <c r="T369" s="8"/>
      <c r="U369" s="8"/>
      <c r="V369" s="8"/>
      <c r="W369" s="8"/>
      <c r="X369" s="8"/>
      <c r="Y369" s="12">
        <v>-9</v>
      </c>
      <c r="Z369" s="12">
        <v>-1060551</v>
      </c>
      <c r="AA369" s="13">
        <v>376208</v>
      </c>
      <c r="AB369" s="13">
        <v>684352</v>
      </c>
      <c r="AC369" s="8"/>
      <c r="AD369" s="8"/>
      <c r="AE369" s="8"/>
      <c r="AF369" s="8"/>
      <c r="AG369" s="8"/>
      <c r="AH369" s="8"/>
      <c r="AI369" s="8"/>
      <c r="AJ369" s="10">
        <v>0</v>
      </c>
      <c r="AK369" s="10">
        <v>51166.2</v>
      </c>
      <c r="AL369" s="10">
        <v>6416387986.5500002</v>
      </c>
      <c r="AM369" s="10">
        <v>3396096842.5999999</v>
      </c>
      <c r="AN369" s="8"/>
      <c r="AO369" s="8"/>
      <c r="AP369" s="8"/>
      <c r="AQ369" s="8"/>
      <c r="AR369" s="8"/>
      <c r="AS369" s="8"/>
      <c r="AT369" s="8"/>
      <c r="AU369" s="14">
        <v>45777</v>
      </c>
      <c r="AV369" s="14">
        <v>45657</v>
      </c>
      <c r="AW369" s="14">
        <v>45291</v>
      </c>
      <c r="AX369" s="14">
        <v>44926</v>
      </c>
      <c r="AY369" s="8"/>
      <c r="AZ369" s="8"/>
      <c r="BA369" s="8"/>
      <c r="BB369" s="8"/>
      <c r="BC369" s="8"/>
      <c r="BD369" s="8"/>
      <c r="BE369" s="8"/>
      <c r="BF369" s="8" t="s">
        <v>35</v>
      </c>
      <c r="BG369" s="8" t="s">
        <v>35</v>
      </c>
      <c r="BH369" s="8" t="s">
        <v>35</v>
      </c>
      <c r="BI369" s="8" t="s">
        <v>35</v>
      </c>
      <c r="BJ369" s="8"/>
      <c r="BK369" s="8"/>
      <c r="BL369" s="8"/>
      <c r="BM369" s="8"/>
      <c r="BN369" s="8"/>
      <c r="BO369" s="8"/>
      <c r="BP369" s="8"/>
      <c r="BQ369" s="8" t="s">
        <v>31</v>
      </c>
      <c r="BR369" s="8" t="s">
        <v>36</v>
      </c>
      <c r="BS369" s="10">
        <v>109423517867890</v>
      </c>
      <c r="BT369" s="8"/>
      <c r="BU369" s="8" t="s">
        <v>27</v>
      </c>
      <c r="BV369" s="8" t="s">
        <v>27</v>
      </c>
      <c r="BW369" s="8" t="s">
        <v>42</v>
      </c>
      <c r="BX369" s="8" t="s">
        <v>27</v>
      </c>
      <c r="BY369" s="8"/>
      <c r="BZ369" s="8"/>
      <c r="CA369" s="8"/>
      <c r="CB369" s="8"/>
      <c r="CC369" s="8"/>
      <c r="CD369" s="8"/>
      <c r="CE369" s="8"/>
      <c r="CF369" s="8" t="s">
        <v>120</v>
      </c>
      <c r="CG369" s="8" t="s">
        <v>51</v>
      </c>
    </row>
    <row r="370" spans="1:85" ht="15.75" customHeight="1" x14ac:dyDescent="0.35">
      <c r="A370" s="8">
        <v>363</v>
      </c>
      <c r="B370" s="8" t="s">
        <v>547</v>
      </c>
      <c r="C370" s="9">
        <v>0</v>
      </c>
      <c r="D370" s="9">
        <v>5.7000000000000003E-5</v>
      </c>
      <c r="E370" s="9">
        <v>2.6999999999999999E-5</v>
      </c>
      <c r="F370" s="8"/>
      <c r="G370" s="9">
        <v>0</v>
      </c>
      <c r="H370" s="9">
        <v>1.07E-4</v>
      </c>
      <c r="I370" s="9">
        <v>5.0000000000000002E-5</v>
      </c>
      <c r="J370" s="9">
        <v>3.1000000000000001E-5</v>
      </c>
      <c r="K370" s="8"/>
      <c r="L370" s="8"/>
      <c r="M370" s="8"/>
      <c r="N370" s="10">
        <v>0</v>
      </c>
      <c r="O370" s="10">
        <v>5233900</v>
      </c>
      <c r="P370" s="10">
        <v>2451100</v>
      </c>
      <c r="Q370" s="8"/>
      <c r="R370" s="10">
        <v>0</v>
      </c>
      <c r="S370" s="10">
        <v>9902200</v>
      </c>
      <c r="T370" s="10">
        <v>4639800</v>
      </c>
      <c r="U370" s="10">
        <v>2842600</v>
      </c>
      <c r="V370" s="8"/>
      <c r="W370" s="8"/>
      <c r="X370" s="8"/>
      <c r="Y370" s="12">
        <v>-5233900</v>
      </c>
      <c r="Z370" s="13">
        <v>2782800</v>
      </c>
      <c r="AA370" s="13">
        <v>2451100</v>
      </c>
      <c r="AB370" s="8"/>
      <c r="AC370" s="12">
        <v>-9902200</v>
      </c>
      <c r="AD370" s="13">
        <v>5262400</v>
      </c>
      <c r="AE370" s="13">
        <v>1797200</v>
      </c>
      <c r="AF370" s="13">
        <v>2842600</v>
      </c>
      <c r="AG370" s="8"/>
      <c r="AH370" s="8"/>
      <c r="AI370" s="8"/>
      <c r="AJ370" s="10">
        <v>0</v>
      </c>
      <c r="AK370" s="10">
        <v>29759248076.099998</v>
      </c>
      <c r="AL370" s="10">
        <v>14829154927.6</v>
      </c>
      <c r="AM370" s="8"/>
      <c r="AN370" s="10">
        <v>0</v>
      </c>
      <c r="AO370" s="10">
        <v>31315707399.599998</v>
      </c>
      <c r="AP370" s="10">
        <v>17754068036.400002</v>
      </c>
      <c r="AQ370" s="10">
        <v>10352456687.5</v>
      </c>
      <c r="AR370" s="8"/>
      <c r="AS370" s="8"/>
      <c r="AT370" s="8"/>
      <c r="AU370" s="14">
        <v>45808</v>
      </c>
      <c r="AV370" s="14">
        <v>45657</v>
      </c>
      <c r="AW370" s="14">
        <v>45291</v>
      </c>
      <c r="AX370" s="8"/>
      <c r="AY370" s="14">
        <v>44227</v>
      </c>
      <c r="AZ370" s="14">
        <v>44196</v>
      </c>
      <c r="BA370" s="14">
        <v>43830</v>
      </c>
      <c r="BB370" s="14">
        <v>43465</v>
      </c>
      <c r="BC370" s="8"/>
      <c r="BD370" s="8"/>
      <c r="BE370" s="8"/>
      <c r="BF370" s="8" t="s">
        <v>35</v>
      </c>
      <c r="BG370" s="8" t="s">
        <v>35</v>
      </c>
      <c r="BH370" s="8" t="s">
        <v>35</v>
      </c>
      <c r="BI370" s="8"/>
      <c r="BJ370" s="8" t="s">
        <v>35</v>
      </c>
      <c r="BK370" s="8" t="s">
        <v>35</v>
      </c>
      <c r="BL370" s="8" t="s">
        <v>35</v>
      </c>
      <c r="BM370" s="8" t="s">
        <v>35</v>
      </c>
      <c r="BN370" s="8"/>
      <c r="BO370" s="8"/>
      <c r="BP370" s="8"/>
      <c r="BQ370" s="8" t="s">
        <v>31</v>
      </c>
      <c r="BR370" s="8" t="s">
        <v>36</v>
      </c>
      <c r="BS370" s="10">
        <v>36083773968186</v>
      </c>
      <c r="BT370" s="8"/>
      <c r="BU370" s="8" t="s">
        <v>27</v>
      </c>
      <c r="BV370" s="8" t="s">
        <v>42</v>
      </c>
      <c r="BW370" s="8" t="s">
        <v>27</v>
      </c>
      <c r="BX370" s="8"/>
      <c r="BY370" s="8" t="s">
        <v>42</v>
      </c>
      <c r="BZ370" s="8" t="s">
        <v>43</v>
      </c>
      <c r="CA370" s="8" t="s">
        <v>42</v>
      </c>
      <c r="CB370" s="8" t="s">
        <v>43</v>
      </c>
      <c r="CC370" s="8"/>
      <c r="CD370" s="8"/>
      <c r="CE370" s="8"/>
      <c r="CF370" s="8" t="s">
        <v>548</v>
      </c>
      <c r="CG370" s="8" t="s">
        <v>51</v>
      </c>
    </row>
    <row r="371" spans="1:85" ht="15.75" customHeight="1" x14ac:dyDescent="0.35">
      <c r="A371" s="8">
        <v>364</v>
      </c>
      <c r="B371" s="8" t="s">
        <v>549</v>
      </c>
      <c r="C371" s="9">
        <v>0</v>
      </c>
      <c r="D371" s="9">
        <v>1.3899999999999999E-4</v>
      </c>
      <c r="E371" s="9">
        <v>2.3499999999999999E-4</v>
      </c>
      <c r="F371" s="9">
        <v>3.9899999999999999E-4</v>
      </c>
      <c r="G371" s="9">
        <v>7.8399999999999997E-4</v>
      </c>
      <c r="H371" s="9">
        <v>6.7900000000000002E-4</v>
      </c>
      <c r="I371" s="9">
        <v>7.2099999999999996E-4</v>
      </c>
      <c r="J371" s="9">
        <v>5.3899999999999998E-4</v>
      </c>
      <c r="K371" s="9">
        <v>4.6000000000000001E-4</v>
      </c>
      <c r="L371" s="9">
        <v>5.2599999999999999E-4</v>
      </c>
      <c r="M371" s="9">
        <v>5.1199999999999998E-4</v>
      </c>
      <c r="N371" s="10">
        <v>0</v>
      </c>
      <c r="O371" s="10">
        <v>12820677</v>
      </c>
      <c r="P371" s="10">
        <v>21733366</v>
      </c>
      <c r="Q371" s="10">
        <v>36843096</v>
      </c>
      <c r="R371" s="10">
        <v>72399796</v>
      </c>
      <c r="S371" s="10">
        <v>62773832</v>
      </c>
      <c r="T371" s="10">
        <v>66655788</v>
      </c>
      <c r="U371" s="10">
        <v>49763188</v>
      </c>
      <c r="V371" s="10">
        <v>42526188</v>
      </c>
      <c r="W371" s="10">
        <v>48578552</v>
      </c>
      <c r="X371" s="10">
        <v>47331684</v>
      </c>
      <c r="Y371" s="12">
        <v>-12820677</v>
      </c>
      <c r="Z371" s="12">
        <v>-8912689</v>
      </c>
      <c r="AA371" s="12">
        <v>-15109730</v>
      </c>
      <c r="AB371" s="12">
        <v>-35556700</v>
      </c>
      <c r="AC371" s="13">
        <v>9625964</v>
      </c>
      <c r="AD371" s="12">
        <v>-3881956</v>
      </c>
      <c r="AE371" s="13">
        <v>16892600</v>
      </c>
      <c r="AF371" s="13">
        <v>7237000</v>
      </c>
      <c r="AG371" s="12">
        <v>-6052364</v>
      </c>
      <c r="AH371" s="13">
        <v>1246868</v>
      </c>
      <c r="AI371" s="12">
        <v>-26747664</v>
      </c>
      <c r="AJ371" s="10">
        <v>0</v>
      </c>
      <c r="AK371" s="10">
        <v>72896636546.899994</v>
      </c>
      <c r="AL371" s="10">
        <v>131486864226.60001</v>
      </c>
      <c r="AM371" s="10">
        <v>182833864074.39999</v>
      </c>
      <c r="AN371" s="10">
        <v>254036876242.5</v>
      </c>
      <c r="AO371" s="10">
        <v>198522243457.20001</v>
      </c>
      <c r="AP371" s="10">
        <v>255056553434.39999</v>
      </c>
      <c r="AQ371" s="10">
        <v>181232410862.5</v>
      </c>
      <c r="AR371" s="10">
        <v>170104752057.75</v>
      </c>
      <c r="AS371" s="10">
        <v>140574184967.70001</v>
      </c>
      <c r="AT371" s="10">
        <v>109494234322.5</v>
      </c>
      <c r="AU371" s="14">
        <v>45808</v>
      </c>
      <c r="AV371" s="14">
        <v>45657</v>
      </c>
      <c r="AW371" s="14">
        <v>45291</v>
      </c>
      <c r="AX371" s="14">
        <v>44926</v>
      </c>
      <c r="AY371" s="14">
        <v>44561</v>
      </c>
      <c r="AZ371" s="14">
        <v>44196</v>
      </c>
      <c r="BA371" s="14">
        <v>43830</v>
      </c>
      <c r="BB371" s="14">
        <v>43465</v>
      </c>
      <c r="BC371" s="14">
        <v>43100</v>
      </c>
      <c r="BD371" s="14">
        <v>42735</v>
      </c>
      <c r="BE371" s="14">
        <v>42369</v>
      </c>
      <c r="BF371" s="8" t="s">
        <v>35</v>
      </c>
      <c r="BG371" s="8" t="s">
        <v>35</v>
      </c>
      <c r="BH371" s="8" t="s">
        <v>35</v>
      </c>
      <c r="BI371" s="8" t="s">
        <v>35</v>
      </c>
      <c r="BJ371" s="8" t="s">
        <v>35</v>
      </c>
      <c r="BK371" s="8" t="s">
        <v>35</v>
      </c>
      <c r="BL371" s="8" t="s">
        <v>35</v>
      </c>
      <c r="BM371" s="8" t="s">
        <v>35</v>
      </c>
      <c r="BN371" s="8" t="s">
        <v>35</v>
      </c>
      <c r="BO371" s="8" t="s">
        <v>35</v>
      </c>
      <c r="BP371" s="8" t="s">
        <v>35</v>
      </c>
      <c r="BQ371" s="8" t="s">
        <v>31</v>
      </c>
      <c r="BR371" s="8" t="s">
        <v>36</v>
      </c>
      <c r="BS371" s="10">
        <v>426945203598370</v>
      </c>
      <c r="BT371" s="8" t="s">
        <v>57</v>
      </c>
      <c r="BU371" s="8" t="s">
        <v>42</v>
      </c>
      <c r="BV371" s="8" t="s">
        <v>27</v>
      </c>
      <c r="BW371" s="8" t="s">
        <v>42</v>
      </c>
      <c r="BX371" s="8" t="s">
        <v>42</v>
      </c>
      <c r="BY371" s="8" t="s">
        <v>27</v>
      </c>
      <c r="BZ371" s="8" t="s">
        <v>42</v>
      </c>
      <c r="CA371" s="8" t="s">
        <v>27</v>
      </c>
      <c r="CB371" s="8" t="s">
        <v>27</v>
      </c>
      <c r="CC371" s="8" t="s">
        <v>27</v>
      </c>
      <c r="CD371" s="8" t="s">
        <v>27</v>
      </c>
      <c r="CE371" s="8" t="s">
        <v>42</v>
      </c>
      <c r="CF371" s="8" t="s">
        <v>114</v>
      </c>
      <c r="CG371" s="8" t="s">
        <v>115</v>
      </c>
    </row>
    <row r="372" spans="1:85" ht="15.75" customHeight="1" x14ac:dyDescent="0.35">
      <c r="A372" s="8">
        <v>365</v>
      </c>
      <c r="B372" s="8" t="s">
        <v>550</v>
      </c>
      <c r="C372" s="9">
        <v>0</v>
      </c>
      <c r="D372" s="9">
        <v>1.3200000000000001E-4</v>
      </c>
      <c r="E372" s="8"/>
      <c r="F372" s="8"/>
      <c r="G372" s="8"/>
      <c r="H372" s="8"/>
      <c r="I372" s="9">
        <v>0</v>
      </c>
      <c r="J372" s="9">
        <v>6.0000000000000002E-5</v>
      </c>
      <c r="K372" s="9">
        <v>1.8599999999999999E-4</v>
      </c>
      <c r="L372" s="9">
        <v>8.2000000000000001E-5</v>
      </c>
      <c r="M372" s="9">
        <v>7.3999999999999996E-5</v>
      </c>
      <c r="N372" s="10">
        <v>0</v>
      </c>
      <c r="O372" s="10">
        <v>12215000</v>
      </c>
      <c r="P372" s="8"/>
      <c r="Q372" s="8"/>
      <c r="R372" s="8"/>
      <c r="S372" s="8"/>
      <c r="T372" s="10">
        <v>0</v>
      </c>
      <c r="U372" s="10">
        <v>5510000</v>
      </c>
      <c r="V372" s="10">
        <v>17160000</v>
      </c>
      <c r="W372" s="10">
        <v>7558000</v>
      </c>
      <c r="X372" s="10">
        <v>6794000</v>
      </c>
      <c r="Y372" s="12">
        <v>-12215000</v>
      </c>
      <c r="Z372" s="13">
        <v>12215000</v>
      </c>
      <c r="AA372" s="8"/>
      <c r="AB372" s="8"/>
      <c r="AC372" s="8"/>
      <c r="AD372" s="8"/>
      <c r="AE372" s="12">
        <v>-5510000</v>
      </c>
      <c r="AF372" s="12">
        <v>-11650000</v>
      </c>
      <c r="AG372" s="13">
        <v>9602000</v>
      </c>
      <c r="AH372" s="13">
        <v>764000</v>
      </c>
      <c r="AI372" s="12">
        <v>-19144160</v>
      </c>
      <c r="AJ372" s="10">
        <v>0</v>
      </c>
      <c r="AK372" s="10">
        <v>69452839140.899994</v>
      </c>
      <c r="AL372" s="8"/>
      <c r="AM372" s="8"/>
      <c r="AN372" s="8"/>
      <c r="AO372" s="8"/>
      <c r="AP372" s="10">
        <v>0</v>
      </c>
      <c r="AQ372" s="10">
        <v>18527375051</v>
      </c>
      <c r="AR372" s="10">
        <v>68639999985.849998</v>
      </c>
      <c r="AS372" s="10">
        <v>21209637453.900002</v>
      </c>
      <c r="AT372" s="10">
        <v>15716825764.5</v>
      </c>
      <c r="AU372" s="14">
        <v>45777</v>
      </c>
      <c r="AV372" s="14">
        <v>45657</v>
      </c>
      <c r="AW372" s="8"/>
      <c r="AX372" s="8"/>
      <c r="AY372" s="8"/>
      <c r="AZ372" s="8"/>
      <c r="BA372" s="14">
        <v>43524</v>
      </c>
      <c r="BB372" s="14">
        <v>43373</v>
      </c>
      <c r="BC372" s="14">
        <v>43100</v>
      </c>
      <c r="BD372" s="14">
        <v>42613</v>
      </c>
      <c r="BE372" s="14">
        <v>42369</v>
      </c>
      <c r="BF372" s="8" t="s">
        <v>35</v>
      </c>
      <c r="BG372" s="8" t="s">
        <v>35</v>
      </c>
      <c r="BH372" s="8"/>
      <c r="BI372" s="8"/>
      <c r="BJ372" s="8"/>
      <c r="BK372" s="8"/>
      <c r="BL372" s="8" t="s">
        <v>35</v>
      </c>
      <c r="BM372" s="8" t="s">
        <v>35</v>
      </c>
      <c r="BN372" s="8" t="s">
        <v>35</v>
      </c>
      <c r="BO372" s="8" t="s">
        <v>35</v>
      </c>
      <c r="BP372" s="8" t="s">
        <v>35</v>
      </c>
      <c r="BQ372" s="8" t="s">
        <v>31</v>
      </c>
      <c r="BR372" s="8" t="s">
        <v>49</v>
      </c>
      <c r="BS372" s="10">
        <v>18741123847012.801</v>
      </c>
      <c r="BT372" s="8" t="s">
        <v>91</v>
      </c>
      <c r="BU372" s="8" t="s">
        <v>42</v>
      </c>
      <c r="BV372" s="8" t="s">
        <v>43</v>
      </c>
      <c r="BW372" s="8"/>
      <c r="BX372" s="8"/>
      <c r="BY372" s="8"/>
      <c r="BZ372" s="8"/>
      <c r="CA372" s="8" t="s">
        <v>42</v>
      </c>
      <c r="CB372" s="8" t="s">
        <v>42</v>
      </c>
      <c r="CC372" s="8" t="s">
        <v>42</v>
      </c>
      <c r="CD372" s="8" t="s">
        <v>43</v>
      </c>
      <c r="CE372" s="8" t="s">
        <v>43</v>
      </c>
      <c r="CF372" s="8" t="s">
        <v>455</v>
      </c>
      <c r="CG372" s="8" t="s">
        <v>71</v>
      </c>
    </row>
    <row r="373" spans="1:85" ht="15.75" customHeight="1" x14ac:dyDescent="0.35">
      <c r="A373" s="8">
        <v>366</v>
      </c>
      <c r="B373" s="8" t="s">
        <v>551</v>
      </c>
      <c r="C373" s="9">
        <v>0</v>
      </c>
      <c r="D373" s="9">
        <v>5.2700000000000002E-4</v>
      </c>
      <c r="E373" s="8"/>
      <c r="F373" s="8"/>
      <c r="G373" s="8"/>
      <c r="H373" s="8"/>
      <c r="I373" s="8"/>
      <c r="J373" s="8"/>
      <c r="K373" s="8"/>
      <c r="L373" s="8"/>
      <c r="M373" s="8"/>
      <c r="N373" s="10">
        <v>0</v>
      </c>
      <c r="O373" s="10">
        <v>48737174</v>
      </c>
      <c r="P373" s="8"/>
      <c r="Q373" s="8"/>
      <c r="R373" s="8"/>
      <c r="S373" s="8"/>
      <c r="T373" s="8"/>
      <c r="U373" s="8"/>
      <c r="V373" s="8"/>
      <c r="W373" s="8"/>
      <c r="X373" s="8"/>
      <c r="Y373" s="12">
        <v>-48737174</v>
      </c>
      <c r="Z373" s="13">
        <v>48737174</v>
      </c>
      <c r="AA373" s="8"/>
      <c r="AB373" s="8"/>
      <c r="AC373" s="8"/>
      <c r="AD373" s="8"/>
      <c r="AE373" s="8"/>
      <c r="AF373" s="8"/>
      <c r="AG373" s="8"/>
      <c r="AH373" s="8"/>
      <c r="AI373" s="8"/>
      <c r="AJ373" s="10">
        <v>0</v>
      </c>
      <c r="AK373" s="10">
        <v>277112984272.79999</v>
      </c>
      <c r="AL373" s="8"/>
      <c r="AM373" s="8"/>
      <c r="AN373" s="8"/>
      <c r="AO373" s="8"/>
      <c r="AP373" s="8"/>
      <c r="AQ373" s="8"/>
      <c r="AR373" s="8"/>
      <c r="AS373" s="8"/>
      <c r="AT373" s="8"/>
      <c r="AU373" s="14">
        <v>45688</v>
      </c>
      <c r="AV373" s="14">
        <v>45657</v>
      </c>
      <c r="AW373" s="8"/>
      <c r="AX373" s="8"/>
      <c r="AY373" s="8"/>
      <c r="AZ373" s="8"/>
      <c r="BA373" s="8"/>
      <c r="BB373" s="8"/>
      <c r="BC373" s="8"/>
      <c r="BD373" s="8"/>
      <c r="BE373" s="8"/>
      <c r="BF373" s="8" t="s">
        <v>35</v>
      </c>
      <c r="BG373" s="8" t="s">
        <v>35</v>
      </c>
      <c r="BH373" s="8"/>
      <c r="BI373" s="8"/>
      <c r="BJ373" s="8"/>
      <c r="BK373" s="8"/>
      <c r="BL373" s="8"/>
      <c r="BM373" s="8"/>
      <c r="BN373" s="8"/>
      <c r="BO373" s="8"/>
      <c r="BP373" s="8"/>
      <c r="BQ373" s="8" t="s">
        <v>31</v>
      </c>
      <c r="BR373" s="8" t="s">
        <v>36</v>
      </c>
      <c r="BS373" s="10">
        <v>43917287200664.398</v>
      </c>
      <c r="BT373" s="8" t="s">
        <v>61</v>
      </c>
      <c r="BU373" s="8" t="s">
        <v>42</v>
      </c>
      <c r="BV373" s="8" t="s">
        <v>43</v>
      </c>
      <c r="BW373" s="8"/>
      <c r="BX373" s="8"/>
      <c r="BY373" s="8"/>
      <c r="BZ373" s="8"/>
      <c r="CA373" s="8"/>
      <c r="CB373" s="8"/>
      <c r="CC373" s="8"/>
      <c r="CD373" s="8"/>
      <c r="CE373" s="8"/>
      <c r="CF373" s="8" t="s">
        <v>50</v>
      </c>
      <c r="CG373" s="8" t="s">
        <v>51</v>
      </c>
    </row>
    <row r="374" spans="1:85" ht="15.75" customHeight="1" x14ac:dyDescent="0.35">
      <c r="A374" s="8">
        <v>367</v>
      </c>
      <c r="B374" s="8" t="s">
        <v>552</v>
      </c>
      <c r="C374" s="9">
        <v>0</v>
      </c>
      <c r="D374" s="9">
        <v>0</v>
      </c>
      <c r="E374" s="9">
        <v>9.6000000000000002E-5</v>
      </c>
      <c r="F374" s="9">
        <v>1.07E-4</v>
      </c>
      <c r="G374" s="9">
        <v>1.46E-4</v>
      </c>
      <c r="H374" s="9">
        <v>1.27E-4</v>
      </c>
      <c r="I374" s="9">
        <v>1.11E-4</v>
      </c>
      <c r="J374" s="9">
        <v>9.2E-5</v>
      </c>
      <c r="K374" s="9">
        <v>1.4300000000000001E-4</v>
      </c>
      <c r="L374" s="9">
        <v>4.7699999999999999E-4</v>
      </c>
      <c r="M374" s="9">
        <v>7.27E-4</v>
      </c>
      <c r="N374" s="10">
        <v>0</v>
      </c>
      <c r="O374" s="10">
        <v>0</v>
      </c>
      <c r="P374" s="10">
        <v>8850688</v>
      </c>
      <c r="Q374" s="10">
        <v>9916988</v>
      </c>
      <c r="R374" s="10">
        <v>13459118</v>
      </c>
      <c r="S374" s="10">
        <v>11747588</v>
      </c>
      <c r="T374" s="10">
        <v>10255588</v>
      </c>
      <c r="U374" s="10">
        <v>8500188</v>
      </c>
      <c r="V374" s="10">
        <v>13194388</v>
      </c>
      <c r="W374" s="10">
        <v>44034592</v>
      </c>
      <c r="X374" s="10">
        <v>67182992</v>
      </c>
      <c r="Y374" s="11">
        <v>0</v>
      </c>
      <c r="Z374" s="12">
        <v>-8850688</v>
      </c>
      <c r="AA374" s="12">
        <v>-1066300</v>
      </c>
      <c r="AB374" s="12">
        <v>-3542130</v>
      </c>
      <c r="AC374" s="13">
        <v>1711530</v>
      </c>
      <c r="AD374" s="13">
        <v>1492000</v>
      </c>
      <c r="AE374" s="13">
        <v>1755400</v>
      </c>
      <c r="AF374" s="12">
        <v>-4694200</v>
      </c>
      <c r="AG374" s="12">
        <v>-30840204</v>
      </c>
      <c r="AH374" s="12">
        <v>-23148400</v>
      </c>
      <c r="AI374" s="11">
        <v>0</v>
      </c>
      <c r="AJ374" s="10">
        <v>0</v>
      </c>
      <c r="AK374" s="10">
        <v>0</v>
      </c>
      <c r="AL374" s="10">
        <v>53546662385.599998</v>
      </c>
      <c r="AM374" s="10">
        <v>49213052934.650002</v>
      </c>
      <c r="AN374" s="10">
        <v>47225440927.5</v>
      </c>
      <c r="AO374" s="10">
        <v>37151747053.199997</v>
      </c>
      <c r="AP374" s="10">
        <v>39242727598</v>
      </c>
      <c r="AQ374" s="10">
        <v>30956810181.25</v>
      </c>
      <c r="AR374" s="10">
        <v>52777551959.300003</v>
      </c>
      <c r="AS374" s="10">
        <v>127425100713.3</v>
      </c>
      <c r="AT374" s="10">
        <v>133106303003.14999</v>
      </c>
      <c r="AU374" s="14">
        <v>45351</v>
      </c>
      <c r="AV374" s="14">
        <v>45351</v>
      </c>
      <c r="AW374" s="14">
        <v>45291</v>
      </c>
      <c r="AX374" s="14">
        <v>44926</v>
      </c>
      <c r="AY374" s="14">
        <v>44561</v>
      </c>
      <c r="AZ374" s="14">
        <v>44196</v>
      </c>
      <c r="BA374" s="14">
        <v>43830</v>
      </c>
      <c r="BB374" s="14">
        <v>43465</v>
      </c>
      <c r="BC374" s="14">
        <v>43100</v>
      </c>
      <c r="BD374" s="14">
        <v>42735</v>
      </c>
      <c r="BE374" s="14">
        <v>42277</v>
      </c>
      <c r="BF374" s="8" t="s">
        <v>35</v>
      </c>
      <c r="BG374" s="8" t="s">
        <v>35</v>
      </c>
      <c r="BH374" s="8" t="s">
        <v>35</v>
      </c>
      <c r="BI374" s="8" t="s">
        <v>35</v>
      </c>
      <c r="BJ374" s="8" t="s">
        <v>35</v>
      </c>
      <c r="BK374" s="8" t="s">
        <v>35</v>
      </c>
      <c r="BL374" s="8" t="s">
        <v>35</v>
      </c>
      <c r="BM374" s="8" t="s">
        <v>35</v>
      </c>
      <c r="BN374" s="8" t="s">
        <v>35</v>
      </c>
      <c r="BO374" s="8" t="s">
        <v>35</v>
      </c>
      <c r="BP374" s="8" t="s">
        <v>35</v>
      </c>
      <c r="BQ374" s="8" t="s">
        <v>31</v>
      </c>
      <c r="BR374" s="8" t="s">
        <v>49</v>
      </c>
      <c r="BS374" s="10">
        <v>188263699158707</v>
      </c>
      <c r="BT374" s="8" t="s">
        <v>37</v>
      </c>
      <c r="BU374" s="8" t="s">
        <v>27</v>
      </c>
      <c r="BV374" s="8" t="s">
        <v>42</v>
      </c>
      <c r="BW374" s="8" t="s">
        <v>42</v>
      </c>
      <c r="BX374" s="8" t="s">
        <v>43</v>
      </c>
      <c r="BY374" s="8" t="s">
        <v>42</v>
      </c>
      <c r="BZ374" s="8" t="s">
        <v>43</v>
      </c>
      <c r="CA374" s="8" t="s">
        <v>42</v>
      </c>
      <c r="CB374" s="8" t="s">
        <v>27</v>
      </c>
      <c r="CC374" s="8" t="s">
        <v>42</v>
      </c>
      <c r="CD374" s="8" t="s">
        <v>42</v>
      </c>
      <c r="CE374" s="8" t="s">
        <v>42</v>
      </c>
      <c r="CF374" s="8" t="s">
        <v>70</v>
      </c>
      <c r="CG374" s="8" t="s">
        <v>71</v>
      </c>
    </row>
    <row r="375" spans="1:85" ht="15.75" customHeight="1" x14ac:dyDescent="0.35">
      <c r="A375" s="8">
        <v>368</v>
      </c>
      <c r="B375" s="8" t="s">
        <v>553</v>
      </c>
      <c r="C375" s="9">
        <v>0</v>
      </c>
      <c r="D375" s="9">
        <v>1.85E-4</v>
      </c>
      <c r="E375" s="9">
        <v>2.4000000000000001E-4</v>
      </c>
      <c r="F375" s="9">
        <v>2.4699999999999999E-4</v>
      </c>
      <c r="G375" s="9">
        <v>0</v>
      </c>
      <c r="H375" s="9">
        <v>0</v>
      </c>
      <c r="I375" s="8"/>
      <c r="J375" s="8"/>
      <c r="K375" s="9">
        <v>0</v>
      </c>
      <c r="L375" s="9">
        <v>1.9999999999999999E-6</v>
      </c>
      <c r="M375" s="9">
        <v>5.1999999999999997E-5</v>
      </c>
      <c r="N375" s="10">
        <v>0</v>
      </c>
      <c r="O375" s="10">
        <v>17059508</v>
      </c>
      <c r="P375" s="10">
        <v>22204830</v>
      </c>
      <c r="Q375" s="10">
        <v>22792252</v>
      </c>
      <c r="R375" s="10">
        <v>0</v>
      </c>
      <c r="S375" s="10">
        <v>0</v>
      </c>
      <c r="T375" s="8"/>
      <c r="U375" s="8"/>
      <c r="V375" s="10">
        <v>0</v>
      </c>
      <c r="W375" s="10">
        <v>222400</v>
      </c>
      <c r="X375" s="10">
        <v>4762400</v>
      </c>
      <c r="Y375" s="12">
        <v>-17059508</v>
      </c>
      <c r="Z375" s="12">
        <v>-5145322</v>
      </c>
      <c r="AA375" s="12">
        <v>-587422</v>
      </c>
      <c r="AB375" s="13">
        <v>22792252</v>
      </c>
      <c r="AC375" s="11">
        <v>0</v>
      </c>
      <c r="AD375" s="11">
        <v>0</v>
      </c>
      <c r="AE375" s="8"/>
      <c r="AF375" s="8"/>
      <c r="AG375" s="12">
        <v>-222400</v>
      </c>
      <c r="AH375" s="12">
        <v>-4540000</v>
      </c>
      <c r="AI375" s="12">
        <v>-119600</v>
      </c>
      <c r="AJ375" s="10">
        <v>0</v>
      </c>
      <c r="AK375" s="10">
        <v>96998056716.899994</v>
      </c>
      <c r="AL375" s="10">
        <v>134339221345.85001</v>
      </c>
      <c r="AM375" s="10">
        <v>113106550654.89999</v>
      </c>
      <c r="AN375" s="10">
        <v>0</v>
      </c>
      <c r="AO375" s="10">
        <v>0</v>
      </c>
      <c r="AP375" s="8"/>
      <c r="AQ375" s="8"/>
      <c r="AR375" s="10">
        <v>0</v>
      </c>
      <c r="AS375" s="10">
        <v>622720002.05999994</v>
      </c>
      <c r="AT375" s="10">
        <v>11017046025.450001</v>
      </c>
      <c r="AU375" s="14">
        <v>45838</v>
      </c>
      <c r="AV375" s="14">
        <v>45657</v>
      </c>
      <c r="AW375" s="14">
        <v>45291</v>
      </c>
      <c r="AX375" s="14">
        <v>44926</v>
      </c>
      <c r="AY375" s="14">
        <v>43921</v>
      </c>
      <c r="AZ375" s="14">
        <v>43921</v>
      </c>
      <c r="BA375" s="8"/>
      <c r="BB375" s="8"/>
      <c r="BC375" s="14">
        <v>42794</v>
      </c>
      <c r="BD375" s="14">
        <v>42643</v>
      </c>
      <c r="BE375" s="14">
        <v>42369</v>
      </c>
      <c r="BF375" s="8" t="s">
        <v>35</v>
      </c>
      <c r="BG375" s="8" t="s">
        <v>35</v>
      </c>
      <c r="BH375" s="8" t="s">
        <v>35</v>
      </c>
      <c r="BI375" s="8" t="s">
        <v>35</v>
      </c>
      <c r="BJ375" s="8" t="s">
        <v>35</v>
      </c>
      <c r="BK375" s="8" t="s">
        <v>35</v>
      </c>
      <c r="BL375" s="8"/>
      <c r="BM375" s="8"/>
      <c r="BN375" s="8" t="s">
        <v>35</v>
      </c>
      <c r="BO375" s="8" t="s">
        <v>35</v>
      </c>
      <c r="BP375" s="8" t="s">
        <v>35</v>
      </c>
      <c r="BQ375" s="8" t="s">
        <v>31</v>
      </c>
      <c r="BR375" s="8" t="s">
        <v>36</v>
      </c>
      <c r="BS375" s="10">
        <v>1680670709872630</v>
      </c>
      <c r="BT375" s="8" t="s">
        <v>57</v>
      </c>
      <c r="BU375" s="8" t="s">
        <v>27</v>
      </c>
      <c r="BV375" s="8" t="s">
        <v>27</v>
      </c>
      <c r="BW375" s="8" t="s">
        <v>27</v>
      </c>
      <c r="BX375" s="8" t="s">
        <v>27</v>
      </c>
      <c r="BY375" s="8" t="s">
        <v>27</v>
      </c>
      <c r="BZ375" s="8" t="s">
        <v>42</v>
      </c>
      <c r="CA375" s="8"/>
      <c r="CB375" s="8"/>
      <c r="CC375" s="8" t="s">
        <v>27</v>
      </c>
      <c r="CD375" s="8" t="s">
        <v>42</v>
      </c>
      <c r="CE375" s="8" t="s">
        <v>27</v>
      </c>
      <c r="CF375" s="8" t="s">
        <v>95</v>
      </c>
      <c r="CG375" s="8" t="s">
        <v>96</v>
      </c>
    </row>
    <row r="376" spans="1:85" ht="15.75" customHeight="1" x14ac:dyDescent="0.35">
      <c r="A376" s="8">
        <v>369</v>
      </c>
      <c r="B376" s="8" t="s">
        <v>554</v>
      </c>
      <c r="C376" s="9">
        <v>0</v>
      </c>
      <c r="D376" s="9">
        <v>0</v>
      </c>
      <c r="E376" s="9">
        <v>4.8000000000000001E-5</v>
      </c>
      <c r="F376" s="8"/>
      <c r="G376" s="8"/>
      <c r="H376" s="8"/>
      <c r="I376" s="8"/>
      <c r="J376" s="8"/>
      <c r="K376" s="8"/>
      <c r="L376" s="8"/>
      <c r="M376" s="8"/>
      <c r="N376" s="10">
        <v>0</v>
      </c>
      <c r="O376" s="10">
        <v>0</v>
      </c>
      <c r="P376" s="10">
        <v>4465600</v>
      </c>
      <c r="Q376" s="8"/>
      <c r="R376" s="8"/>
      <c r="S376" s="8"/>
      <c r="T376" s="8"/>
      <c r="U376" s="8"/>
      <c r="V376" s="8"/>
      <c r="W376" s="8"/>
      <c r="X376" s="8"/>
      <c r="Y376" s="11">
        <v>0</v>
      </c>
      <c r="Z376" s="12">
        <v>-4465600</v>
      </c>
      <c r="AA376" s="13">
        <v>4465600</v>
      </c>
      <c r="AB376" s="8"/>
      <c r="AC376" s="8"/>
      <c r="AD376" s="8"/>
      <c r="AE376" s="8"/>
      <c r="AF376" s="8"/>
      <c r="AG376" s="8"/>
      <c r="AH376" s="8"/>
      <c r="AI376" s="8"/>
      <c r="AJ376" s="10">
        <v>0</v>
      </c>
      <c r="AK376" s="10">
        <v>0</v>
      </c>
      <c r="AL376" s="10">
        <v>27016879938.849998</v>
      </c>
      <c r="AM376" s="8"/>
      <c r="AN376" s="8"/>
      <c r="AO376" s="8"/>
      <c r="AP376" s="8"/>
      <c r="AQ376" s="8"/>
      <c r="AR376" s="8"/>
      <c r="AS376" s="8"/>
      <c r="AT376" s="8"/>
      <c r="AU376" s="14">
        <v>45473</v>
      </c>
      <c r="AV376" s="14">
        <v>45473</v>
      </c>
      <c r="AW376" s="14">
        <v>45291</v>
      </c>
      <c r="AX376" s="8"/>
      <c r="AY376" s="8"/>
      <c r="AZ376" s="8"/>
      <c r="BA376" s="8"/>
      <c r="BB376" s="8"/>
      <c r="BC376" s="8"/>
      <c r="BD376" s="8"/>
      <c r="BE376" s="8"/>
      <c r="BF376" s="8" t="s">
        <v>35</v>
      </c>
      <c r="BG376" s="8" t="s">
        <v>35</v>
      </c>
      <c r="BH376" s="8" t="s">
        <v>35</v>
      </c>
      <c r="BI376" s="8"/>
      <c r="BJ376" s="8"/>
      <c r="BK376" s="8"/>
      <c r="BL376" s="8"/>
      <c r="BM376" s="8"/>
      <c r="BN376" s="8"/>
      <c r="BO376" s="8"/>
      <c r="BP376" s="8"/>
      <c r="BQ376" s="8" t="s">
        <v>31</v>
      </c>
      <c r="BR376" s="8" t="s">
        <v>49</v>
      </c>
      <c r="BS376" s="10">
        <v>110964578941258</v>
      </c>
      <c r="BT376" s="8" t="s">
        <v>61</v>
      </c>
      <c r="BU376" s="8" t="s">
        <v>27</v>
      </c>
      <c r="BV376" s="8" t="s">
        <v>27</v>
      </c>
      <c r="BW376" s="8" t="s">
        <v>27</v>
      </c>
      <c r="BX376" s="8"/>
      <c r="BY376" s="8"/>
      <c r="BZ376" s="8"/>
      <c r="CA376" s="8"/>
      <c r="CB376" s="8"/>
      <c r="CC376" s="8"/>
      <c r="CD376" s="8"/>
      <c r="CE376" s="8"/>
      <c r="CF376" s="8" t="s">
        <v>82</v>
      </c>
      <c r="CG376" s="8" t="s">
        <v>39</v>
      </c>
    </row>
    <row r="377" spans="1:85" ht="15.75" customHeight="1" x14ac:dyDescent="0.35">
      <c r="A377" s="8">
        <v>370</v>
      </c>
      <c r="B377" s="8" t="s">
        <v>555</v>
      </c>
      <c r="C377" s="9">
        <v>0</v>
      </c>
      <c r="D377" s="9">
        <v>3.9999999999999998E-6</v>
      </c>
      <c r="E377" s="9">
        <v>7.9999999999999996E-6</v>
      </c>
      <c r="F377" s="9">
        <v>2.0999999999999999E-5</v>
      </c>
      <c r="G377" s="9">
        <v>5.0000000000000004E-6</v>
      </c>
      <c r="H377" s="9">
        <v>5.0000000000000004E-6</v>
      </c>
      <c r="I377" s="9">
        <v>4.6E-5</v>
      </c>
      <c r="J377" s="9">
        <v>3.1999999999999999E-5</v>
      </c>
      <c r="K377" s="9">
        <v>0</v>
      </c>
      <c r="L377" s="9">
        <v>3.6000000000000001E-5</v>
      </c>
      <c r="M377" s="8"/>
      <c r="N377" s="10">
        <v>0</v>
      </c>
      <c r="O377" s="10">
        <v>326200</v>
      </c>
      <c r="P377" s="10">
        <v>752200</v>
      </c>
      <c r="Q377" s="10">
        <v>1965800</v>
      </c>
      <c r="R377" s="10">
        <v>444000</v>
      </c>
      <c r="S377" s="10">
        <v>444000</v>
      </c>
      <c r="T377" s="10">
        <v>4238400</v>
      </c>
      <c r="U377" s="10">
        <v>2935000</v>
      </c>
      <c r="V377" s="10">
        <v>0</v>
      </c>
      <c r="W377" s="10">
        <v>3364692</v>
      </c>
      <c r="X377" s="8"/>
      <c r="Y377" s="12">
        <v>-326200</v>
      </c>
      <c r="Z377" s="12">
        <v>-426000</v>
      </c>
      <c r="AA377" s="12">
        <v>-1213600</v>
      </c>
      <c r="AB377" s="13">
        <v>1521800</v>
      </c>
      <c r="AC377" s="11">
        <v>0</v>
      </c>
      <c r="AD377" s="12">
        <v>-3794400</v>
      </c>
      <c r="AE377" s="13">
        <v>1303400</v>
      </c>
      <c r="AF377" s="13">
        <v>2935000</v>
      </c>
      <c r="AG377" s="12">
        <v>-3364692</v>
      </c>
      <c r="AH377" s="13">
        <v>3364692</v>
      </c>
      <c r="AI377" s="8"/>
      <c r="AJ377" s="10">
        <v>0</v>
      </c>
      <c r="AK377" s="10">
        <v>1854729054.4000001</v>
      </c>
      <c r="AL377" s="10">
        <v>4550810032.3999996</v>
      </c>
      <c r="AM377" s="10">
        <v>9755282500.7000008</v>
      </c>
      <c r="AN377" s="10">
        <v>1404149940.2</v>
      </c>
      <c r="AO377" s="10">
        <v>1404149940.2</v>
      </c>
      <c r="AP377" s="10">
        <v>16218121949.200001</v>
      </c>
      <c r="AQ377" s="10">
        <v>10688967962.5</v>
      </c>
      <c r="AR377" s="10">
        <v>0</v>
      </c>
      <c r="AS377" s="10">
        <v>9736577482.2000008</v>
      </c>
      <c r="AT377" s="8"/>
      <c r="AU377" s="14">
        <v>45716</v>
      </c>
      <c r="AV377" s="14">
        <v>45657</v>
      </c>
      <c r="AW377" s="14">
        <v>45291</v>
      </c>
      <c r="AX377" s="14">
        <v>44926</v>
      </c>
      <c r="AY377" s="14">
        <v>44165</v>
      </c>
      <c r="AZ377" s="14">
        <v>44165</v>
      </c>
      <c r="BA377" s="14">
        <v>43830</v>
      </c>
      <c r="BB377" s="14">
        <v>43465</v>
      </c>
      <c r="BC377" s="14">
        <v>43100</v>
      </c>
      <c r="BD377" s="14">
        <v>42735</v>
      </c>
      <c r="BE377" s="8"/>
      <c r="BF377" s="8" t="s">
        <v>35</v>
      </c>
      <c r="BG377" s="8" t="s">
        <v>35</v>
      </c>
      <c r="BH377" s="8" t="s">
        <v>35</v>
      </c>
      <c r="BI377" s="8" t="s">
        <v>35</v>
      </c>
      <c r="BJ377" s="8" t="s">
        <v>35</v>
      </c>
      <c r="BK377" s="8" t="s">
        <v>35</v>
      </c>
      <c r="BL377" s="8" t="s">
        <v>35</v>
      </c>
      <c r="BM377" s="8" t="s">
        <v>35</v>
      </c>
      <c r="BN377" s="8" t="s">
        <v>35</v>
      </c>
      <c r="BO377" s="8" t="s">
        <v>35</v>
      </c>
      <c r="BP377" s="8"/>
      <c r="BQ377" s="8" t="s">
        <v>31</v>
      </c>
      <c r="BR377" s="8" t="s">
        <v>36</v>
      </c>
      <c r="BS377" s="10">
        <v>54554521916215.203</v>
      </c>
      <c r="BT377" s="8" t="s">
        <v>37</v>
      </c>
      <c r="BU377" s="8" t="s">
        <v>27</v>
      </c>
      <c r="BV377" s="8" t="s">
        <v>42</v>
      </c>
      <c r="BW377" s="8" t="s">
        <v>42</v>
      </c>
      <c r="BX377" s="8" t="s">
        <v>42</v>
      </c>
      <c r="BY377" s="8" t="s">
        <v>42</v>
      </c>
      <c r="BZ377" s="8" t="s">
        <v>42</v>
      </c>
      <c r="CA377" s="8" t="s">
        <v>42</v>
      </c>
      <c r="CB377" s="8" t="s">
        <v>27</v>
      </c>
      <c r="CC377" s="8" t="s">
        <v>42</v>
      </c>
      <c r="CD377" s="8" t="s">
        <v>27</v>
      </c>
      <c r="CE377" s="8"/>
      <c r="CF377" s="8" t="s">
        <v>65</v>
      </c>
      <c r="CG377" s="8" t="s">
        <v>65</v>
      </c>
    </row>
    <row r="378" spans="1:85" ht="15.75" customHeight="1" x14ac:dyDescent="0.35">
      <c r="A378" s="8">
        <v>371</v>
      </c>
      <c r="B378" s="8" t="s">
        <v>556</v>
      </c>
      <c r="C378" s="9">
        <v>0</v>
      </c>
      <c r="D378" s="9">
        <v>0</v>
      </c>
      <c r="E378" s="9">
        <v>4.1599999999999997E-4</v>
      </c>
      <c r="F378" s="8"/>
      <c r="G378" s="8"/>
      <c r="H378" s="8"/>
      <c r="I378" s="8"/>
      <c r="J378" s="8"/>
      <c r="K378" s="8"/>
      <c r="L378" s="8"/>
      <c r="M378" s="8"/>
      <c r="N378" s="10">
        <v>0</v>
      </c>
      <c r="O378" s="10">
        <v>0</v>
      </c>
      <c r="P378" s="10">
        <v>38471500</v>
      </c>
      <c r="Q378" s="8"/>
      <c r="R378" s="8"/>
      <c r="S378" s="8"/>
      <c r="T378" s="8"/>
      <c r="U378" s="8"/>
      <c r="V378" s="8"/>
      <c r="W378" s="8"/>
      <c r="X378" s="8"/>
      <c r="Y378" s="11">
        <v>0</v>
      </c>
      <c r="Z378" s="12">
        <v>-38471500</v>
      </c>
      <c r="AA378" s="13">
        <v>38471500</v>
      </c>
      <c r="AB378" s="8"/>
      <c r="AC378" s="8"/>
      <c r="AD378" s="8"/>
      <c r="AE378" s="8"/>
      <c r="AF378" s="8"/>
      <c r="AG378" s="8"/>
      <c r="AH378" s="8"/>
      <c r="AI378" s="8"/>
      <c r="AJ378" s="10">
        <v>0</v>
      </c>
      <c r="AK378" s="10">
        <v>0</v>
      </c>
      <c r="AL378" s="10">
        <v>225058275076.95001</v>
      </c>
      <c r="AM378" s="8"/>
      <c r="AN378" s="8"/>
      <c r="AO378" s="8"/>
      <c r="AP378" s="8"/>
      <c r="AQ378" s="8"/>
      <c r="AR378" s="8"/>
      <c r="AS378" s="8"/>
      <c r="AT378" s="8"/>
      <c r="AU378" s="14">
        <v>45473</v>
      </c>
      <c r="AV378" s="14">
        <v>45473</v>
      </c>
      <c r="AW378" s="14">
        <v>45260</v>
      </c>
      <c r="AX378" s="8"/>
      <c r="AY378" s="8"/>
      <c r="AZ378" s="8"/>
      <c r="BA378" s="8"/>
      <c r="BB378" s="8"/>
      <c r="BC378" s="8"/>
      <c r="BD378" s="8"/>
      <c r="BE378" s="8"/>
      <c r="BF378" s="8" t="s">
        <v>35</v>
      </c>
      <c r="BG378" s="8" t="s">
        <v>35</v>
      </c>
      <c r="BH378" s="8" t="s">
        <v>35</v>
      </c>
      <c r="BI378" s="8"/>
      <c r="BJ378" s="8"/>
      <c r="BK378" s="8"/>
      <c r="BL378" s="8"/>
      <c r="BM378" s="8"/>
      <c r="BN378" s="8"/>
      <c r="BO378" s="8"/>
      <c r="BP378" s="8"/>
      <c r="BQ378" s="8" t="s">
        <v>31</v>
      </c>
      <c r="BR378" s="8" t="s">
        <v>36</v>
      </c>
      <c r="BS378" s="10">
        <v>24317178455877.602</v>
      </c>
      <c r="BT378" s="8" t="s">
        <v>57</v>
      </c>
      <c r="BU378" s="8" t="s">
        <v>27</v>
      </c>
      <c r="BV378" s="8" t="s">
        <v>27</v>
      </c>
      <c r="BW378" s="8" t="s">
        <v>27</v>
      </c>
      <c r="BX378" s="8"/>
      <c r="BY378" s="8"/>
      <c r="BZ378" s="8"/>
      <c r="CA378" s="8"/>
      <c r="CB378" s="8"/>
      <c r="CC378" s="8"/>
      <c r="CD378" s="8"/>
      <c r="CE378" s="8"/>
      <c r="CF378" s="8" t="s">
        <v>50</v>
      </c>
      <c r="CG378" s="8" t="s">
        <v>51</v>
      </c>
    </row>
    <row r="379" spans="1:85" ht="15.75" customHeight="1" x14ac:dyDescent="0.35">
      <c r="A379" s="8">
        <v>372</v>
      </c>
      <c r="B379" s="8" t="s">
        <v>557</v>
      </c>
      <c r="C379" s="9">
        <v>0</v>
      </c>
      <c r="D379" s="9">
        <v>1.5200000000000001E-4</v>
      </c>
      <c r="E379" s="9">
        <v>1.84E-4</v>
      </c>
      <c r="F379" s="9">
        <v>2.41E-4</v>
      </c>
      <c r="G379" s="9">
        <v>0</v>
      </c>
      <c r="H379" s="9">
        <v>1.7699999999999999E-4</v>
      </c>
      <c r="I379" s="8"/>
      <c r="J379" s="8"/>
      <c r="K379" s="8"/>
      <c r="L379" s="8"/>
      <c r="M379" s="8"/>
      <c r="N379" s="10">
        <v>0</v>
      </c>
      <c r="O379" s="10">
        <v>14035600</v>
      </c>
      <c r="P379" s="10">
        <v>16967800</v>
      </c>
      <c r="Q379" s="10">
        <v>22229200</v>
      </c>
      <c r="R379" s="10">
        <v>0</v>
      </c>
      <c r="S379" s="10">
        <v>16351200</v>
      </c>
      <c r="T379" s="8"/>
      <c r="U379" s="8"/>
      <c r="V379" s="8"/>
      <c r="W379" s="8"/>
      <c r="X379" s="8"/>
      <c r="Y379" s="12">
        <v>-14035600</v>
      </c>
      <c r="Z379" s="12">
        <v>-2932200</v>
      </c>
      <c r="AA379" s="12">
        <v>-5261400</v>
      </c>
      <c r="AB379" s="13">
        <v>22229200</v>
      </c>
      <c r="AC379" s="12">
        <v>-16351200</v>
      </c>
      <c r="AD379" s="13">
        <v>16351200</v>
      </c>
      <c r="AE379" s="8"/>
      <c r="AF379" s="8"/>
      <c r="AG379" s="8"/>
      <c r="AH379" s="8"/>
      <c r="AI379" s="8"/>
      <c r="AJ379" s="10">
        <v>0</v>
      </c>
      <c r="AK379" s="10">
        <v>79804524549.600006</v>
      </c>
      <c r="AL379" s="10">
        <v>102655189974.05</v>
      </c>
      <c r="AM379" s="10">
        <v>110312405127.64999</v>
      </c>
      <c r="AN379" s="10">
        <v>0</v>
      </c>
      <c r="AO379" s="10">
        <v>51710669946</v>
      </c>
      <c r="AP379" s="8"/>
      <c r="AQ379" s="8"/>
      <c r="AR379" s="8"/>
      <c r="AS379" s="8"/>
      <c r="AT379" s="8"/>
      <c r="AU379" s="14">
        <v>45869</v>
      </c>
      <c r="AV379" s="14">
        <v>45657</v>
      </c>
      <c r="AW379" s="14">
        <v>45291</v>
      </c>
      <c r="AX379" s="14">
        <v>44926</v>
      </c>
      <c r="AY379" s="14">
        <v>44316</v>
      </c>
      <c r="AZ379" s="14">
        <v>44196</v>
      </c>
      <c r="BA379" s="8"/>
      <c r="BB379" s="8"/>
      <c r="BC379" s="8"/>
      <c r="BD379" s="8"/>
      <c r="BE379" s="8"/>
      <c r="BF379" s="8" t="s">
        <v>35</v>
      </c>
      <c r="BG379" s="8" t="s">
        <v>35</v>
      </c>
      <c r="BH379" s="8" t="s">
        <v>35</v>
      </c>
      <c r="BI379" s="8" t="s">
        <v>35</v>
      </c>
      <c r="BJ379" s="8" t="s">
        <v>35</v>
      </c>
      <c r="BK379" s="8" t="s">
        <v>35</v>
      </c>
      <c r="BL379" s="8"/>
      <c r="BM379" s="8"/>
      <c r="BN379" s="8"/>
      <c r="BO379" s="8"/>
      <c r="BP379" s="8"/>
      <c r="BQ379" s="8" t="s">
        <v>31</v>
      </c>
      <c r="BR379" s="8" t="s">
        <v>49</v>
      </c>
      <c r="BS379" s="10">
        <v>84623887570394.406</v>
      </c>
      <c r="BT379" s="8" t="s">
        <v>57</v>
      </c>
      <c r="BU379" s="8" t="s">
        <v>27</v>
      </c>
      <c r="BV379" s="8" t="s">
        <v>27</v>
      </c>
      <c r="BW379" s="8" t="s">
        <v>42</v>
      </c>
      <c r="BX379" s="8" t="s">
        <v>42</v>
      </c>
      <c r="BY379" s="8" t="s">
        <v>42</v>
      </c>
      <c r="BZ379" s="8" t="s">
        <v>43</v>
      </c>
      <c r="CA379" s="8"/>
      <c r="CB379" s="8"/>
      <c r="CC379" s="8"/>
      <c r="CD379" s="8"/>
      <c r="CE379" s="8"/>
      <c r="CF379" s="8" t="s">
        <v>50</v>
      </c>
      <c r="CG379" s="8" t="s">
        <v>51</v>
      </c>
    </row>
    <row r="380" spans="1:85" ht="15.75" customHeight="1" x14ac:dyDescent="0.35">
      <c r="A380" s="8">
        <v>373</v>
      </c>
      <c r="B380" s="8" t="s">
        <v>558</v>
      </c>
      <c r="C380" s="9">
        <v>0</v>
      </c>
      <c r="D380" s="9">
        <v>0</v>
      </c>
      <c r="E380" s="9">
        <v>3.1000000000000001E-5</v>
      </c>
      <c r="F380" s="9">
        <v>4.1999999999999998E-5</v>
      </c>
      <c r="G380" s="9">
        <v>6.3E-5</v>
      </c>
      <c r="H380" s="9">
        <v>8.7000000000000001E-5</v>
      </c>
      <c r="I380" s="9">
        <v>0</v>
      </c>
      <c r="J380" s="9">
        <v>0</v>
      </c>
      <c r="K380" s="9">
        <v>0</v>
      </c>
      <c r="L380" s="9">
        <v>5.3999999999999998E-5</v>
      </c>
      <c r="M380" s="9">
        <v>0</v>
      </c>
      <c r="N380" s="10">
        <v>0</v>
      </c>
      <c r="O380" s="10">
        <v>0</v>
      </c>
      <c r="P380" s="10">
        <v>2873300</v>
      </c>
      <c r="Q380" s="10">
        <v>3903200</v>
      </c>
      <c r="R380" s="10">
        <v>5834400</v>
      </c>
      <c r="S380" s="10">
        <v>8038800</v>
      </c>
      <c r="T380" s="10">
        <v>0</v>
      </c>
      <c r="U380" s="10">
        <v>0</v>
      </c>
      <c r="V380" s="10">
        <v>0</v>
      </c>
      <c r="W380" s="10">
        <v>4947200</v>
      </c>
      <c r="X380" s="10">
        <v>0</v>
      </c>
      <c r="Y380" s="11">
        <v>0</v>
      </c>
      <c r="Z380" s="12">
        <v>-2873300</v>
      </c>
      <c r="AA380" s="12">
        <v>-1029900</v>
      </c>
      <c r="AB380" s="12">
        <v>-1931200</v>
      </c>
      <c r="AC380" s="12">
        <v>-2204400</v>
      </c>
      <c r="AD380" s="13">
        <v>8038800</v>
      </c>
      <c r="AE380" s="11">
        <v>0</v>
      </c>
      <c r="AF380" s="11">
        <v>0</v>
      </c>
      <c r="AG380" s="12">
        <v>-4947200</v>
      </c>
      <c r="AH380" s="13">
        <v>4947200</v>
      </c>
      <c r="AI380" s="12">
        <v>-4760800</v>
      </c>
      <c r="AJ380" s="10">
        <v>0</v>
      </c>
      <c r="AK380" s="10">
        <v>0</v>
      </c>
      <c r="AL380" s="10">
        <v>17383465000.799999</v>
      </c>
      <c r="AM380" s="10">
        <v>19369629996.75</v>
      </c>
      <c r="AN380" s="10">
        <v>20471780707.5</v>
      </c>
      <c r="AO380" s="10">
        <v>25422704938.799999</v>
      </c>
      <c r="AP380" s="10">
        <v>0</v>
      </c>
      <c r="AQ380" s="10">
        <v>0</v>
      </c>
      <c r="AR380" s="10">
        <v>0</v>
      </c>
      <c r="AS380" s="10">
        <v>14315960046.9</v>
      </c>
      <c r="AT380" s="10">
        <v>0</v>
      </c>
      <c r="AU380" s="14">
        <v>45473</v>
      </c>
      <c r="AV380" s="14">
        <v>45473</v>
      </c>
      <c r="AW380" s="14">
        <v>45291</v>
      </c>
      <c r="AX380" s="14">
        <v>44926</v>
      </c>
      <c r="AY380" s="14">
        <v>44561</v>
      </c>
      <c r="AZ380" s="14">
        <v>44196</v>
      </c>
      <c r="BA380" s="14">
        <v>43404</v>
      </c>
      <c r="BB380" s="14">
        <v>43404</v>
      </c>
      <c r="BC380" s="14">
        <v>42978</v>
      </c>
      <c r="BD380" s="14">
        <v>42735</v>
      </c>
      <c r="BE380" s="14">
        <v>42369</v>
      </c>
      <c r="BF380" s="8" t="s">
        <v>35</v>
      </c>
      <c r="BG380" s="8" t="s">
        <v>35</v>
      </c>
      <c r="BH380" s="8" t="s">
        <v>35</v>
      </c>
      <c r="BI380" s="8" t="s">
        <v>35</v>
      </c>
      <c r="BJ380" s="8" t="s">
        <v>35</v>
      </c>
      <c r="BK380" s="8" t="s">
        <v>35</v>
      </c>
      <c r="BL380" s="8" t="s">
        <v>35</v>
      </c>
      <c r="BM380" s="8" t="s">
        <v>35</v>
      </c>
      <c r="BN380" s="8" t="s">
        <v>35</v>
      </c>
      <c r="BO380" s="8" t="s">
        <v>35</v>
      </c>
      <c r="BP380" s="8" t="s">
        <v>35</v>
      </c>
      <c r="BQ380" s="8" t="s">
        <v>31</v>
      </c>
      <c r="BR380" s="8" t="s">
        <v>36</v>
      </c>
      <c r="BS380" s="10">
        <v>47648951294416.797</v>
      </c>
      <c r="BT380" s="8" t="s">
        <v>57</v>
      </c>
      <c r="BU380" s="8" t="s">
        <v>27</v>
      </c>
      <c r="BV380" s="8" t="s">
        <v>27</v>
      </c>
      <c r="BW380" s="8" t="s">
        <v>42</v>
      </c>
      <c r="BX380" s="8" t="s">
        <v>42</v>
      </c>
      <c r="BY380" s="8" t="s">
        <v>42</v>
      </c>
      <c r="BZ380" s="8" t="s">
        <v>42</v>
      </c>
      <c r="CA380" s="8" t="s">
        <v>42</v>
      </c>
      <c r="CB380" s="8" t="s">
        <v>42</v>
      </c>
      <c r="CC380" s="8" t="s">
        <v>42</v>
      </c>
      <c r="CD380" s="8" t="s">
        <v>42</v>
      </c>
      <c r="CE380" s="8" t="s">
        <v>42</v>
      </c>
      <c r="CF380" s="8" t="s">
        <v>455</v>
      </c>
      <c r="CG380" s="8" t="s">
        <v>71</v>
      </c>
    </row>
    <row r="381" spans="1:85" ht="15.75" customHeight="1" x14ac:dyDescent="0.35">
      <c r="A381" s="8">
        <v>374</v>
      </c>
      <c r="B381" s="8" t="s">
        <v>559</v>
      </c>
      <c r="C381" s="9">
        <v>0</v>
      </c>
      <c r="D381" s="8"/>
      <c r="E381" s="9">
        <v>1.35E-4</v>
      </c>
      <c r="F381" s="9">
        <v>1.35E-4</v>
      </c>
      <c r="G381" s="9">
        <v>3.7500000000000001E-4</v>
      </c>
      <c r="H381" s="8"/>
      <c r="I381" s="8"/>
      <c r="J381" s="8"/>
      <c r="K381" s="8"/>
      <c r="L381" s="8"/>
      <c r="M381" s="8"/>
      <c r="N381" s="10">
        <v>0</v>
      </c>
      <c r="O381" s="8"/>
      <c r="P381" s="10">
        <v>12486000</v>
      </c>
      <c r="Q381" s="10">
        <v>12486000</v>
      </c>
      <c r="R381" s="10">
        <v>34630400</v>
      </c>
      <c r="S381" s="8"/>
      <c r="T381" s="8"/>
      <c r="U381" s="8"/>
      <c r="V381" s="8"/>
      <c r="W381" s="8"/>
      <c r="X381" s="8"/>
      <c r="Y381" s="11">
        <v>0</v>
      </c>
      <c r="Z381" s="8"/>
      <c r="AA381" s="11">
        <v>0</v>
      </c>
      <c r="AB381" s="12">
        <v>-22144400</v>
      </c>
      <c r="AC381" s="13">
        <v>34630400</v>
      </c>
      <c r="AD381" s="8"/>
      <c r="AE381" s="8"/>
      <c r="AF381" s="8"/>
      <c r="AG381" s="8"/>
      <c r="AH381" s="8"/>
      <c r="AI381" s="8"/>
      <c r="AJ381" s="10">
        <v>0</v>
      </c>
      <c r="AK381" s="8"/>
      <c r="AL381" s="10">
        <v>61961775066.949997</v>
      </c>
      <c r="AM381" s="10">
        <v>61961775066.949997</v>
      </c>
      <c r="AN381" s="10">
        <v>121511373360</v>
      </c>
      <c r="AO381" s="8"/>
      <c r="AP381" s="8"/>
      <c r="AQ381" s="8"/>
      <c r="AR381" s="8"/>
      <c r="AS381" s="8"/>
      <c r="AT381" s="8"/>
      <c r="AU381" s="14">
        <v>45838</v>
      </c>
      <c r="AV381" s="8"/>
      <c r="AW381" s="14">
        <v>44926</v>
      </c>
      <c r="AX381" s="14">
        <v>44926</v>
      </c>
      <c r="AY381" s="14">
        <v>44561</v>
      </c>
      <c r="AZ381" s="8"/>
      <c r="BA381" s="8"/>
      <c r="BB381" s="8"/>
      <c r="BC381" s="8"/>
      <c r="BD381" s="8"/>
      <c r="BE381" s="8"/>
      <c r="BF381" s="8" t="s">
        <v>35</v>
      </c>
      <c r="BG381" s="8"/>
      <c r="BH381" s="8" t="s">
        <v>35</v>
      </c>
      <c r="BI381" s="8" t="s">
        <v>35</v>
      </c>
      <c r="BJ381" s="8" t="s">
        <v>35</v>
      </c>
      <c r="BK381" s="8"/>
      <c r="BL381" s="8"/>
      <c r="BM381" s="8"/>
      <c r="BN381" s="8"/>
      <c r="BO381" s="8"/>
      <c r="BP381" s="8"/>
      <c r="BQ381" s="8" t="s">
        <v>31</v>
      </c>
      <c r="BR381" s="8" t="s">
        <v>36</v>
      </c>
      <c r="BS381" s="10">
        <v>284703112242120</v>
      </c>
      <c r="BT381" s="8" t="s">
        <v>61</v>
      </c>
      <c r="BU381" s="8" t="s">
        <v>27</v>
      </c>
      <c r="BV381" s="8"/>
      <c r="BW381" s="8" t="s">
        <v>27</v>
      </c>
      <c r="BX381" s="8" t="s">
        <v>42</v>
      </c>
      <c r="BY381" s="8" t="s">
        <v>42</v>
      </c>
      <c r="BZ381" s="8"/>
      <c r="CA381" s="8"/>
      <c r="CB381" s="8"/>
      <c r="CC381" s="8"/>
      <c r="CD381" s="8"/>
      <c r="CE381" s="8"/>
      <c r="CF381" s="8" t="s">
        <v>560</v>
      </c>
      <c r="CG381" s="8" t="s">
        <v>39</v>
      </c>
    </row>
    <row r="382" spans="1:85" ht="15.75" customHeight="1" x14ac:dyDescent="0.35">
      <c r="A382" s="8">
        <v>375</v>
      </c>
      <c r="B382" s="8" t="s">
        <v>561</v>
      </c>
      <c r="C382" s="9">
        <v>0</v>
      </c>
      <c r="D382" s="9">
        <v>0</v>
      </c>
      <c r="E382" s="9">
        <v>3.4E-5</v>
      </c>
      <c r="F382" s="9">
        <v>0</v>
      </c>
      <c r="G382" s="8"/>
      <c r="H382" s="9">
        <v>0</v>
      </c>
      <c r="I382" s="9">
        <v>0</v>
      </c>
      <c r="J382" s="8"/>
      <c r="K382" s="8"/>
      <c r="L382" s="8"/>
      <c r="M382" s="8"/>
      <c r="N382" s="10">
        <v>0</v>
      </c>
      <c r="O382" s="10">
        <v>0</v>
      </c>
      <c r="P382" s="10">
        <v>3172528</v>
      </c>
      <c r="Q382" s="10">
        <v>0</v>
      </c>
      <c r="R382" s="8"/>
      <c r="S382" s="10">
        <v>0</v>
      </c>
      <c r="T382" s="10">
        <v>0</v>
      </c>
      <c r="U382" s="8"/>
      <c r="V382" s="8"/>
      <c r="W382" s="8"/>
      <c r="X382" s="8"/>
      <c r="Y382" s="11">
        <v>0</v>
      </c>
      <c r="Z382" s="12">
        <v>-3172528</v>
      </c>
      <c r="AA382" s="13">
        <v>3172528</v>
      </c>
      <c r="AB382" s="11">
        <v>0</v>
      </c>
      <c r="AC382" s="8"/>
      <c r="AD382" s="11">
        <v>0</v>
      </c>
      <c r="AE382" s="11">
        <v>0</v>
      </c>
      <c r="AF382" s="8"/>
      <c r="AG382" s="8"/>
      <c r="AH382" s="8"/>
      <c r="AI382" s="8"/>
      <c r="AJ382" s="10">
        <v>0</v>
      </c>
      <c r="AK382" s="10">
        <v>0</v>
      </c>
      <c r="AL382" s="10">
        <v>19193794456.599998</v>
      </c>
      <c r="AM382" s="10">
        <v>0</v>
      </c>
      <c r="AN382" s="8"/>
      <c r="AO382" s="10">
        <v>0</v>
      </c>
      <c r="AP382" s="10">
        <v>0</v>
      </c>
      <c r="AQ382" s="8"/>
      <c r="AR382" s="8"/>
      <c r="AS382" s="8"/>
      <c r="AT382" s="8"/>
      <c r="AU382" s="14">
        <v>45838</v>
      </c>
      <c r="AV382" s="14">
        <v>45657</v>
      </c>
      <c r="AW382" s="14">
        <v>45291</v>
      </c>
      <c r="AX382" s="14">
        <v>44773</v>
      </c>
      <c r="AY382" s="8"/>
      <c r="AZ382" s="14">
        <v>43677</v>
      </c>
      <c r="BA382" s="14">
        <v>43677</v>
      </c>
      <c r="BB382" s="8"/>
      <c r="BC382" s="8"/>
      <c r="BD382" s="8"/>
      <c r="BE382" s="8"/>
      <c r="BF382" s="8" t="s">
        <v>35</v>
      </c>
      <c r="BG382" s="8" t="s">
        <v>35</v>
      </c>
      <c r="BH382" s="8" t="s">
        <v>35</v>
      </c>
      <c r="BI382" s="8" t="s">
        <v>35</v>
      </c>
      <c r="BJ382" s="8"/>
      <c r="BK382" s="8" t="s">
        <v>35</v>
      </c>
      <c r="BL382" s="8" t="s">
        <v>35</v>
      </c>
      <c r="BM382" s="8"/>
      <c r="BN382" s="8"/>
      <c r="BO382" s="8"/>
      <c r="BP382" s="8"/>
      <c r="BQ382" s="8" t="s">
        <v>31</v>
      </c>
      <c r="BR382" s="8" t="s">
        <v>36</v>
      </c>
      <c r="BS382" s="10">
        <v>4480883597905.2002</v>
      </c>
      <c r="BT382" s="8"/>
      <c r="BU382" s="8" t="s">
        <v>27</v>
      </c>
      <c r="BV382" s="8" t="s">
        <v>42</v>
      </c>
      <c r="BW382" s="8" t="s">
        <v>43</v>
      </c>
      <c r="BX382" s="8" t="s">
        <v>43</v>
      </c>
      <c r="BY382" s="8"/>
      <c r="BZ382" s="8" t="s">
        <v>42</v>
      </c>
      <c r="CA382" s="8" t="s">
        <v>42</v>
      </c>
      <c r="CB382" s="8"/>
      <c r="CC382" s="8"/>
      <c r="CD382" s="8"/>
      <c r="CE382" s="8"/>
      <c r="CF382" s="8" t="s">
        <v>473</v>
      </c>
      <c r="CG382" s="8" t="s">
        <v>474</v>
      </c>
    </row>
    <row r="383" spans="1:85" ht="15.75" customHeight="1" x14ac:dyDescent="0.35">
      <c r="A383" s="8">
        <v>376</v>
      </c>
      <c r="B383" s="8" t="s">
        <v>562</v>
      </c>
      <c r="C383" s="9">
        <v>0</v>
      </c>
      <c r="D383" s="9">
        <v>0</v>
      </c>
      <c r="E383" s="9">
        <v>9.9999999999999995E-7</v>
      </c>
      <c r="F383" s="9">
        <v>9.9999999999999995E-7</v>
      </c>
      <c r="G383" s="9">
        <v>1.9999999999999999E-6</v>
      </c>
      <c r="H383" s="9">
        <v>1.9999999999999999E-6</v>
      </c>
      <c r="I383" s="9">
        <v>9.9999999999999995E-7</v>
      </c>
      <c r="J383" s="9">
        <v>9.9999999999999995E-7</v>
      </c>
      <c r="K383" s="9">
        <v>9.9999999999999995E-7</v>
      </c>
      <c r="L383" s="8"/>
      <c r="M383" s="8"/>
      <c r="N383" s="10">
        <v>0</v>
      </c>
      <c r="O383" s="10">
        <v>0</v>
      </c>
      <c r="P383" s="10">
        <v>49000</v>
      </c>
      <c r="Q383" s="10">
        <v>62600</v>
      </c>
      <c r="R383" s="10">
        <v>180000</v>
      </c>
      <c r="S383" s="10">
        <v>154000</v>
      </c>
      <c r="T383" s="10">
        <v>124000</v>
      </c>
      <c r="U383" s="10">
        <v>77600</v>
      </c>
      <c r="V383" s="10">
        <v>77600</v>
      </c>
      <c r="W383" s="8"/>
      <c r="X383" s="8"/>
      <c r="Y383" s="11">
        <v>0</v>
      </c>
      <c r="Z383" s="12">
        <v>-49000</v>
      </c>
      <c r="AA383" s="12">
        <v>-13600</v>
      </c>
      <c r="AB383" s="12">
        <v>-117400</v>
      </c>
      <c r="AC383" s="13">
        <v>26000</v>
      </c>
      <c r="AD383" s="13">
        <v>30000</v>
      </c>
      <c r="AE383" s="13">
        <v>46400</v>
      </c>
      <c r="AF383" s="11">
        <v>0</v>
      </c>
      <c r="AG383" s="13">
        <v>77600</v>
      </c>
      <c r="AH383" s="8"/>
      <c r="AI383" s="8"/>
      <c r="AJ383" s="10">
        <v>0</v>
      </c>
      <c r="AK383" s="10">
        <v>0</v>
      </c>
      <c r="AL383" s="10">
        <v>296449968.75</v>
      </c>
      <c r="AM383" s="10">
        <v>310652496</v>
      </c>
      <c r="AN383" s="10">
        <v>631585222.5</v>
      </c>
      <c r="AO383" s="10">
        <v>487024995.60000002</v>
      </c>
      <c r="AP383" s="10">
        <v>474482664.39999998</v>
      </c>
      <c r="AQ383" s="10">
        <v>265780033.5</v>
      </c>
      <c r="AR383" s="10">
        <v>310400027.30000001</v>
      </c>
      <c r="AS383" s="8"/>
      <c r="AT383" s="8"/>
      <c r="AU383" s="14">
        <v>45657</v>
      </c>
      <c r="AV383" s="14">
        <v>45657</v>
      </c>
      <c r="AW383" s="14">
        <v>45291</v>
      </c>
      <c r="AX383" s="14">
        <v>44926</v>
      </c>
      <c r="AY383" s="14">
        <v>44561</v>
      </c>
      <c r="AZ383" s="14">
        <v>44196</v>
      </c>
      <c r="BA383" s="14">
        <v>43830</v>
      </c>
      <c r="BB383" s="14">
        <v>43281</v>
      </c>
      <c r="BC383" s="14">
        <v>43100</v>
      </c>
      <c r="BD383" s="8"/>
      <c r="BE383" s="8"/>
      <c r="BF383" s="8" t="s">
        <v>35</v>
      </c>
      <c r="BG383" s="8" t="s">
        <v>35</v>
      </c>
      <c r="BH383" s="8" t="s">
        <v>35</v>
      </c>
      <c r="BI383" s="8" t="s">
        <v>35</v>
      </c>
      <c r="BJ383" s="8" t="s">
        <v>35</v>
      </c>
      <c r="BK383" s="8" t="s">
        <v>35</v>
      </c>
      <c r="BL383" s="8" t="s">
        <v>35</v>
      </c>
      <c r="BM383" s="8" t="s">
        <v>35</v>
      </c>
      <c r="BN383" s="8" t="s">
        <v>35</v>
      </c>
      <c r="BO383" s="8"/>
      <c r="BP383" s="8"/>
      <c r="BQ383" s="8" t="s">
        <v>31</v>
      </c>
      <c r="BR383" s="8" t="s">
        <v>36</v>
      </c>
      <c r="BS383" s="10">
        <v>455891514340.79999</v>
      </c>
      <c r="BT383" s="8"/>
      <c r="BU383" s="8"/>
      <c r="BV383" s="8" t="s">
        <v>27</v>
      </c>
      <c r="BW383" s="8" t="s">
        <v>27</v>
      </c>
      <c r="BX383" s="8" t="s">
        <v>27</v>
      </c>
      <c r="BY383" s="8" t="s">
        <v>42</v>
      </c>
      <c r="BZ383" s="8" t="s">
        <v>42</v>
      </c>
      <c r="CA383" s="8" t="s">
        <v>27</v>
      </c>
      <c r="CB383" s="8" t="s">
        <v>27</v>
      </c>
      <c r="CC383" s="8" t="s">
        <v>42</v>
      </c>
      <c r="CD383" s="8"/>
      <c r="CE383" s="8"/>
      <c r="CF383" s="8" t="s">
        <v>563</v>
      </c>
      <c r="CG383" s="8" t="s">
        <v>59</v>
      </c>
    </row>
    <row r="384" spans="1:85" ht="15.75" customHeight="1" x14ac:dyDescent="0.35">
      <c r="A384" s="8">
        <v>377</v>
      </c>
      <c r="B384" s="8" t="s">
        <v>564</v>
      </c>
      <c r="C384" s="9">
        <v>0</v>
      </c>
      <c r="D384" s="9">
        <v>0</v>
      </c>
      <c r="E384" s="8"/>
      <c r="F384" s="8"/>
      <c r="G384" s="8"/>
      <c r="H384" s="8"/>
      <c r="I384" s="8"/>
      <c r="J384" s="8"/>
      <c r="K384" s="8"/>
      <c r="L384" s="8"/>
      <c r="M384" s="9">
        <v>0</v>
      </c>
      <c r="N384" s="10">
        <v>0</v>
      </c>
      <c r="O384" s="10">
        <v>0</v>
      </c>
      <c r="P384" s="8"/>
      <c r="Q384" s="8"/>
      <c r="R384" s="8"/>
      <c r="S384" s="8"/>
      <c r="T384" s="8"/>
      <c r="U384" s="8"/>
      <c r="V384" s="8"/>
      <c r="W384" s="8"/>
      <c r="X384" s="10">
        <v>0</v>
      </c>
      <c r="Y384" s="11">
        <v>0</v>
      </c>
      <c r="Z384" s="11">
        <v>0</v>
      </c>
      <c r="AA384" s="8"/>
      <c r="AB384" s="8"/>
      <c r="AC384" s="8"/>
      <c r="AD384" s="8"/>
      <c r="AE384" s="8"/>
      <c r="AF384" s="8"/>
      <c r="AG384" s="8"/>
      <c r="AH384" s="8"/>
      <c r="AI384" s="11">
        <v>0</v>
      </c>
      <c r="AJ384" s="10">
        <v>0</v>
      </c>
      <c r="AK384" s="10">
        <v>0</v>
      </c>
      <c r="AL384" s="8"/>
      <c r="AM384" s="8"/>
      <c r="AN384" s="8"/>
      <c r="AO384" s="8"/>
      <c r="AP384" s="8"/>
      <c r="AQ384" s="8"/>
      <c r="AR384" s="8"/>
      <c r="AS384" s="8"/>
      <c r="AT384" s="10">
        <v>0</v>
      </c>
      <c r="AU384" s="14">
        <v>45443</v>
      </c>
      <c r="AV384" s="14">
        <v>45443</v>
      </c>
      <c r="AW384" s="8"/>
      <c r="AX384" s="8"/>
      <c r="AY384" s="8"/>
      <c r="AZ384" s="8"/>
      <c r="BA384" s="8"/>
      <c r="BB384" s="8"/>
      <c r="BC384" s="8"/>
      <c r="BD384" s="8"/>
      <c r="BE384" s="14">
        <v>41820</v>
      </c>
      <c r="BF384" s="8" t="s">
        <v>35</v>
      </c>
      <c r="BG384" s="8" t="s">
        <v>35</v>
      </c>
      <c r="BH384" s="8"/>
      <c r="BI384" s="8"/>
      <c r="BJ384" s="8"/>
      <c r="BK384" s="8"/>
      <c r="BL384" s="8"/>
      <c r="BM384" s="8"/>
      <c r="BN384" s="8"/>
      <c r="BO384" s="8"/>
      <c r="BP384" s="8" t="s">
        <v>35</v>
      </c>
      <c r="BQ384" s="8" t="s">
        <v>31</v>
      </c>
      <c r="BR384" s="8" t="s">
        <v>49</v>
      </c>
      <c r="BS384" s="10">
        <v>12449880771896.4</v>
      </c>
      <c r="BT384" s="8" t="s">
        <v>101</v>
      </c>
      <c r="BU384" s="8" t="s">
        <v>42</v>
      </c>
      <c r="BV384" s="8" t="s">
        <v>43</v>
      </c>
      <c r="BW384" s="8"/>
      <c r="BX384" s="8"/>
      <c r="BY384" s="8"/>
      <c r="BZ384" s="8"/>
      <c r="CA384" s="8"/>
      <c r="CB384" s="8"/>
      <c r="CC384" s="8"/>
      <c r="CD384" s="8"/>
      <c r="CE384" s="8" t="s">
        <v>43</v>
      </c>
      <c r="CF384" s="8" t="s">
        <v>120</v>
      </c>
      <c r="CG384" s="8" t="s">
        <v>51</v>
      </c>
    </row>
    <row r="385" spans="1:85" ht="15.75" customHeight="1" x14ac:dyDescent="0.35">
      <c r="A385" s="8">
        <v>378</v>
      </c>
      <c r="B385" s="8" t="s">
        <v>565</v>
      </c>
      <c r="C385" s="9">
        <v>0</v>
      </c>
      <c r="D385" s="9">
        <v>0</v>
      </c>
      <c r="E385" s="8"/>
      <c r="F385" s="8"/>
      <c r="G385" s="8"/>
      <c r="H385" s="8"/>
      <c r="I385" s="8"/>
      <c r="J385" s="8"/>
      <c r="K385" s="8"/>
      <c r="L385" s="8"/>
      <c r="M385" s="8"/>
      <c r="N385" s="10">
        <v>0</v>
      </c>
      <c r="O385" s="10">
        <v>0</v>
      </c>
      <c r="P385" s="8"/>
      <c r="Q385" s="8"/>
      <c r="R385" s="8"/>
      <c r="S385" s="8"/>
      <c r="T385" s="8"/>
      <c r="U385" s="8"/>
      <c r="V385" s="8"/>
      <c r="W385" s="8"/>
      <c r="X385" s="8"/>
      <c r="Y385" s="11">
        <v>0</v>
      </c>
      <c r="Z385" s="11">
        <v>0</v>
      </c>
      <c r="AA385" s="8"/>
      <c r="AB385" s="8"/>
      <c r="AC385" s="8"/>
      <c r="AD385" s="8"/>
      <c r="AE385" s="8"/>
      <c r="AF385" s="8"/>
      <c r="AG385" s="8"/>
      <c r="AH385" s="8"/>
      <c r="AI385" s="8"/>
      <c r="AJ385" s="10">
        <v>0</v>
      </c>
      <c r="AK385" s="10">
        <v>0</v>
      </c>
      <c r="AL385" s="8"/>
      <c r="AM385" s="8"/>
      <c r="AN385" s="8"/>
      <c r="AO385" s="8"/>
      <c r="AP385" s="8"/>
      <c r="AQ385" s="8"/>
      <c r="AR385" s="8"/>
      <c r="AS385" s="8"/>
      <c r="AT385" s="8"/>
      <c r="AU385" s="14">
        <v>45565</v>
      </c>
      <c r="AV385" s="14">
        <v>45565</v>
      </c>
      <c r="AW385" s="8"/>
      <c r="AX385" s="8"/>
      <c r="AY385" s="8"/>
      <c r="AZ385" s="8"/>
      <c r="BA385" s="8"/>
      <c r="BB385" s="8"/>
      <c r="BC385" s="8"/>
      <c r="BD385" s="8"/>
      <c r="BE385" s="8"/>
      <c r="BF385" s="8" t="s">
        <v>35</v>
      </c>
      <c r="BG385" s="8" t="s">
        <v>35</v>
      </c>
      <c r="BH385" s="8"/>
      <c r="BI385" s="8"/>
      <c r="BJ385" s="8"/>
      <c r="BK385" s="8"/>
      <c r="BL385" s="8"/>
      <c r="BM385" s="8"/>
      <c r="BN385" s="8"/>
      <c r="BO385" s="8"/>
      <c r="BP385" s="8"/>
      <c r="BQ385" s="8" t="s">
        <v>31</v>
      </c>
      <c r="BR385" s="8" t="s">
        <v>36</v>
      </c>
      <c r="BS385" s="10">
        <v>8358890911982.4004</v>
      </c>
      <c r="BT385" s="8"/>
      <c r="BU385" s="8" t="s">
        <v>42</v>
      </c>
      <c r="BV385" s="8" t="s">
        <v>42</v>
      </c>
      <c r="BW385" s="8"/>
      <c r="BX385" s="8"/>
      <c r="BY385" s="8"/>
      <c r="BZ385" s="8"/>
      <c r="CA385" s="8"/>
      <c r="CB385" s="8"/>
      <c r="CC385" s="8"/>
      <c r="CD385" s="8"/>
      <c r="CE385" s="8"/>
      <c r="CF385" s="8" t="s">
        <v>145</v>
      </c>
      <c r="CG385" s="8" t="s">
        <v>146</v>
      </c>
    </row>
    <row r="386" spans="1:85" ht="15.75" customHeight="1" x14ac:dyDescent="0.35">
      <c r="A386" s="8">
        <v>379</v>
      </c>
      <c r="B386" s="8" t="s">
        <v>566</v>
      </c>
      <c r="C386" s="9">
        <v>0</v>
      </c>
      <c r="D386" s="9">
        <v>1.2999999999999999E-5</v>
      </c>
      <c r="E386" s="8"/>
      <c r="F386" s="8"/>
      <c r="G386" s="8"/>
      <c r="H386" s="8"/>
      <c r="I386" s="8"/>
      <c r="J386" s="8"/>
      <c r="K386" s="8"/>
      <c r="L386" s="8"/>
      <c r="M386" s="8"/>
      <c r="N386" s="10">
        <v>0</v>
      </c>
      <c r="O386" s="10">
        <v>1193500</v>
      </c>
      <c r="P386" s="8"/>
      <c r="Q386" s="8"/>
      <c r="R386" s="8"/>
      <c r="S386" s="8"/>
      <c r="T386" s="8"/>
      <c r="U386" s="8"/>
      <c r="V386" s="8"/>
      <c r="W386" s="8"/>
      <c r="X386" s="8"/>
      <c r="Y386" s="12">
        <v>-1193500</v>
      </c>
      <c r="Z386" s="13">
        <v>1193500</v>
      </c>
      <c r="AA386" s="8"/>
      <c r="AB386" s="8"/>
      <c r="AC386" s="8"/>
      <c r="AD386" s="8"/>
      <c r="AE386" s="8"/>
      <c r="AF386" s="8"/>
      <c r="AG386" s="8"/>
      <c r="AH386" s="8"/>
      <c r="AI386" s="8"/>
      <c r="AJ386" s="10">
        <v>0</v>
      </c>
      <c r="AK386" s="10">
        <v>6786079623.1000004</v>
      </c>
      <c r="AL386" s="8"/>
      <c r="AM386" s="8"/>
      <c r="AN386" s="8"/>
      <c r="AO386" s="8"/>
      <c r="AP386" s="8"/>
      <c r="AQ386" s="8"/>
      <c r="AR386" s="8"/>
      <c r="AS386" s="8"/>
      <c r="AT386" s="8"/>
      <c r="AU386" s="14">
        <v>45716</v>
      </c>
      <c r="AV386" s="14">
        <v>45657</v>
      </c>
      <c r="AW386" s="8"/>
      <c r="AX386" s="8"/>
      <c r="AY386" s="8"/>
      <c r="AZ386" s="8"/>
      <c r="BA386" s="8"/>
      <c r="BB386" s="8"/>
      <c r="BC386" s="8"/>
      <c r="BD386" s="8"/>
      <c r="BE386" s="8"/>
      <c r="BF386" s="8" t="s">
        <v>35</v>
      </c>
      <c r="BG386" s="8" t="s">
        <v>35</v>
      </c>
      <c r="BH386" s="8"/>
      <c r="BI386" s="8"/>
      <c r="BJ386" s="8"/>
      <c r="BK386" s="8"/>
      <c r="BL386" s="8"/>
      <c r="BM386" s="8"/>
      <c r="BN386" s="8"/>
      <c r="BO386" s="8"/>
      <c r="BP386" s="8"/>
      <c r="BQ386" s="8" t="s">
        <v>31</v>
      </c>
      <c r="BR386" s="8" t="s">
        <v>36</v>
      </c>
      <c r="BS386" s="10">
        <v>6904400079279.5996</v>
      </c>
      <c r="BT386" s="8"/>
      <c r="BU386" s="8" t="s">
        <v>27</v>
      </c>
      <c r="BV386" s="8" t="s">
        <v>42</v>
      </c>
      <c r="BW386" s="8"/>
      <c r="BX386" s="8"/>
      <c r="BY386" s="8"/>
      <c r="BZ386" s="8"/>
      <c r="CA386" s="8"/>
      <c r="CB386" s="8"/>
      <c r="CC386" s="8"/>
      <c r="CD386" s="8"/>
      <c r="CE386" s="8"/>
      <c r="CF386" s="8" t="s">
        <v>567</v>
      </c>
      <c r="CG386" s="8" t="s">
        <v>99</v>
      </c>
    </row>
    <row r="387" spans="1:85" ht="15.75" customHeight="1" x14ac:dyDescent="0.35">
      <c r="A387" s="8">
        <v>380</v>
      </c>
      <c r="B387" s="8" t="s">
        <v>568</v>
      </c>
      <c r="C387" s="9">
        <v>0</v>
      </c>
      <c r="D387" s="9">
        <v>1.3999999999999999E-4</v>
      </c>
      <c r="E387" s="9">
        <v>2.12E-4</v>
      </c>
      <c r="F387" s="9">
        <v>3.9899999999999999E-4</v>
      </c>
      <c r="G387" s="9">
        <v>0</v>
      </c>
      <c r="H387" s="9">
        <v>1.5E-5</v>
      </c>
      <c r="I387" s="9">
        <v>1.5E-5</v>
      </c>
      <c r="J387" s="9">
        <v>4.3999999999999999E-5</v>
      </c>
      <c r="K387" s="9">
        <v>8.7999999999999998E-5</v>
      </c>
      <c r="L387" s="8"/>
      <c r="M387" s="8"/>
      <c r="N387" s="10">
        <v>0</v>
      </c>
      <c r="O387" s="10">
        <v>12941200</v>
      </c>
      <c r="P387" s="10">
        <v>19577100</v>
      </c>
      <c r="Q387" s="10">
        <v>36854200</v>
      </c>
      <c r="R387" s="10">
        <v>0</v>
      </c>
      <c r="S387" s="10">
        <v>1405800</v>
      </c>
      <c r="T387" s="10">
        <v>1359800</v>
      </c>
      <c r="U387" s="10">
        <v>4058200</v>
      </c>
      <c r="V387" s="10">
        <v>8141600</v>
      </c>
      <c r="W387" s="8"/>
      <c r="X387" s="8"/>
      <c r="Y387" s="12">
        <v>-12941200</v>
      </c>
      <c r="Z387" s="12">
        <v>-6635900</v>
      </c>
      <c r="AA387" s="12">
        <v>-17277100</v>
      </c>
      <c r="AB387" s="13">
        <v>36854200</v>
      </c>
      <c r="AC387" s="12">
        <v>-1405800</v>
      </c>
      <c r="AD387" s="13">
        <v>46000</v>
      </c>
      <c r="AE387" s="12">
        <v>-2698400</v>
      </c>
      <c r="AF387" s="12">
        <v>-4083400</v>
      </c>
      <c r="AG387" s="13">
        <v>8141600</v>
      </c>
      <c r="AH387" s="8"/>
      <c r="AI387" s="8"/>
      <c r="AJ387" s="10">
        <v>0</v>
      </c>
      <c r="AK387" s="10">
        <v>73581914152.100006</v>
      </c>
      <c r="AL387" s="10">
        <v>118441454976.7</v>
      </c>
      <c r="AM387" s="10">
        <v>182888967598.70001</v>
      </c>
      <c r="AN387" s="10">
        <v>0</v>
      </c>
      <c r="AO387" s="10">
        <v>4445842518</v>
      </c>
      <c r="AP387" s="10">
        <v>5203237517.6000004</v>
      </c>
      <c r="AQ387" s="10">
        <v>14779546856.25</v>
      </c>
      <c r="AR387" s="10">
        <v>32566400014.200001</v>
      </c>
      <c r="AS387" s="8"/>
      <c r="AT387" s="8"/>
      <c r="AU387" s="14">
        <v>45838</v>
      </c>
      <c r="AV387" s="14">
        <v>45657</v>
      </c>
      <c r="AW387" s="14">
        <v>45291</v>
      </c>
      <c r="AX387" s="14">
        <v>44926</v>
      </c>
      <c r="AY387" s="14">
        <v>44377</v>
      </c>
      <c r="AZ387" s="14">
        <v>44196</v>
      </c>
      <c r="BA387" s="14">
        <v>43830</v>
      </c>
      <c r="BB387" s="14">
        <v>43465</v>
      </c>
      <c r="BC387" s="14">
        <v>43100</v>
      </c>
      <c r="BD387" s="8"/>
      <c r="BE387" s="8"/>
      <c r="BF387" s="8" t="s">
        <v>35</v>
      </c>
      <c r="BG387" s="8" t="s">
        <v>35</v>
      </c>
      <c r="BH387" s="8" t="s">
        <v>35</v>
      </c>
      <c r="BI387" s="8" t="s">
        <v>35</v>
      </c>
      <c r="BJ387" s="8" t="s">
        <v>35</v>
      </c>
      <c r="BK387" s="8" t="s">
        <v>35</v>
      </c>
      <c r="BL387" s="8" t="s">
        <v>35</v>
      </c>
      <c r="BM387" s="8" t="s">
        <v>35</v>
      </c>
      <c r="BN387" s="8" t="s">
        <v>35</v>
      </c>
      <c r="BO387" s="8"/>
      <c r="BP387" s="8"/>
      <c r="BQ387" s="8" t="s">
        <v>31</v>
      </c>
      <c r="BR387" s="8" t="s">
        <v>49</v>
      </c>
      <c r="BS387" s="10">
        <v>273089135103913</v>
      </c>
      <c r="BT387" s="8" t="s">
        <v>101</v>
      </c>
      <c r="BU387" s="8" t="s">
        <v>42</v>
      </c>
      <c r="BV387" s="8" t="s">
        <v>42</v>
      </c>
      <c r="BW387" s="8" t="s">
        <v>42</v>
      </c>
      <c r="BX387" s="8" t="s">
        <v>42</v>
      </c>
      <c r="BY387" s="8" t="s">
        <v>42</v>
      </c>
      <c r="BZ387" s="8" t="s">
        <v>42</v>
      </c>
      <c r="CA387" s="8" t="s">
        <v>42</v>
      </c>
      <c r="CB387" s="8" t="s">
        <v>42</v>
      </c>
      <c r="CC387" s="8" t="s">
        <v>27</v>
      </c>
      <c r="CD387" s="8"/>
      <c r="CE387" s="8"/>
      <c r="CF387" s="8" t="s">
        <v>210</v>
      </c>
      <c r="CG387" s="8" t="s">
        <v>39</v>
      </c>
    </row>
    <row r="388" spans="1:85" ht="15.75" customHeight="1" x14ac:dyDescent="0.35">
      <c r="A388" s="8">
        <v>381</v>
      </c>
      <c r="B388" s="8" t="s">
        <v>569</v>
      </c>
      <c r="C388" s="9">
        <v>0</v>
      </c>
      <c r="D388" s="9">
        <v>0</v>
      </c>
      <c r="E388" s="9">
        <v>1.44E-4</v>
      </c>
      <c r="F388" s="9">
        <v>2.03E-4</v>
      </c>
      <c r="G388" s="9">
        <v>1.16E-4</v>
      </c>
      <c r="H388" s="9">
        <v>7.2999999999999999E-5</v>
      </c>
      <c r="I388" s="9">
        <v>6.2000000000000003E-5</v>
      </c>
      <c r="J388" s="9">
        <v>8.8999999999999995E-5</v>
      </c>
      <c r="K388" s="9">
        <v>1.84E-4</v>
      </c>
      <c r="L388" s="8"/>
      <c r="M388" s="9">
        <v>0</v>
      </c>
      <c r="N388" s="10">
        <v>0</v>
      </c>
      <c r="O388" s="10">
        <v>0</v>
      </c>
      <c r="P388" s="10">
        <v>13329100</v>
      </c>
      <c r="Q388" s="10">
        <v>18712600</v>
      </c>
      <c r="R388" s="10">
        <v>10758000</v>
      </c>
      <c r="S388" s="10">
        <v>6749800</v>
      </c>
      <c r="T388" s="10">
        <v>5700200</v>
      </c>
      <c r="U388" s="10">
        <v>8221800</v>
      </c>
      <c r="V388" s="10">
        <v>16989800</v>
      </c>
      <c r="W388" s="8"/>
      <c r="X388" s="10">
        <v>0</v>
      </c>
      <c r="Y388" s="11">
        <v>0</v>
      </c>
      <c r="Z388" s="12">
        <v>-13329100</v>
      </c>
      <c r="AA388" s="12">
        <v>-5383500</v>
      </c>
      <c r="AB388" s="13">
        <v>7954600</v>
      </c>
      <c r="AC388" s="13">
        <v>4008200</v>
      </c>
      <c r="AD388" s="13">
        <v>1049600</v>
      </c>
      <c r="AE388" s="12">
        <v>-2521600</v>
      </c>
      <c r="AF388" s="12">
        <v>-8768000</v>
      </c>
      <c r="AG388" s="13">
        <v>16989800</v>
      </c>
      <c r="AH388" s="8"/>
      <c r="AI388" s="11">
        <v>0</v>
      </c>
      <c r="AJ388" s="10">
        <v>0</v>
      </c>
      <c r="AK388" s="10">
        <v>0</v>
      </c>
      <c r="AL388" s="10">
        <v>80641054917.850006</v>
      </c>
      <c r="AM388" s="10">
        <v>92861277495.800003</v>
      </c>
      <c r="AN388" s="10">
        <v>37747740562.5</v>
      </c>
      <c r="AO388" s="10">
        <v>21346242465.599998</v>
      </c>
      <c r="AP388" s="10">
        <v>21811659653.599998</v>
      </c>
      <c r="AQ388" s="10">
        <v>29942949768.75</v>
      </c>
      <c r="AR388" s="10">
        <v>67959200037.150002</v>
      </c>
      <c r="AS388" s="8"/>
      <c r="AT388" s="10">
        <v>0</v>
      </c>
      <c r="AU388" s="14">
        <v>45657</v>
      </c>
      <c r="AV388" s="14">
        <v>45657</v>
      </c>
      <c r="AW388" s="14">
        <v>45291</v>
      </c>
      <c r="AX388" s="14">
        <v>44926</v>
      </c>
      <c r="AY388" s="14">
        <v>44561</v>
      </c>
      <c r="AZ388" s="14">
        <v>44196</v>
      </c>
      <c r="BA388" s="14">
        <v>43830</v>
      </c>
      <c r="BB388" s="14">
        <v>43465</v>
      </c>
      <c r="BC388" s="14">
        <v>43100</v>
      </c>
      <c r="BD388" s="8"/>
      <c r="BE388" s="14">
        <v>41820</v>
      </c>
      <c r="BF388" s="8" t="s">
        <v>35</v>
      </c>
      <c r="BG388" s="8" t="s">
        <v>35</v>
      </c>
      <c r="BH388" s="8" t="s">
        <v>35</v>
      </c>
      <c r="BI388" s="8" t="s">
        <v>35</v>
      </c>
      <c r="BJ388" s="8" t="s">
        <v>35</v>
      </c>
      <c r="BK388" s="8" t="s">
        <v>35</v>
      </c>
      <c r="BL388" s="8" t="s">
        <v>35</v>
      </c>
      <c r="BM388" s="8" t="s">
        <v>35</v>
      </c>
      <c r="BN388" s="8" t="s">
        <v>35</v>
      </c>
      <c r="BO388" s="8"/>
      <c r="BP388" s="8" t="s">
        <v>35</v>
      </c>
      <c r="BQ388" s="8" t="s">
        <v>31</v>
      </c>
      <c r="BR388" s="8" t="s">
        <v>36</v>
      </c>
      <c r="BS388" s="10">
        <v>61447938906046.797</v>
      </c>
      <c r="BT388" s="8" t="s">
        <v>57</v>
      </c>
      <c r="BU388" s="8" t="s">
        <v>42</v>
      </c>
      <c r="BV388" s="8" t="s">
        <v>27</v>
      </c>
      <c r="BW388" s="8" t="s">
        <v>42</v>
      </c>
      <c r="BX388" s="8" t="s">
        <v>42</v>
      </c>
      <c r="BY388" s="8" t="s">
        <v>42</v>
      </c>
      <c r="BZ388" s="8" t="s">
        <v>42</v>
      </c>
      <c r="CA388" s="8" t="s">
        <v>42</v>
      </c>
      <c r="CB388" s="8" t="s">
        <v>42</v>
      </c>
      <c r="CC388" s="8" t="s">
        <v>42</v>
      </c>
      <c r="CD388" s="8"/>
      <c r="CE388" s="8" t="s">
        <v>42</v>
      </c>
      <c r="CF388" s="8" t="s">
        <v>70</v>
      </c>
      <c r="CG388" s="8" t="s">
        <v>71</v>
      </c>
    </row>
    <row r="389" spans="1:85" ht="15.75" customHeight="1" x14ac:dyDescent="0.35">
      <c r="A389" s="8">
        <v>382</v>
      </c>
      <c r="B389" s="8" t="s">
        <v>570</v>
      </c>
      <c r="C389" s="9">
        <v>0</v>
      </c>
      <c r="D389" s="9">
        <v>0</v>
      </c>
      <c r="E389" s="9">
        <v>2.0000000000000002E-5</v>
      </c>
      <c r="F389" s="9">
        <v>6.7999999999999999E-5</v>
      </c>
      <c r="G389" s="8"/>
      <c r="H389" s="8"/>
      <c r="I389" s="8"/>
      <c r="J389" s="8"/>
      <c r="K389" s="9">
        <v>0</v>
      </c>
      <c r="L389" s="9">
        <v>0</v>
      </c>
      <c r="M389" s="8"/>
      <c r="N389" s="10">
        <v>0</v>
      </c>
      <c r="O389" s="10">
        <v>0</v>
      </c>
      <c r="P389" s="10">
        <v>1808100</v>
      </c>
      <c r="Q389" s="10">
        <v>6271000</v>
      </c>
      <c r="R389" s="8"/>
      <c r="S389" s="8"/>
      <c r="T389" s="8"/>
      <c r="U389" s="8"/>
      <c r="V389" s="10">
        <v>0</v>
      </c>
      <c r="W389" s="10">
        <v>0</v>
      </c>
      <c r="X389" s="8"/>
      <c r="Y389" s="11">
        <v>0</v>
      </c>
      <c r="Z389" s="12">
        <v>-1808100</v>
      </c>
      <c r="AA389" s="12">
        <v>-4462900</v>
      </c>
      <c r="AB389" s="13">
        <v>6271000</v>
      </c>
      <c r="AC389" s="8"/>
      <c r="AD389" s="8"/>
      <c r="AE389" s="8"/>
      <c r="AF389" s="8"/>
      <c r="AG389" s="11">
        <v>0</v>
      </c>
      <c r="AH389" s="11">
        <v>0</v>
      </c>
      <c r="AI389" s="8"/>
      <c r="AJ389" s="10">
        <v>0</v>
      </c>
      <c r="AK389" s="10">
        <v>0</v>
      </c>
      <c r="AL389" s="10">
        <v>10939005001.5</v>
      </c>
      <c r="AM389" s="10">
        <v>31119837455.849998</v>
      </c>
      <c r="AN389" s="8"/>
      <c r="AO389" s="8"/>
      <c r="AP389" s="8"/>
      <c r="AQ389" s="8"/>
      <c r="AR389" s="10">
        <v>0</v>
      </c>
      <c r="AS389" s="10">
        <v>0</v>
      </c>
      <c r="AT389" s="8"/>
      <c r="AU389" s="14">
        <v>45443</v>
      </c>
      <c r="AV389" s="14">
        <v>45443</v>
      </c>
      <c r="AW389" s="14">
        <v>45291</v>
      </c>
      <c r="AX389" s="14">
        <v>44926</v>
      </c>
      <c r="AY389" s="8"/>
      <c r="AZ389" s="8"/>
      <c r="BA389" s="8"/>
      <c r="BB389" s="8"/>
      <c r="BC389" s="14">
        <v>42643</v>
      </c>
      <c r="BD389" s="14">
        <v>42643</v>
      </c>
      <c r="BE389" s="8"/>
      <c r="BF389" s="8" t="s">
        <v>35</v>
      </c>
      <c r="BG389" s="8" t="s">
        <v>35</v>
      </c>
      <c r="BH389" s="8" t="s">
        <v>35</v>
      </c>
      <c r="BI389" s="8" t="s">
        <v>35</v>
      </c>
      <c r="BJ389" s="8"/>
      <c r="BK389" s="8"/>
      <c r="BL389" s="8"/>
      <c r="BM389" s="8"/>
      <c r="BN389" s="8" t="s">
        <v>35</v>
      </c>
      <c r="BO389" s="8" t="s">
        <v>35</v>
      </c>
      <c r="BP389" s="8"/>
      <c r="BQ389" s="8" t="s">
        <v>31</v>
      </c>
      <c r="BR389" s="8" t="s">
        <v>49</v>
      </c>
      <c r="BS389" s="10">
        <v>1732073729791590</v>
      </c>
      <c r="BT389" s="8" t="s">
        <v>91</v>
      </c>
      <c r="BU389" s="8" t="s">
        <v>27</v>
      </c>
      <c r="BV389" s="8" t="s">
        <v>27</v>
      </c>
      <c r="BW389" s="8" t="s">
        <v>27</v>
      </c>
      <c r="BX389" s="8" t="s">
        <v>27</v>
      </c>
      <c r="BY389" s="8"/>
      <c r="BZ389" s="8"/>
      <c r="CA389" s="8"/>
      <c r="CB389" s="8"/>
      <c r="CC389" s="8" t="s">
        <v>27</v>
      </c>
      <c r="CD389" s="8" t="s">
        <v>42</v>
      </c>
      <c r="CE389" s="8"/>
      <c r="CF389" s="8" t="s">
        <v>85</v>
      </c>
      <c r="CG389" s="8" t="s">
        <v>39</v>
      </c>
    </row>
    <row r="390" spans="1:85" ht="15.75" customHeight="1" x14ac:dyDescent="0.35">
      <c r="A390" s="8">
        <v>383</v>
      </c>
      <c r="B390" s="8" t="s">
        <v>571</v>
      </c>
      <c r="C390" s="9">
        <v>0</v>
      </c>
      <c r="D390" s="9">
        <v>1.9999999999999999E-6</v>
      </c>
      <c r="E390" s="9">
        <v>9.9999999999999995E-7</v>
      </c>
      <c r="F390" s="8"/>
      <c r="G390" s="8"/>
      <c r="H390" s="8"/>
      <c r="I390" s="8"/>
      <c r="J390" s="8"/>
      <c r="K390" s="8"/>
      <c r="L390" s="8"/>
      <c r="M390" s="8"/>
      <c r="N390" s="10">
        <v>0</v>
      </c>
      <c r="O390" s="10">
        <v>149200</v>
      </c>
      <c r="P390" s="10">
        <v>76200</v>
      </c>
      <c r="Q390" s="8"/>
      <c r="R390" s="8"/>
      <c r="S390" s="8"/>
      <c r="T390" s="8"/>
      <c r="U390" s="8"/>
      <c r="V390" s="8"/>
      <c r="W390" s="8"/>
      <c r="X390" s="8"/>
      <c r="Y390" s="12">
        <v>-149200</v>
      </c>
      <c r="Z390" s="13">
        <v>73000</v>
      </c>
      <c r="AA390" s="13">
        <v>76200</v>
      </c>
      <c r="AB390" s="8"/>
      <c r="AC390" s="8"/>
      <c r="AD390" s="8"/>
      <c r="AE390" s="8"/>
      <c r="AF390" s="8"/>
      <c r="AG390" s="8"/>
      <c r="AH390" s="8"/>
      <c r="AI390" s="8"/>
      <c r="AJ390" s="10">
        <v>0</v>
      </c>
      <c r="AK390" s="10">
        <v>848331090.79999995</v>
      </c>
      <c r="AL390" s="10">
        <v>461010048.80000001</v>
      </c>
      <c r="AM390" s="8"/>
      <c r="AN390" s="8"/>
      <c r="AO390" s="8"/>
      <c r="AP390" s="8"/>
      <c r="AQ390" s="8"/>
      <c r="AR390" s="8"/>
      <c r="AS390" s="8"/>
      <c r="AT390" s="8"/>
      <c r="AU390" s="14">
        <v>45869</v>
      </c>
      <c r="AV390" s="14">
        <v>45657</v>
      </c>
      <c r="AW390" s="14">
        <v>45291</v>
      </c>
      <c r="AX390" s="8"/>
      <c r="AY390" s="8"/>
      <c r="AZ390" s="8"/>
      <c r="BA390" s="8"/>
      <c r="BB390" s="8"/>
      <c r="BC390" s="8"/>
      <c r="BD390" s="8"/>
      <c r="BE390" s="8"/>
      <c r="BF390" s="8" t="s">
        <v>35</v>
      </c>
      <c r="BG390" s="8" t="s">
        <v>35</v>
      </c>
      <c r="BH390" s="8" t="s">
        <v>35</v>
      </c>
      <c r="BI390" s="8"/>
      <c r="BJ390" s="8"/>
      <c r="BK390" s="8"/>
      <c r="BL390" s="8"/>
      <c r="BM390" s="8"/>
      <c r="BN390" s="8"/>
      <c r="BO390" s="8"/>
      <c r="BP390" s="8"/>
      <c r="BQ390" s="8" t="s">
        <v>31</v>
      </c>
      <c r="BR390" s="8" t="s">
        <v>36</v>
      </c>
      <c r="BS390" s="10">
        <v>335990820380236</v>
      </c>
      <c r="BT390" s="8" t="s">
        <v>61</v>
      </c>
      <c r="BU390" s="8" t="s">
        <v>27</v>
      </c>
      <c r="BV390" s="8" t="s">
        <v>27</v>
      </c>
      <c r="BW390" s="8" t="s">
        <v>27</v>
      </c>
      <c r="BX390" s="8"/>
      <c r="BY390" s="8"/>
      <c r="BZ390" s="8"/>
      <c r="CA390" s="8"/>
      <c r="CB390" s="8"/>
      <c r="CC390" s="8"/>
      <c r="CD390" s="8"/>
      <c r="CE390" s="8"/>
      <c r="CF390" s="8" t="s">
        <v>572</v>
      </c>
      <c r="CG390" s="8" t="s">
        <v>39</v>
      </c>
    </row>
    <row r="391" spans="1:85" ht="15.75" customHeight="1" x14ac:dyDescent="0.35">
      <c r="A391" s="8">
        <v>384</v>
      </c>
      <c r="B391" s="8" t="s">
        <v>573</v>
      </c>
      <c r="C391" s="9">
        <v>0</v>
      </c>
      <c r="D391" s="9">
        <v>3.8000000000000002E-5</v>
      </c>
      <c r="E391" s="9">
        <v>5.3999999999999998E-5</v>
      </c>
      <c r="F391" s="9">
        <v>8.2999999999999998E-5</v>
      </c>
      <c r="G391" s="9">
        <v>1.8900000000000001E-4</v>
      </c>
      <c r="H391" s="9">
        <v>1.5899999999999999E-4</v>
      </c>
      <c r="I391" s="9">
        <v>4.1E-5</v>
      </c>
      <c r="J391" s="9">
        <v>4.8999999999999998E-5</v>
      </c>
      <c r="K391" s="9">
        <v>5.3999999999999998E-5</v>
      </c>
      <c r="L391" s="9">
        <v>9.2E-5</v>
      </c>
      <c r="M391" s="9">
        <v>1.06E-4</v>
      </c>
      <c r="N391" s="10">
        <v>0</v>
      </c>
      <c r="O391" s="10">
        <v>3520200</v>
      </c>
      <c r="P391" s="10">
        <v>5005200</v>
      </c>
      <c r="Q391" s="10">
        <v>7679200</v>
      </c>
      <c r="R391" s="10">
        <v>17428000</v>
      </c>
      <c r="S391" s="10">
        <v>14678000</v>
      </c>
      <c r="T391" s="10">
        <v>3821000</v>
      </c>
      <c r="U391" s="10">
        <v>4520000</v>
      </c>
      <c r="V391" s="10">
        <v>4972000</v>
      </c>
      <c r="W391" s="10">
        <v>8468000</v>
      </c>
      <c r="X391" s="10">
        <v>9768000</v>
      </c>
      <c r="Y391" s="12">
        <v>-3520200</v>
      </c>
      <c r="Z391" s="12">
        <v>-1485000</v>
      </c>
      <c r="AA391" s="12">
        <v>-2674000</v>
      </c>
      <c r="AB391" s="12">
        <v>-9748800</v>
      </c>
      <c r="AC391" s="13">
        <v>2750000</v>
      </c>
      <c r="AD391" s="13">
        <v>10857000</v>
      </c>
      <c r="AE391" s="12">
        <v>-699000</v>
      </c>
      <c r="AF391" s="12">
        <v>-452000</v>
      </c>
      <c r="AG391" s="12">
        <v>-3496000</v>
      </c>
      <c r="AH391" s="12">
        <v>-1300000</v>
      </c>
      <c r="AI391" s="11">
        <v>0</v>
      </c>
      <c r="AJ391" s="10">
        <v>0</v>
      </c>
      <c r="AK391" s="10">
        <v>21615115262.400002</v>
      </c>
      <c r="AL391" s="10">
        <v>30281460044</v>
      </c>
      <c r="AM391" s="10">
        <v>40411789947.099998</v>
      </c>
      <c r="AN391" s="10">
        <v>51412600036.849998</v>
      </c>
      <c r="AO391" s="10">
        <v>46419174921.599998</v>
      </c>
      <c r="AP391" s="10">
        <v>14620952153.6</v>
      </c>
      <c r="AQ391" s="10">
        <v>16461374993.75</v>
      </c>
      <c r="AR391" s="10">
        <v>19888000003.900002</v>
      </c>
      <c r="AS391" s="10">
        <v>24504274992.299999</v>
      </c>
      <c r="AT391" s="10">
        <v>24542100007.400002</v>
      </c>
      <c r="AU391" s="14">
        <v>45688</v>
      </c>
      <c r="AV391" s="14">
        <v>45626</v>
      </c>
      <c r="AW391" s="14">
        <v>45291</v>
      </c>
      <c r="AX391" s="14">
        <v>44895</v>
      </c>
      <c r="AY391" s="14">
        <v>44377</v>
      </c>
      <c r="AZ391" s="14">
        <v>44196</v>
      </c>
      <c r="BA391" s="14">
        <v>43830</v>
      </c>
      <c r="BB391" s="14">
        <v>43465</v>
      </c>
      <c r="BC391" s="14">
        <v>43100</v>
      </c>
      <c r="BD391" s="14">
        <v>42735</v>
      </c>
      <c r="BE391" s="14">
        <v>42185</v>
      </c>
      <c r="BF391" s="8" t="s">
        <v>35</v>
      </c>
      <c r="BG391" s="8" t="s">
        <v>35</v>
      </c>
      <c r="BH391" s="8" t="s">
        <v>35</v>
      </c>
      <c r="BI391" s="8" t="s">
        <v>35</v>
      </c>
      <c r="BJ391" s="8" t="s">
        <v>35</v>
      </c>
      <c r="BK391" s="8" t="s">
        <v>35</v>
      </c>
      <c r="BL391" s="8" t="s">
        <v>35</v>
      </c>
      <c r="BM391" s="8" t="s">
        <v>35</v>
      </c>
      <c r="BN391" s="8" t="s">
        <v>35</v>
      </c>
      <c r="BO391" s="8" t="s">
        <v>35</v>
      </c>
      <c r="BP391" s="8" t="s">
        <v>35</v>
      </c>
      <c r="BQ391" s="8" t="s">
        <v>31</v>
      </c>
      <c r="BR391" s="8" t="s">
        <v>160</v>
      </c>
      <c r="BS391" s="10">
        <v>15558521092213.199</v>
      </c>
      <c r="BT391" s="8" t="s">
        <v>57</v>
      </c>
      <c r="BU391" s="8" t="s">
        <v>27</v>
      </c>
      <c r="BV391" s="8" t="s">
        <v>42</v>
      </c>
      <c r="BW391" s="8" t="s">
        <v>42</v>
      </c>
      <c r="BX391" s="8" t="s">
        <v>27</v>
      </c>
      <c r="BY391" s="8" t="s">
        <v>27</v>
      </c>
      <c r="BZ391" s="8" t="s">
        <v>42</v>
      </c>
      <c r="CA391" s="8" t="s">
        <v>42</v>
      </c>
      <c r="CB391" s="8" t="s">
        <v>42</v>
      </c>
      <c r="CC391" s="8" t="s">
        <v>42</v>
      </c>
      <c r="CD391" s="8" t="s">
        <v>42</v>
      </c>
      <c r="CE391" s="8" t="s">
        <v>42</v>
      </c>
      <c r="CF391" s="8" t="s">
        <v>391</v>
      </c>
      <c r="CG391" s="8" t="s">
        <v>99</v>
      </c>
    </row>
    <row r="392" spans="1:85" ht="15.75" customHeight="1" x14ac:dyDescent="0.35">
      <c r="A392" s="8">
        <v>385</v>
      </c>
      <c r="B392" s="8" t="s">
        <v>574</v>
      </c>
      <c r="C392" s="9">
        <v>0</v>
      </c>
      <c r="D392" s="9">
        <v>6.5600000000000001E-4</v>
      </c>
      <c r="E392" s="9">
        <v>7.5299999999999998E-4</v>
      </c>
      <c r="F392" s="8"/>
      <c r="G392" s="8"/>
      <c r="H392" s="8"/>
      <c r="I392" s="8"/>
      <c r="J392" s="8"/>
      <c r="K392" s="8"/>
      <c r="L392" s="8"/>
      <c r="M392" s="8"/>
      <c r="N392" s="10">
        <v>0</v>
      </c>
      <c r="O392" s="10">
        <v>60579835</v>
      </c>
      <c r="P392" s="10">
        <v>69531282</v>
      </c>
      <c r="Q392" s="8"/>
      <c r="R392" s="8"/>
      <c r="S392" s="8"/>
      <c r="T392" s="8"/>
      <c r="U392" s="8"/>
      <c r="V392" s="8"/>
      <c r="W392" s="8"/>
      <c r="X392" s="8"/>
      <c r="Y392" s="12">
        <v>-60579835</v>
      </c>
      <c r="Z392" s="12">
        <v>-8951447</v>
      </c>
      <c r="AA392" s="13">
        <v>69531282</v>
      </c>
      <c r="AB392" s="8"/>
      <c r="AC392" s="8"/>
      <c r="AD392" s="8"/>
      <c r="AE392" s="8"/>
      <c r="AF392" s="8"/>
      <c r="AG392" s="8"/>
      <c r="AH392" s="8"/>
      <c r="AI392" s="8"/>
      <c r="AJ392" s="10">
        <v>0</v>
      </c>
      <c r="AK392" s="10">
        <v>344448753988.90002</v>
      </c>
      <c r="AL392" s="10">
        <v>420664255759.84998</v>
      </c>
      <c r="AM392" s="8"/>
      <c r="AN392" s="8"/>
      <c r="AO392" s="8"/>
      <c r="AP392" s="8"/>
      <c r="AQ392" s="8"/>
      <c r="AR392" s="8"/>
      <c r="AS392" s="8"/>
      <c r="AT392" s="8"/>
      <c r="AU392" s="14">
        <v>45838</v>
      </c>
      <c r="AV392" s="14">
        <v>45657</v>
      </c>
      <c r="AW392" s="14">
        <v>45291</v>
      </c>
      <c r="AX392" s="8"/>
      <c r="AY392" s="8"/>
      <c r="AZ392" s="8"/>
      <c r="BA392" s="8"/>
      <c r="BB392" s="8"/>
      <c r="BC392" s="8"/>
      <c r="BD392" s="8"/>
      <c r="BE392" s="8"/>
      <c r="BF392" s="8" t="s">
        <v>35</v>
      </c>
      <c r="BG392" s="8" t="s">
        <v>35</v>
      </c>
      <c r="BH392" s="8" t="s">
        <v>35</v>
      </c>
      <c r="BI392" s="8"/>
      <c r="BJ392" s="8"/>
      <c r="BK392" s="8"/>
      <c r="BL392" s="8"/>
      <c r="BM392" s="8"/>
      <c r="BN392" s="8"/>
      <c r="BO392" s="8"/>
      <c r="BP392" s="8"/>
      <c r="BQ392" s="8" t="s">
        <v>31</v>
      </c>
      <c r="BR392" s="8" t="s">
        <v>36</v>
      </c>
      <c r="BS392" s="10">
        <v>465337806816653</v>
      </c>
      <c r="BT392" s="8" t="s">
        <v>41</v>
      </c>
      <c r="BU392" s="8" t="s">
        <v>27</v>
      </c>
      <c r="BV392" s="8" t="s">
        <v>27</v>
      </c>
      <c r="BW392" s="8" t="s">
        <v>42</v>
      </c>
      <c r="BX392" s="8"/>
      <c r="BY392" s="8"/>
      <c r="BZ392" s="8"/>
      <c r="CA392" s="8"/>
      <c r="CB392" s="8"/>
      <c r="CC392" s="8"/>
      <c r="CD392" s="8"/>
      <c r="CE392" s="8"/>
      <c r="CF392" s="8" t="s">
        <v>575</v>
      </c>
      <c r="CG392" s="8" t="s">
        <v>433</v>
      </c>
    </row>
    <row r="393" spans="1:85" ht="15.75" customHeight="1" x14ac:dyDescent="0.35">
      <c r="A393" s="8">
        <v>386</v>
      </c>
      <c r="B393" s="8" t="s">
        <v>576</v>
      </c>
      <c r="C393" s="9">
        <v>0</v>
      </c>
      <c r="D393" s="9">
        <v>1.8E-5</v>
      </c>
      <c r="E393" s="9">
        <v>1.5999999999999999E-5</v>
      </c>
      <c r="F393" s="8"/>
      <c r="G393" s="8"/>
      <c r="H393" s="8"/>
      <c r="I393" s="8"/>
      <c r="J393" s="8"/>
      <c r="K393" s="8"/>
      <c r="L393" s="8"/>
      <c r="M393" s="8"/>
      <c r="N393" s="10">
        <v>0</v>
      </c>
      <c r="O393" s="10">
        <v>1686601</v>
      </c>
      <c r="P393" s="10">
        <v>1497273</v>
      </c>
      <c r="Q393" s="8"/>
      <c r="R393" s="8"/>
      <c r="S393" s="8"/>
      <c r="T393" s="8"/>
      <c r="U393" s="8"/>
      <c r="V393" s="8"/>
      <c r="W393" s="8"/>
      <c r="X393" s="8"/>
      <c r="Y393" s="12">
        <v>-1686601</v>
      </c>
      <c r="Z393" s="13">
        <v>189328</v>
      </c>
      <c r="AA393" s="13">
        <v>1497273</v>
      </c>
      <c r="AB393" s="8"/>
      <c r="AC393" s="8"/>
      <c r="AD393" s="8"/>
      <c r="AE393" s="8"/>
      <c r="AF393" s="8"/>
      <c r="AG393" s="8"/>
      <c r="AH393" s="8"/>
      <c r="AI393" s="8"/>
      <c r="AJ393" s="10">
        <v>0</v>
      </c>
      <c r="AK393" s="10">
        <v>9589785292.7000008</v>
      </c>
      <c r="AL393" s="10">
        <v>9058501594.8500004</v>
      </c>
      <c r="AM393" s="8"/>
      <c r="AN393" s="8"/>
      <c r="AO393" s="8"/>
      <c r="AP393" s="8"/>
      <c r="AQ393" s="8"/>
      <c r="AR393" s="8"/>
      <c r="AS393" s="8"/>
      <c r="AT393" s="8"/>
      <c r="AU393" s="14">
        <v>45838</v>
      </c>
      <c r="AV393" s="14">
        <v>45657</v>
      </c>
      <c r="AW393" s="14">
        <v>45291</v>
      </c>
      <c r="AX393" s="8"/>
      <c r="AY393" s="8"/>
      <c r="AZ393" s="8"/>
      <c r="BA393" s="8"/>
      <c r="BB393" s="8"/>
      <c r="BC393" s="8"/>
      <c r="BD393" s="8"/>
      <c r="BE393" s="8"/>
      <c r="BF393" s="8" t="s">
        <v>35</v>
      </c>
      <c r="BG393" s="8" t="s">
        <v>35</v>
      </c>
      <c r="BH393" s="8" t="s">
        <v>35</v>
      </c>
      <c r="BI393" s="8"/>
      <c r="BJ393" s="8"/>
      <c r="BK393" s="8"/>
      <c r="BL393" s="8"/>
      <c r="BM393" s="8"/>
      <c r="BN393" s="8"/>
      <c r="BO393" s="8"/>
      <c r="BP393" s="8"/>
      <c r="BQ393" s="8" t="s">
        <v>31</v>
      </c>
      <c r="BR393" s="8" t="s">
        <v>36</v>
      </c>
      <c r="BS393" s="10">
        <v>9241117429856.4004</v>
      </c>
      <c r="BT393" s="8" t="s">
        <v>57</v>
      </c>
      <c r="BU393" s="8" t="s">
        <v>27</v>
      </c>
      <c r="BV393" s="8" t="s">
        <v>27</v>
      </c>
      <c r="BW393" s="8" t="s">
        <v>43</v>
      </c>
      <c r="BX393" s="8"/>
      <c r="BY393" s="8"/>
      <c r="BZ393" s="8"/>
      <c r="CA393" s="8"/>
      <c r="CB393" s="8"/>
      <c r="CC393" s="8"/>
      <c r="CD393" s="8"/>
      <c r="CE393" s="8"/>
      <c r="CF393" s="8" t="s">
        <v>577</v>
      </c>
      <c r="CG393" s="8" t="s">
        <v>433</v>
      </c>
    </row>
    <row r="394" spans="1:85" ht="15.75" customHeight="1" x14ac:dyDescent="0.35">
      <c r="A394" s="8">
        <v>387</v>
      </c>
      <c r="B394" s="8" t="s">
        <v>578</v>
      </c>
      <c r="C394" s="9">
        <v>0</v>
      </c>
      <c r="D394" s="9">
        <v>1.15E-4</v>
      </c>
      <c r="E394" s="9">
        <v>4.4499999999999997E-4</v>
      </c>
      <c r="F394" s="9">
        <v>4.08E-4</v>
      </c>
      <c r="G394" s="8"/>
      <c r="H394" s="8"/>
      <c r="I394" s="8"/>
      <c r="J394" s="8"/>
      <c r="K394" s="9">
        <v>0</v>
      </c>
      <c r="L394" s="9">
        <v>0</v>
      </c>
      <c r="M394" s="9">
        <v>2.6699999999999998E-4</v>
      </c>
      <c r="N394" s="10">
        <v>0</v>
      </c>
      <c r="O394" s="10">
        <v>10592125</v>
      </c>
      <c r="P394" s="10">
        <v>41124120</v>
      </c>
      <c r="Q394" s="10">
        <v>37660800</v>
      </c>
      <c r="R394" s="8"/>
      <c r="S394" s="8"/>
      <c r="T394" s="8"/>
      <c r="U394" s="8"/>
      <c r="V394" s="10">
        <v>0</v>
      </c>
      <c r="W394" s="10">
        <v>0</v>
      </c>
      <c r="X394" s="10">
        <v>24646000</v>
      </c>
      <c r="Y394" s="12">
        <v>-10592125</v>
      </c>
      <c r="Z394" s="12">
        <v>-30531995</v>
      </c>
      <c r="AA394" s="13">
        <v>3463320</v>
      </c>
      <c r="AB394" s="13">
        <v>37660800</v>
      </c>
      <c r="AC394" s="8"/>
      <c r="AD394" s="8"/>
      <c r="AE394" s="8"/>
      <c r="AF394" s="8"/>
      <c r="AG394" s="11">
        <v>0</v>
      </c>
      <c r="AH394" s="12">
        <v>-24646000</v>
      </c>
      <c r="AI394" s="12">
        <v>-5200000</v>
      </c>
      <c r="AJ394" s="10">
        <v>0</v>
      </c>
      <c r="AK394" s="10">
        <v>60225391155.099998</v>
      </c>
      <c r="AL394" s="10">
        <v>248800925803</v>
      </c>
      <c r="AM394" s="10">
        <v>186891720122.25</v>
      </c>
      <c r="AN394" s="8"/>
      <c r="AO394" s="8"/>
      <c r="AP394" s="8"/>
      <c r="AQ394" s="8"/>
      <c r="AR394" s="10">
        <v>0</v>
      </c>
      <c r="AS394" s="10">
        <v>0</v>
      </c>
      <c r="AT394" s="10">
        <v>57014555017.050003</v>
      </c>
      <c r="AU394" s="14">
        <v>45716</v>
      </c>
      <c r="AV394" s="14">
        <v>45657</v>
      </c>
      <c r="AW394" s="14">
        <v>45291</v>
      </c>
      <c r="AX394" s="14">
        <v>44926</v>
      </c>
      <c r="AY394" s="8"/>
      <c r="AZ394" s="8"/>
      <c r="BA394" s="8"/>
      <c r="BB394" s="8"/>
      <c r="BC394" s="14">
        <v>42551</v>
      </c>
      <c r="BD394" s="14">
        <v>42551</v>
      </c>
      <c r="BE394" s="14">
        <v>42369</v>
      </c>
      <c r="BF394" s="8" t="s">
        <v>35</v>
      </c>
      <c r="BG394" s="8" t="s">
        <v>35</v>
      </c>
      <c r="BH394" s="8" t="s">
        <v>35</v>
      </c>
      <c r="BI394" s="8" t="s">
        <v>35</v>
      </c>
      <c r="BJ394" s="8"/>
      <c r="BK394" s="8"/>
      <c r="BL394" s="8"/>
      <c r="BM394" s="8"/>
      <c r="BN394" s="8" t="s">
        <v>35</v>
      </c>
      <c r="BO394" s="8" t="s">
        <v>35</v>
      </c>
      <c r="BP394" s="8" t="s">
        <v>35</v>
      </c>
      <c r="BQ394" s="8" t="s">
        <v>31</v>
      </c>
      <c r="BR394" s="8" t="s">
        <v>49</v>
      </c>
      <c r="BS394" s="10">
        <v>338689020653486</v>
      </c>
      <c r="BT394" s="8" t="s">
        <v>37</v>
      </c>
      <c r="BU394" s="8" t="s">
        <v>27</v>
      </c>
      <c r="BV394" s="8" t="s">
        <v>27</v>
      </c>
      <c r="BW394" s="8" t="s">
        <v>27</v>
      </c>
      <c r="BX394" s="8" t="s">
        <v>42</v>
      </c>
      <c r="BY394" s="8"/>
      <c r="BZ394" s="8"/>
      <c r="CA394" s="8"/>
      <c r="CB394" s="8"/>
      <c r="CC394" s="8" t="s">
        <v>42</v>
      </c>
      <c r="CD394" s="8" t="s">
        <v>42</v>
      </c>
      <c r="CE394" s="8" t="s">
        <v>42</v>
      </c>
      <c r="CF394" s="8" t="s">
        <v>579</v>
      </c>
      <c r="CG394" s="8" t="s">
        <v>39</v>
      </c>
    </row>
    <row r="395" spans="1:85" ht="15.75" customHeight="1" x14ac:dyDescent="0.35">
      <c r="A395" s="8">
        <v>388</v>
      </c>
      <c r="B395" s="8" t="s">
        <v>580</v>
      </c>
      <c r="C395" s="9">
        <v>0</v>
      </c>
      <c r="D395" s="9">
        <v>3.4E-5</v>
      </c>
      <c r="E395" s="9">
        <v>8.2999999999999998E-5</v>
      </c>
      <c r="F395" s="8"/>
      <c r="G395" s="8"/>
      <c r="H395" s="8"/>
      <c r="I395" s="8"/>
      <c r="J395" s="8"/>
      <c r="K395" s="8"/>
      <c r="L395" s="9">
        <v>0</v>
      </c>
      <c r="M395" s="9">
        <v>0</v>
      </c>
      <c r="N395" s="10">
        <v>0</v>
      </c>
      <c r="O395" s="10">
        <v>3120000</v>
      </c>
      <c r="P395" s="10">
        <v>7640000</v>
      </c>
      <c r="Q395" s="8"/>
      <c r="R395" s="8"/>
      <c r="S395" s="8"/>
      <c r="T395" s="8"/>
      <c r="U395" s="8"/>
      <c r="V395" s="8"/>
      <c r="W395" s="10">
        <v>0</v>
      </c>
      <c r="X395" s="10">
        <v>0</v>
      </c>
      <c r="Y395" s="12">
        <v>-3120000</v>
      </c>
      <c r="Z395" s="12">
        <v>-4520000</v>
      </c>
      <c r="AA395" s="13">
        <v>7640000</v>
      </c>
      <c r="AB395" s="8"/>
      <c r="AC395" s="8"/>
      <c r="AD395" s="8"/>
      <c r="AE395" s="8"/>
      <c r="AF395" s="8"/>
      <c r="AG395" s="8"/>
      <c r="AH395" s="11">
        <v>0</v>
      </c>
      <c r="AI395" s="11">
        <v>0</v>
      </c>
      <c r="AJ395" s="10">
        <v>0</v>
      </c>
      <c r="AK395" s="10">
        <v>17739898366.5</v>
      </c>
      <c r="AL395" s="10">
        <v>46222000035.099998</v>
      </c>
      <c r="AM395" s="8"/>
      <c r="AN395" s="8"/>
      <c r="AO395" s="8"/>
      <c r="AP395" s="8"/>
      <c r="AQ395" s="8"/>
      <c r="AR395" s="8"/>
      <c r="AS395" s="10">
        <v>0</v>
      </c>
      <c r="AT395" s="10">
        <v>0</v>
      </c>
      <c r="AU395" s="14">
        <v>45747</v>
      </c>
      <c r="AV395" s="14">
        <v>45657</v>
      </c>
      <c r="AW395" s="14">
        <v>45291</v>
      </c>
      <c r="AX395" s="8"/>
      <c r="AY395" s="8"/>
      <c r="AZ395" s="8"/>
      <c r="BA395" s="8"/>
      <c r="BB395" s="8"/>
      <c r="BC395" s="8"/>
      <c r="BD395" s="14">
        <v>42094</v>
      </c>
      <c r="BE395" s="14">
        <v>42094</v>
      </c>
      <c r="BF395" s="8" t="s">
        <v>35</v>
      </c>
      <c r="BG395" s="8" t="s">
        <v>35</v>
      </c>
      <c r="BH395" s="8" t="s">
        <v>35</v>
      </c>
      <c r="BI395" s="8"/>
      <c r="BJ395" s="8"/>
      <c r="BK395" s="8"/>
      <c r="BL395" s="8"/>
      <c r="BM395" s="8"/>
      <c r="BN395" s="8"/>
      <c r="BO395" s="8" t="s">
        <v>35</v>
      </c>
      <c r="BP395" s="8" t="s">
        <v>35</v>
      </c>
      <c r="BQ395" s="8" t="s">
        <v>31</v>
      </c>
      <c r="BR395" s="8" t="s">
        <v>49</v>
      </c>
      <c r="BS395" s="10">
        <v>421652362600115</v>
      </c>
      <c r="BT395" s="8" t="s">
        <v>57</v>
      </c>
      <c r="BU395" s="8" t="s">
        <v>27</v>
      </c>
      <c r="BV395" s="8" t="s">
        <v>27</v>
      </c>
      <c r="BW395" s="8" t="s">
        <v>42</v>
      </c>
      <c r="BX395" s="8"/>
      <c r="BY395" s="8"/>
      <c r="BZ395" s="8"/>
      <c r="CA395" s="8"/>
      <c r="CB395" s="8"/>
      <c r="CC395" s="8"/>
      <c r="CD395" s="8" t="s">
        <v>42</v>
      </c>
      <c r="CE395" s="8" t="s">
        <v>42</v>
      </c>
      <c r="CF395" s="8" t="s">
        <v>377</v>
      </c>
      <c r="CG395" s="8" t="s">
        <v>378</v>
      </c>
    </row>
    <row r="396" spans="1:85" ht="15.75" customHeight="1" x14ac:dyDescent="0.35">
      <c r="A396" s="8">
        <v>389</v>
      </c>
      <c r="B396" s="8" t="s">
        <v>581</v>
      </c>
      <c r="C396" s="9">
        <v>0</v>
      </c>
      <c r="D396" s="9">
        <v>1.21E-4</v>
      </c>
      <c r="E396" s="9">
        <v>2.7E-4</v>
      </c>
      <c r="F396" s="8"/>
      <c r="G396" s="8"/>
      <c r="H396" s="8"/>
      <c r="I396" s="8"/>
      <c r="J396" s="8"/>
      <c r="K396" s="8"/>
      <c r="L396" s="8"/>
      <c r="M396" s="9">
        <v>0</v>
      </c>
      <c r="N396" s="10">
        <v>0</v>
      </c>
      <c r="O396" s="10">
        <v>11211852</v>
      </c>
      <c r="P396" s="10">
        <v>24982728</v>
      </c>
      <c r="Q396" s="8"/>
      <c r="R396" s="8"/>
      <c r="S396" s="8"/>
      <c r="T396" s="8"/>
      <c r="U396" s="8"/>
      <c r="V396" s="8"/>
      <c r="W396" s="8"/>
      <c r="X396" s="10">
        <v>0</v>
      </c>
      <c r="Y396" s="12">
        <v>-11211852</v>
      </c>
      <c r="Z396" s="12">
        <v>-13770876</v>
      </c>
      <c r="AA396" s="13">
        <v>24982728</v>
      </c>
      <c r="AB396" s="8"/>
      <c r="AC396" s="8"/>
      <c r="AD396" s="8"/>
      <c r="AE396" s="8"/>
      <c r="AF396" s="8"/>
      <c r="AG396" s="8"/>
      <c r="AH396" s="8"/>
      <c r="AI396" s="11">
        <v>0</v>
      </c>
      <c r="AJ396" s="10">
        <v>0</v>
      </c>
      <c r="AK396" s="10">
        <v>63749075089.300003</v>
      </c>
      <c r="AL396" s="10">
        <v>151145504242.29999</v>
      </c>
      <c r="AM396" s="8"/>
      <c r="AN396" s="8"/>
      <c r="AO396" s="8"/>
      <c r="AP396" s="8"/>
      <c r="AQ396" s="8"/>
      <c r="AR396" s="8"/>
      <c r="AS396" s="8"/>
      <c r="AT396" s="10">
        <v>0</v>
      </c>
      <c r="AU396" s="14">
        <v>45716</v>
      </c>
      <c r="AV396" s="14">
        <v>45657</v>
      </c>
      <c r="AW396" s="14">
        <v>45291</v>
      </c>
      <c r="AX396" s="8"/>
      <c r="AY396" s="8"/>
      <c r="AZ396" s="8"/>
      <c r="BA396" s="8"/>
      <c r="BB396" s="8"/>
      <c r="BC396" s="8"/>
      <c r="BD396" s="8"/>
      <c r="BE396" s="14">
        <v>41729</v>
      </c>
      <c r="BF396" s="8" t="s">
        <v>35</v>
      </c>
      <c r="BG396" s="8" t="s">
        <v>35</v>
      </c>
      <c r="BH396" s="8" t="s">
        <v>35</v>
      </c>
      <c r="BI396" s="8"/>
      <c r="BJ396" s="8"/>
      <c r="BK396" s="8"/>
      <c r="BL396" s="8"/>
      <c r="BM396" s="8"/>
      <c r="BN396" s="8"/>
      <c r="BO396" s="8"/>
      <c r="BP396" s="8" t="s">
        <v>35</v>
      </c>
      <c r="BQ396" s="8" t="s">
        <v>31</v>
      </c>
      <c r="BR396" s="8" t="s">
        <v>36</v>
      </c>
      <c r="BS396" s="10">
        <v>852272875979825</v>
      </c>
      <c r="BT396" s="8" t="s">
        <v>57</v>
      </c>
      <c r="BU396" s="8" t="s">
        <v>42</v>
      </c>
      <c r="BV396" s="8" t="s">
        <v>42</v>
      </c>
      <c r="BW396" s="8" t="s">
        <v>42</v>
      </c>
      <c r="BX396" s="8"/>
      <c r="BY396" s="8"/>
      <c r="BZ396" s="8"/>
      <c r="CA396" s="8"/>
      <c r="CB396" s="8"/>
      <c r="CC396" s="8"/>
      <c r="CD396" s="8"/>
      <c r="CE396" s="8" t="s">
        <v>27</v>
      </c>
      <c r="CF396" s="8" t="s">
        <v>582</v>
      </c>
      <c r="CG396" s="8" t="s">
        <v>232</v>
      </c>
    </row>
    <row r="397" spans="1:85" ht="15.75" customHeight="1" x14ac:dyDescent="0.35">
      <c r="A397" s="8">
        <v>390</v>
      </c>
      <c r="B397" s="8" t="s">
        <v>583</v>
      </c>
      <c r="C397" s="9">
        <v>0</v>
      </c>
      <c r="D397" s="9">
        <v>0</v>
      </c>
      <c r="E397" s="8"/>
      <c r="F397" s="8"/>
      <c r="G397" s="8"/>
      <c r="H397" s="8"/>
      <c r="I397" s="8"/>
      <c r="J397" s="8"/>
      <c r="K397" s="8"/>
      <c r="L397" s="8"/>
      <c r="M397" s="8"/>
      <c r="N397" s="10">
        <v>0</v>
      </c>
      <c r="O397" s="10">
        <v>0</v>
      </c>
      <c r="P397" s="8"/>
      <c r="Q397" s="8"/>
      <c r="R397" s="8"/>
      <c r="S397" s="8"/>
      <c r="T397" s="8"/>
      <c r="U397" s="8"/>
      <c r="V397" s="8"/>
      <c r="W397" s="8"/>
      <c r="X397" s="8"/>
      <c r="Y397" s="11">
        <v>0</v>
      </c>
      <c r="Z397" s="11">
        <v>0</v>
      </c>
      <c r="AA397" s="8"/>
      <c r="AB397" s="8"/>
      <c r="AC397" s="8"/>
      <c r="AD397" s="8"/>
      <c r="AE397" s="8"/>
      <c r="AF397" s="8"/>
      <c r="AG397" s="8"/>
      <c r="AH397" s="8"/>
      <c r="AI397" s="8"/>
      <c r="AJ397" s="10">
        <v>0</v>
      </c>
      <c r="AK397" s="10">
        <v>0</v>
      </c>
      <c r="AL397" s="8"/>
      <c r="AM397" s="8"/>
      <c r="AN397" s="8"/>
      <c r="AO397" s="8"/>
      <c r="AP397" s="8"/>
      <c r="AQ397" s="8"/>
      <c r="AR397" s="8"/>
      <c r="AS397" s="8"/>
      <c r="AT397" s="8"/>
      <c r="AU397" s="14">
        <v>45443</v>
      </c>
      <c r="AV397" s="14">
        <v>45443</v>
      </c>
      <c r="AW397" s="8"/>
      <c r="AX397" s="8"/>
      <c r="AY397" s="8"/>
      <c r="AZ397" s="8"/>
      <c r="BA397" s="8"/>
      <c r="BB397" s="8"/>
      <c r="BC397" s="8"/>
      <c r="BD397" s="8"/>
      <c r="BE397" s="8"/>
      <c r="BF397" s="8" t="s">
        <v>35</v>
      </c>
      <c r="BG397" s="8" t="s">
        <v>35</v>
      </c>
      <c r="BH397" s="8"/>
      <c r="BI397" s="8"/>
      <c r="BJ397" s="8"/>
      <c r="BK397" s="8"/>
      <c r="BL397" s="8"/>
      <c r="BM397" s="8"/>
      <c r="BN397" s="8"/>
      <c r="BO397" s="8"/>
      <c r="BP397" s="8"/>
      <c r="BQ397" s="8" t="s">
        <v>31</v>
      </c>
      <c r="BR397" s="8" t="s">
        <v>36</v>
      </c>
      <c r="BS397" s="10">
        <v>10792346266099.199</v>
      </c>
      <c r="BT397" s="8"/>
      <c r="BU397" s="8" t="s">
        <v>27</v>
      </c>
      <c r="BV397" s="8" t="s">
        <v>27</v>
      </c>
      <c r="BW397" s="8"/>
      <c r="BX397" s="8"/>
      <c r="BY397" s="8"/>
      <c r="BZ397" s="8"/>
      <c r="CA397" s="8"/>
      <c r="CB397" s="8"/>
      <c r="CC397" s="8"/>
      <c r="CD397" s="8"/>
      <c r="CE397" s="8"/>
      <c r="CF397" s="8" t="s">
        <v>38</v>
      </c>
      <c r="CG397" s="8" t="s">
        <v>39</v>
      </c>
    </row>
    <row r="398" spans="1:85" ht="15.75" customHeight="1" x14ac:dyDescent="0.35">
      <c r="A398" s="8">
        <v>391</v>
      </c>
      <c r="B398" s="8" t="s">
        <v>584</v>
      </c>
      <c r="C398" s="9">
        <v>0</v>
      </c>
      <c r="D398" s="9">
        <v>2.0000000000000002E-5</v>
      </c>
      <c r="E398" s="9">
        <v>1.21E-4</v>
      </c>
      <c r="F398" s="9">
        <v>1.7799999999999999E-4</v>
      </c>
      <c r="G398" s="9">
        <v>2.8800000000000001E-4</v>
      </c>
      <c r="H398" s="9">
        <v>4.3899999999999999E-4</v>
      </c>
      <c r="I398" s="9">
        <v>9.8999999999999994E-5</v>
      </c>
      <c r="J398" s="9">
        <v>1.06E-4</v>
      </c>
      <c r="K398" s="9">
        <v>1.06E-4</v>
      </c>
      <c r="L398" s="9">
        <v>2.2800000000000001E-4</v>
      </c>
      <c r="M398" s="9">
        <v>1.2999999999999999E-5</v>
      </c>
      <c r="N398" s="10">
        <v>0</v>
      </c>
      <c r="O398" s="10">
        <v>1851026</v>
      </c>
      <c r="P398" s="10">
        <v>11144526</v>
      </c>
      <c r="Q398" s="10">
        <v>16443160</v>
      </c>
      <c r="R398" s="10">
        <v>26653960</v>
      </c>
      <c r="S398" s="10">
        <v>40565960</v>
      </c>
      <c r="T398" s="10">
        <v>9138960</v>
      </c>
      <c r="U398" s="10">
        <v>9792960</v>
      </c>
      <c r="V398" s="10">
        <v>9792960</v>
      </c>
      <c r="W398" s="10">
        <v>21044560</v>
      </c>
      <c r="X398" s="10">
        <v>1178800</v>
      </c>
      <c r="Y398" s="12">
        <v>-1851026</v>
      </c>
      <c r="Z398" s="12">
        <v>-9293500</v>
      </c>
      <c r="AA398" s="12">
        <v>-5298634</v>
      </c>
      <c r="AB398" s="12">
        <v>-10210800</v>
      </c>
      <c r="AC398" s="12">
        <v>-13912000</v>
      </c>
      <c r="AD398" s="13">
        <v>31427000</v>
      </c>
      <c r="AE398" s="12">
        <v>-654000</v>
      </c>
      <c r="AF398" s="11">
        <v>0</v>
      </c>
      <c r="AG398" s="12">
        <v>-11251600</v>
      </c>
      <c r="AH398" s="13">
        <v>19865760</v>
      </c>
      <c r="AI398" s="12">
        <v>-73200</v>
      </c>
      <c r="AJ398" s="10">
        <v>0</v>
      </c>
      <c r="AK398" s="10">
        <v>10524683640.6</v>
      </c>
      <c r="AL398" s="10">
        <v>67424382297</v>
      </c>
      <c r="AM398" s="10">
        <v>81599181588.100006</v>
      </c>
      <c r="AN398" s="10">
        <v>93523588612.5</v>
      </c>
      <c r="AO398" s="10">
        <v>128289848403.60001</v>
      </c>
      <c r="AP398" s="10">
        <v>34969980990.400002</v>
      </c>
      <c r="AQ398" s="10">
        <v>39171840003.050003</v>
      </c>
      <c r="AR398" s="10">
        <v>39171840003.050003</v>
      </c>
      <c r="AS398" s="10">
        <v>60897695563.5</v>
      </c>
      <c r="AT398" s="10">
        <v>2726964139.1999998</v>
      </c>
      <c r="AU398" s="14">
        <v>45930</v>
      </c>
      <c r="AV398" s="14">
        <v>45657</v>
      </c>
      <c r="AW398" s="14">
        <v>45291</v>
      </c>
      <c r="AX398" s="14">
        <v>44926</v>
      </c>
      <c r="AY398" s="14">
        <v>44561</v>
      </c>
      <c r="AZ398" s="14">
        <v>44196</v>
      </c>
      <c r="BA398" s="14">
        <v>43830</v>
      </c>
      <c r="BB398" s="14">
        <v>43100</v>
      </c>
      <c r="BC398" s="14">
        <v>43100</v>
      </c>
      <c r="BD398" s="14">
        <v>42735</v>
      </c>
      <c r="BE398" s="14">
        <v>42369</v>
      </c>
      <c r="BF398" s="8" t="s">
        <v>35</v>
      </c>
      <c r="BG398" s="8" t="s">
        <v>35</v>
      </c>
      <c r="BH398" s="8" t="s">
        <v>35</v>
      </c>
      <c r="BI398" s="8" t="s">
        <v>35</v>
      </c>
      <c r="BJ398" s="8" t="s">
        <v>35</v>
      </c>
      <c r="BK398" s="8" t="s">
        <v>35</v>
      </c>
      <c r="BL398" s="8" t="s">
        <v>35</v>
      </c>
      <c r="BM398" s="8" t="s">
        <v>35</v>
      </c>
      <c r="BN398" s="8" t="s">
        <v>35</v>
      </c>
      <c r="BO398" s="8" t="s">
        <v>35</v>
      </c>
      <c r="BP398" s="8" t="s">
        <v>35</v>
      </c>
      <c r="BQ398" s="8" t="s">
        <v>31</v>
      </c>
      <c r="BR398" s="8" t="s">
        <v>36</v>
      </c>
      <c r="BS398" s="10">
        <v>100997137196592</v>
      </c>
      <c r="BT398" s="8" t="s">
        <v>61</v>
      </c>
      <c r="BU398" s="8" t="s">
        <v>27</v>
      </c>
      <c r="BV398" s="8" t="s">
        <v>27</v>
      </c>
      <c r="BW398" s="8" t="s">
        <v>27</v>
      </c>
      <c r="BX398" s="8" t="s">
        <v>27</v>
      </c>
      <c r="BY398" s="8" t="s">
        <v>42</v>
      </c>
      <c r="BZ398" s="8" t="s">
        <v>42</v>
      </c>
      <c r="CA398" s="8" t="s">
        <v>42</v>
      </c>
      <c r="CB398" s="8" t="s">
        <v>27</v>
      </c>
      <c r="CC398" s="8" t="s">
        <v>27</v>
      </c>
      <c r="CD398" s="8" t="s">
        <v>42</v>
      </c>
      <c r="CE398" s="8" t="s">
        <v>27</v>
      </c>
      <c r="CF398" s="8" t="s">
        <v>391</v>
      </c>
      <c r="CG398" s="8" t="s">
        <v>99</v>
      </c>
    </row>
    <row r="399" spans="1:85" ht="15.75" customHeight="1" x14ac:dyDescent="0.35">
      <c r="A399" s="8">
        <v>392</v>
      </c>
      <c r="B399" s="8" t="s">
        <v>585</v>
      </c>
      <c r="C399" s="9">
        <v>0</v>
      </c>
      <c r="D399" s="9">
        <v>0</v>
      </c>
      <c r="E399" s="9">
        <v>1.02E-4</v>
      </c>
      <c r="F399" s="9">
        <v>2.0000000000000001E-4</v>
      </c>
      <c r="G399" s="9">
        <v>2.5669999999999998E-3</v>
      </c>
      <c r="H399" s="9">
        <v>0</v>
      </c>
      <c r="I399" s="8"/>
      <c r="J399" s="8"/>
      <c r="K399" s="8"/>
      <c r="L399" s="8"/>
      <c r="M399" s="9">
        <v>2.1999999999999999E-5</v>
      </c>
      <c r="N399" s="10">
        <v>0</v>
      </c>
      <c r="O399" s="10">
        <v>0</v>
      </c>
      <c r="P399" s="10">
        <v>9439100</v>
      </c>
      <c r="Q399" s="10">
        <v>18512800</v>
      </c>
      <c r="R399" s="10">
        <v>237231000</v>
      </c>
      <c r="S399" s="10">
        <v>0</v>
      </c>
      <c r="T399" s="8"/>
      <c r="U399" s="8"/>
      <c r="V399" s="8"/>
      <c r="W399" s="8"/>
      <c r="X399" s="10">
        <v>2070800</v>
      </c>
      <c r="Y399" s="11">
        <v>0</v>
      </c>
      <c r="Z399" s="12">
        <v>-9439100</v>
      </c>
      <c r="AA399" s="12">
        <v>-9073700</v>
      </c>
      <c r="AB399" s="12">
        <v>-218718200</v>
      </c>
      <c r="AC399" s="13">
        <v>237231000</v>
      </c>
      <c r="AD399" s="11">
        <v>0</v>
      </c>
      <c r="AE399" s="8"/>
      <c r="AF399" s="8"/>
      <c r="AG399" s="8"/>
      <c r="AH399" s="8"/>
      <c r="AI399" s="11">
        <v>0</v>
      </c>
      <c r="AJ399" s="10">
        <v>0</v>
      </c>
      <c r="AK399" s="10">
        <v>0</v>
      </c>
      <c r="AL399" s="10">
        <v>57106554922.949997</v>
      </c>
      <c r="AM399" s="10">
        <v>91869770029.949997</v>
      </c>
      <c r="AN399" s="10">
        <v>832397679562.5</v>
      </c>
      <c r="AO399" s="10">
        <v>0</v>
      </c>
      <c r="AP399" s="8"/>
      <c r="AQ399" s="8"/>
      <c r="AR399" s="8"/>
      <c r="AS399" s="8"/>
      <c r="AT399" s="10">
        <v>6212399957.1999998</v>
      </c>
      <c r="AU399" s="14">
        <v>45382</v>
      </c>
      <c r="AV399" s="14">
        <v>45382</v>
      </c>
      <c r="AW399" s="14">
        <v>45291</v>
      </c>
      <c r="AX399" s="14">
        <v>44926</v>
      </c>
      <c r="AY399" s="14">
        <v>44561</v>
      </c>
      <c r="AZ399" s="14">
        <v>44104</v>
      </c>
      <c r="BA399" s="8"/>
      <c r="BB399" s="8"/>
      <c r="BC399" s="8"/>
      <c r="BD399" s="8"/>
      <c r="BE399" s="14">
        <v>42063</v>
      </c>
      <c r="BF399" s="8" t="s">
        <v>35</v>
      </c>
      <c r="BG399" s="8" t="s">
        <v>35</v>
      </c>
      <c r="BH399" s="8" t="s">
        <v>35</v>
      </c>
      <c r="BI399" s="8" t="s">
        <v>35</v>
      </c>
      <c r="BJ399" s="8" t="s">
        <v>35</v>
      </c>
      <c r="BK399" s="8" t="s">
        <v>35</v>
      </c>
      <c r="BL399" s="8"/>
      <c r="BM399" s="8"/>
      <c r="BN399" s="8"/>
      <c r="BO399" s="8"/>
      <c r="BP399" s="8" t="s">
        <v>35</v>
      </c>
      <c r="BQ399" s="8" t="s">
        <v>31</v>
      </c>
      <c r="BR399" s="8" t="s">
        <v>36</v>
      </c>
      <c r="BS399" s="10">
        <v>602714301957422</v>
      </c>
      <c r="BT399" s="8" t="s">
        <v>61</v>
      </c>
      <c r="BU399" s="8" t="s">
        <v>42</v>
      </c>
      <c r="BV399" s="8" t="s">
        <v>42</v>
      </c>
      <c r="BW399" s="8" t="s">
        <v>42</v>
      </c>
      <c r="BX399" s="8" t="s">
        <v>42</v>
      </c>
      <c r="BY399" s="8" t="s">
        <v>42</v>
      </c>
      <c r="BZ399" s="8" t="s">
        <v>42</v>
      </c>
      <c r="CA399" s="8"/>
      <c r="CB399" s="8"/>
      <c r="CC399" s="8"/>
      <c r="CD399" s="8"/>
      <c r="CE399" s="8" t="s">
        <v>27</v>
      </c>
      <c r="CF399" s="8" t="s">
        <v>38</v>
      </c>
      <c r="CG399" s="8" t="s">
        <v>39</v>
      </c>
    </row>
    <row r="400" spans="1:85" ht="15.75" customHeight="1" x14ac:dyDescent="0.35">
      <c r="A400" s="8">
        <v>393</v>
      </c>
      <c r="B400" s="8" t="s">
        <v>586</v>
      </c>
      <c r="C400" s="9">
        <v>0</v>
      </c>
      <c r="D400" s="9">
        <v>0</v>
      </c>
      <c r="E400" s="9">
        <v>3.4999999999999997E-5</v>
      </c>
      <c r="F400" s="9">
        <v>0</v>
      </c>
      <c r="G400" s="9">
        <v>9.9999999999999995E-7</v>
      </c>
      <c r="H400" s="9">
        <v>1.395E-3</v>
      </c>
      <c r="I400" s="9">
        <v>0</v>
      </c>
      <c r="J400" s="9">
        <v>0</v>
      </c>
      <c r="K400" s="9">
        <v>0</v>
      </c>
      <c r="L400" s="9">
        <v>3.7599999999999998E-4</v>
      </c>
      <c r="M400" s="9">
        <v>3.8900000000000002E-4</v>
      </c>
      <c r="N400" s="10">
        <v>0</v>
      </c>
      <c r="O400" s="10">
        <v>0</v>
      </c>
      <c r="P400" s="10">
        <v>3242500</v>
      </c>
      <c r="Q400" s="10">
        <v>0</v>
      </c>
      <c r="R400" s="10">
        <v>121600</v>
      </c>
      <c r="S400" s="10">
        <v>128889800</v>
      </c>
      <c r="T400" s="10">
        <v>0</v>
      </c>
      <c r="U400" s="10">
        <v>0</v>
      </c>
      <c r="V400" s="10">
        <v>0</v>
      </c>
      <c r="W400" s="10">
        <v>34769152</v>
      </c>
      <c r="X400" s="10">
        <v>35947704</v>
      </c>
      <c r="Y400" s="11">
        <v>0</v>
      </c>
      <c r="Z400" s="12">
        <v>-3242500</v>
      </c>
      <c r="AA400" s="13">
        <v>3242500</v>
      </c>
      <c r="AB400" s="12">
        <v>-121600</v>
      </c>
      <c r="AC400" s="12">
        <v>-128768200</v>
      </c>
      <c r="AD400" s="13">
        <v>128889800</v>
      </c>
      <c r="AE400" s="11">
        <v>0</v>
      </c>
      <c r="AF400" s="11">
        <v>0</v>
      </c>
      <c r="AG400" s="12">
        <v>-34769152</v>
      </c>
      <c r="AH400" s="12">
        <v>-1178552</v>
      </c>
      <c r="AI400" s="13">
        <v>6460992</v>
      </c>
      <c r="AJ400" s="10">
        <v>0</v>
      </c>
      <c r="AK400" s="10">
        <v>0</v>
      </c>
      <c r="AL400" s="10">
        <v>19617124935</v>
      </c>
      <c r="AM400" s="10">
        <v>0</v>
      </c>
      <c r="AN400" s="10">
        <v>358719940.80000001</v>
      </c>
      <c r="AO400" s="10">
        <v>407613992104.79999</v>
      </c>
      <c r="AP400" s="10">
        <v>0</v>
      </c>
      <c r="AQ400" s="10">
        <v>0</v>
      </c>
      <c r="AR400" s="10">
        <v>0</v>
      </c>
      <c r="AS400" s="10">
        <v>100613233684.2</v>
      </c>
      <c r="AT400" s="10">
        <v>83159228474.850006</v>
      </c>
      <c r="AU400" s="14">
        <v>45412</v>
      </c>
      <c r="AV400" s="14">
        <v>45412</v>
      </c>
      <c r="AW400" s="14">
        <v>45291</v>
      </c>
      <c r="AX400" s="14">
        <v>44681</v>
      </c>
      <c r="AY400" s="14">
        <v>44377</v>
      </c>
      <c r="AZ400" s="14">
        <v>44196</v>
      </c>
      <c r="BA400" s="14">
        <v>43343</v>
      </c>
      <c r="BB400" s="14">
        <v>43343</v>
      </c>
      <c r="BC400" s="14">
        <v>42978</v>
      </c>
      <c r="BD400" s="14">
        <v>42735</v>
      </c>
      <c r="BE400" s="14">
        <v>42369</v>
      </c>
      <c r="BF400" s="8" t="s">
        <v>35</v>
      </c>
      <c r="BG400" s="8" t="s">
        <v>35</v>
      </c>
      <c r="BH400" s="8" t="s">
        <v>35</v>
      </c>
      <c r="BI400" s="8" t="s">
        <v>35</v>
      </c>
      <c r="BJ400" s="8" t="s">
        <v>35</v>
      </c>
      <c r="BK400" s="8" t="s">
        <v>35</v>
      </c>
      <c r="BL400" s="8" t="s">
        <v>35</v>
      </c>
      <c r="BM400" s="8" t="s">
        <v>35</v>
      </c>
      <c r="BN400" s="8" t="s">
        <v>35</v>
      </c>
      <c r="BO400" s="8" t="s">
        <v>35</v>
      </c>
      <c r="BP400" s="8" t="s">
        <v>35</v>
      </c>
      <c r="BQ400" s="8" t="s">
        <v>31</v>
      </c>
      <c r="BR400" s="8" t="s">
        <v>49</v>
      </c>
      <c r="BS400" s="10">
        <v>1004202104337530</v>
      </c>
      <c r="BT400" s="8" t="s">
        <v>41</v>
      </c>
      <c r="BU400" s="8" t="s">
        <v>27</v>
      </c>
      <c r="BV400" s="8" t="s">
        <v>27</v>
      </c>
      <c r="BW400" s="8" t="s">
        <v>27</v>
      </c>
      <c r="BX400" s="8" t="s">
        <v>27</v>
      </c>
      <c r="BY400" s="8" t="s">
        <v>27</v>
      </c>
      <c r="BZ400" s="8" t="s">
        <v>27</v>
      </c>
      <c r="CA400" s="8" t="s">
        <v>27</v>
      </c>
      <c r="CB400" s="8" t="s">
        <v>27</v>
      </c>
      <c r="CC400" s="8" t="s">
        <v>42</v>
      </c>
      <c r="CD400" s="8" t="s">
        <v>27</v>
      </c>
      <c r="CE400" s="8" t="s">
        <v>27</v>
      </c>
      <c r="CF400" s="8" t="s">
        <v>50</v>
      </c>
      <c r="CG400" s="8" t="s">
        <v>51</v>
      </c>
    </row>
    <row r="401" spans="1:85" ht="15.75" customHeight="1" x14ac:dyDescent="0.35">
      <c r="A401" s="8">
        <v>394</v>
      </c>
      <c r="B401" s="8" t="s">
        <v>587</v>
      </c>
      <c r="C401" s="9">
        <v>0</v>
      </c>
      <c r="D401" s="9">
        <v>9.9999999999999995E-7</v>
      </c>
      <c r="E401" s="8"/>
      <c r="F401" s="8"/>
      <c r="G401" s="9">
        <v>0</v>
      </c>
      <c r="H401" s="9">
        <v>1.1E-5</v>
      </c>
      <c r="I401" s="9">
        <v>1.2E-5</v>
      </c>
      <c r="J401" s="8"/>
      <c r="K401" s="8"/>
      <c r="L401" s="8"/>
      <c r="M401" s="8"/>
      <c r="N401" s="10">
        <v>0</v>
      </c>
      <c r="O401" s="10">
        <v>75900</v>
      </c>
      <c r="P401" s="8"/>
      <c r="Q401" s="8"/>
      <c r="R401" s="10">
        <v>0</v>
      </c>
      <c r="S401" s="10">
        <v>1050400</v>
      </c>
      <c r="T401" s="10">
        <v>1133600</v>
      </c>
      <c r="U401" s="8"/>
      <c r="V401" s="8"/>
      <c r="W401" s="8"/>
      <c r="X401" s="8"/>
      <c r="Y401" s="12">
        <v>-75900</v>
      </c>
      <c r="Z401" s="13">
        <v>75900</v>
      </c>
      <c r="AA401" s="8"/>
      <c r="AB401" s="8"/>
      <c r="AC401" s="12">
        <v>-1050400</v>
      </c>
      <c r="AD401" s="12">
        <v>-83200</v>
      </c>
      <c r="AE401" s="13">
        <v>1133600</v>
      </c>
      <c r="AF401" s="8"/>
      <c r="AG401" s="8"/>
      <c r="AH401" s="8"/>
      <c r="AI401" s="8"/>
      <c r="AJ401" s="10">
        <v>0</v>
      </c>
      <c r="AK401" s="10">
        <v>431557130.5</v>
      </c>
      <c r="AL401" s="8"/>
      <c r="AM401" s="8"/>
      <c r="AN401" s="10">
        <v>0</v>
      </c>
      <c r="AO401" s="10">
        <v>3321889974</v>
      </c>
      <c r="AP401" s="10">
        <v>4337689462</v>
      </c>
      <c r="AQ401" s="8"/>
      <c r="AR401" s="8"/>
      <c r="AS401" s="8"/>
      <c r="AT401" s="8"/>
      <c r="AU401" s="14">
        <v>45869</v>
      </c>
      <c r="AV401" s="14">
        <v>45657</v>
      </c>
      <c r="AW401" s="8"/>
      <c r="AX401" s="8"/>
      <c r="AY401" s="14">
        <v>44255</v>
      </c>
      <c r="AZ401" s="14">
        <v>44196</v>
      </c>
      <c r="BA401" s="14">
        <v>43830</v>
      </c>
      <c r="BB401" s="8"/>
      <c r="BC401" s="8"/>
      <c r="BD401" s="8"/>
      <c r="BE401" s="8"/>
      <c r="BF401" s="8" t="s">
        <v>35</v>
      </c>
      <c r="BG401" s="8" t="s">
        <v>35</v>
      </c>
      <c r="BH401" s="8"/>
      <c r="BI401" s="8"/>
      <c r="BJ401" s="8" t="s">
        <v>35</v>
      </c>
      <c r="BK401" s="8" t="s">
        <v>35</v>
      </c>
      <c r="BL401" s="8" t="s">
        <v>35</v>
      </c>
      <c r="BM401" s="8"/>
      <c r="BN401" s="8"/>
      <c r="BO401" s="8"/>
      <c r="BP401" s="8"/>
      <c r="BQ401" s="8" t="s">
        <v>31</v>
      </c>
      <c r="BR401" s="8" t="s">
        <v>36</v>
      </c>
      <c r="BS401" s="10">
        <v>561206087281370</v>
      </c>
      <c r="BT401" s="8" t="s">
        <v>41</v>
      </c>
      <c r="BU401" s="8" t="s">
        <v>27</v>
      </c>
      <c r="BV401" s="8" t="s">
        <v>42</v>
      </c>
      <c r="BW401" s="8"/>
      <c r="BX401" s="8"/>
      <c r="BY401" s="8" t="s">
        <v>42</v>
      </c>
      <c r="BZ401" s="8" t="s">
        <v>42</v>
      </c>
      <c r="CA401" s="8" t="s">
        <v>42</v>
      </c>
      <c r="CB401" s="8"/>
      <c r="CC401" s="8"/>
      <c r="CD401" s="8"/>
      <c r="CE401" s="8"/>
      <c r="CF401" s="8" t="s">
        <v>145</v>
      </c>
      <c r="CG401" s="8" t="s">
        <v>146</v>
      </c>
    </row>
    <row r="402" spans="1:85" ht="15.75" customHeight="1" x14ac:dyDescent="0.35">
      <c r="A402" s="8">
        <v>395</v>
      </c>
      <c r="B402" s="8" t="s">
        <v>588</v>
      </c>
      <c r="C402" s="9">
        <v>0</v>
      </c>
      <c r="D402" s="9">
        <v>5.3399999999999997E-4</v>
      </c>
      <c r="E402" s="9">
        <v>1.1069999999999999E-3</v>
      </c>
      <c r="F402" s="9">
        <v>9.5E-4</v>
      </c>
      <c r="G402" s="8"/>
      <c r="H402" s="9">
        <v>0</v>
      </c>
      <c r="I402" s="9">
        <v>0</v>
      </c>
      <c r="J402" s="9">
        <v>8.7900000000000001E-4</v>
      </c>
      <c r="K402" s="9">
        <v>0</v>
      </c>
      <c r="L402" s="9">
        <v>6.0000000000000002E-5</v>
      </c>
      <c r="M402" s="9">
        <v>0</v>
      </c>
      <c r="N402" s="10">
        <v>0</v>
      </c>
      <c r="O402" s="10">
        <v>49379000</v>
      </c>
      <c r="P402" s="10">
        <v>102298300</v>
      </c>
      <c r="Q402" s="10">
        <v>87748200</v>
      </c>
      <c r="R402" s="8"/>
      <c r="S402" s="10">
        <v>0</v>
      </c>
      <c r="T402" s="10">
        <v>0</v>
      </c>
      <c r="U402" s="10">
        <v>81211606</v>
      </c>
      <c r="V402" s="10">
        <v>0</v>
      </c>
      <c r="W402" s="10">
        <v>5573200</v>
      </c>
      <c r="X402" s="10">
        <v>0</v>
      </c>
      <c r="Y402" s="12">
        <v>-49379000</v>
      </c>
      <c r="Z402" s="12">
        <v>-52919300</v>
      </c>
      <c r="AA402" s="13">
        <v>14550100</v>
      </c>
      <c r="AB402" s="13">
        <v>87748200</v>
      </c>
      <c r="AC402" s="8"/>
      <c r="AD402" s="11">
        <v>0</v>
      </c>
      <c r="AE402" s="12">
        <v>-81211606</v>
      </c>
      <c r="AF402" s="13">
        <v>81211606</v>
      </c>
      <c r="AG402" s="12">
        <v>-5573200</v>
      </c>
      <c r="AH402" s="13">
        <v>5573200</v>
      </c>
      <c r="AI402" s="11">
        <v>0</v>
      </c>
      <c r="AJ402" s="10">
        <v>0</v>
      </c>
      <c r="AK402" s="10">
        <v>280762320165.79999</v>
      </c>
      <c r="AL402" s="10">
        <v>618904714576.40002</v>
      </c>
      <c r="AM402" s="10">
        <v>435450442851.04999</v>
      </c>
      <c r="AN402" s="8"/>
      <c r="AO402" s="10">
        <v>0</v>
      </c>
      <c r="AP402" s="10">
        <v>0</v>
      </c>
      <c r="AQ402" s="10">
        <v>295764313568.75</v>
      </c>
      <c r="AR402" s="10">
        <v>0</v>
      </c>
      <c r="AS402" s="10">
        <v>16127447538.6</v>
      </c>
      <c r="AT402" s="10">
        <v>0</v>
      </c>
      <c r="AU402" s="14">
        <v>45716</v>
      </c>
      <c r="AV402" s="14">
        <v>45657</v>
      </c>
      <c r="AW402" s="14">
        <v>45291</v>
      </c>
      <c r="AX402" s="14">
        <v>44926</v>
      </c>
      <c r="AY402" s="8"/>
      <c r="AZ402" s="14">
        <v>43616</v>
      </c>
      <c r="BA402" s="14">
        <v>43616</v>
      </c>
      <c r="BB402" s="14">
        <v>43465</v>
      </c>
      <c r="BC402" s="14">
        <v>42766</v>
      </c>
      <c r="BD402" s="14">
        <v>42735</v>
      </c>
      <c r="BE402" s="14">
        <v>41851</v>
      </c>
      <c r="BF402" s="8" t="s">
        <v>35</v>
      </c>
      <c r="BG402" s="8" t="s">
        <v>35</v>
      </c>
      <c r="BH402" s="8" t="s">
        <v>35</v>
      </c>
      <c r="BI402" s="8" t="s">
        <v>35</v>
      </c>
      <c r="BJ402" s="8"/>
      <c r="BK402" s="8" t="s">
        <v>35</v>
      </c>
      <c r="BL402" s="8" t="s">
        <v>35</v>
      </c>
      <c r="BM402" s="8" t="s">
        <v>35</v>
      </c>
      <c r="BN402" s="8" t="s">
        <v>35</v>
      </c>
      <c r="BO402" s="8" t="s">
        <v>35</v>
      </c>
      <c r="BP402" s="8" t="s">
        <v>35</v>
      </c>
      <c r="BQ402" s="8" t="s">
        <v>31</v>
      </c>
      <c r="BR402" s="8" t="s">
        <v>49</v>
      </c>
      <c r="BS402" s="10">
        <v>283685880833000</v>
      </c>
      <c r="BT402" s="8" t="s">
        <v>67</v>
      </c>
      <c r="BU402" s="8" t="s">
        <v>42</v>
      </c>
      <c r="BV402" s="8" t="s">
        <v>42</v>
      </c>
      <c r="BW402" s="8" t="s">
        <v>43</v>
      </c>
      <c r="BX402" s="8" t="s">
        <v>43</v>
      </c>
      <c r="BY402" s="8"/>
      <c r="BZ402" s="8" t="s">
        <v>43</v>
      </c>
      <c r="CA402" s="8" t="s">
        <v>43</v>
      </c>
      <c r="CB402" s="8" t="s">
        <v>43</v>
      </c>
      <c r="CC402" s="8" t="s">
        <v>43</v>
      </c>
      <c r="CD402" s="8" t="s">
        <v>43</v>
      </c>
      <c r="CE402" s="8" t="s">
        <v>43</v>
      </c>
      <c r="CF402" s="8" t="s">
        <v>80</v>
      </c>
      <c r="CG402" s="8" t="s">
        <v>39</v>
      </c>
    </row>
    <row r="403" spans="1:85" ht="15.75" customHeight="1" x14ac:dyDescent="0.35">
      <c r="A403" s="8">
        <v>396</v>
      </c>
      <c r="B403" s="8" t="s">
        <v>589</v>
      </c>
      <c r="C403" s="9">
        <v>0</v>
      </c>
      <c r="D403" s="9">
        <v>1.9999999999999999E-6</v>
      </c>
      <c r="E403" s="8"/>
      <c r="F403" s="8"/>
      <c r="G403" s="8"/>
      <c r="H403" s="8"/>
      <c r="I403" s="8"/>
      <c r="J403" s="8"/>
      <c r="K403" s="8"/>
      <c r="L403" s="8"/>
      <c r="M403" s="8"/>
      <c r="N403" s="10">
        <v>0</v>
      </c>
      <c r="O403" s="10">
        <v>220900</v>
      </c>
      <c r="P403" s="8"/>
      <c r="Q403" s="8"/>
      <c r="R403" s="8"/>
      <c r="S403" s="8"/>
      <c r="T403" s="8"/>
      <c r="U403" s="8"/>
      <c r="V403" s="8"/>
      <c r="W403" s="8"/>
      <c r="X403" s="8"/>
      <c r="Y403" s="12">
        <v>-220900</v>
      </c>
      <c r="Z403" s="13">
        <v>220900</v>
      </c>
      <c r="AA403" s="8"/>
      <c r="AB403" s="8"/>
      <c r="AC403" s="8"/>
      <c r="AD403" s="8"/>
      <c r="AE403" s="8"/>
      <c r="AF403" s="8"/>
      <c r="AG403" s="8"/>
      <c r="AH403" s="8"/>
      <c r="AI403" s="8"/>
      <c r="AJ403" s="10">
        <v>0</v>
      </c>
      <c r="AK403" s="10">
        <v>1256007604.2</v>
      </c>
      <c r="AL403" s="8"/>
      <c r="AM403" s="8"/>
      <c r="AN403" s="8"/>
      <c r="AO403" s="8"/>
      <c r="AP403" s="8"/>
      <c r="AQ403" s="8"/>
      <c r="AR403" s="8"/>
      <c r="AS403" s="8"/>
      <c r="AT403" s="8"/>
      <c r="AU403" s="14">
        <v>45747</v>
      </c>
      <c r="AV403" s="14">
        <v>45657</v>
      </c>
      <c r="AW403" s="8"/>
      <c r="AX403" s="8"/>
      <c r="AY403" s="8"/>
      <c r="AZ403" s="8"/>
      <c r="BA403" s="8"/>
      <c r="BB403" s="8"/>
      <c r="BC403" s="8"/>
      <c r="BD403" s="8"/>
      <c r="BE403" s="8"/>
      <c r="BF403" s="8" t="s">
        <v>35</v>
      </c>
      <c r="BG403" s="8" t="s">
        <v>35</v>
      </c>
      <c r="BH403" s="8"/>
      <c r="BI403" s="8"/>
      <c r="BJ403" s="8"/>
      <c r="BK403" s="8"/>
      <c r="BL403" s="8"/>
      <c r="BM403" s="8"/>
      <c r="BN403" s="8"/>
      <c r="BO403" s="8"/>
      <c r="BP403" s="8"/>
      <c r="BQ403" s="8" t="s">
        <v>31</v>
      </c>
      <c r="BR403" s="8" t="s">
        <v>36</v>
      </c>
      <c r="BS403" s="10">
        <v>66517590657130.797</v>
      </c>
      <c r="BT403" s="8"/>
      <c r="BU403" s="8" t="s">
        <v>27</v>
      </c>
      <c r="BV403" s="8" t="s">
        <v>27</v>
      </c>
      <c r="BW403" s="8"/>
      <c r="BX403" s="8"/>
      <c r="BY403" s="8"/>
      <c r="BZ403" s="8"/>
      <c r="CA403" s="8"/>
      <c r="CB403" s="8"/>
      <c r="CC403" s="8"/>
      <c r="CD403" s="8"/>
      <c r="CE403" s="8"/>
      <c r="CF403" s="8" t="s">
        <v>58</v>
      </c>
      <c r="CG403" s="8" t="s">
        <v>59</v>
      </c>
    </row>
    <row r="404" spans="1:85" ht="15.75" customHeight="1" x14ac:dyDescent="0.35">
      <c r="A404" s="8">
        <v>397</v>
      </c>
      <c r="B404" s="8" t="s">
        <v>590</v>
      </c>
      <c r="C404" s="9">
        <v>0</v>
      </c>
      <c r="D404" s="9">
        <v>0</v>
      </c>
      <c r="E404" s="8"/>
      <c r="F404" s="8"/>
      <c r="G404" s="8"/>
      <c r="H404" s="8"/>
      <c r="I404" s="8"/>
      <c r="J404" s="9">
        <v>3.4E-5</v>
      </c>
      <c r="K404" s="9">
        <v>3.4E-5</v>
      </c>
      <c r="L404" s="9">
        <v>1.1400000000000001E-4</v>
      </c>
      <c r="M404" s="8"/>
      <c r="N404" s="10">
        <v>0</v>
      </c>
      <c r="O404" s="10">
        <v>2658</v>
      </c>
      <c r="P404" s="8"/>
      <c r="Q404" s="8"/>
      <c r="R404" s="8"/>
      <c r="S404" s="8"/>
      <c r="T404" s="8"/>
      <c r="U404" s="10">
        <v>3096000</v>
      </c>
      <c r="V404" s="10">
        <v>3096000</v>
      </c>
      <c r="W404" s="10">
        <v>10563200</v>
      </c>
      <c r="X404" s="8"/>
      <c r="Y404" s="12">
        <v>-2658</v>
      </c>
      <c r="Z404" s="13">
        <v>2658</v>
      </c>
      <c r="AA404" s="8"/>
      <c r="AB404" s="8"/>
      <c r="AC404" s="8"/>
      <c r="AD404" s="8"/>
      <c r="AE404" s="8"/>
      <c r="AF404" s="11">
        <v>0</v>
      </c>
      <c r="AG404" s="12">
        <v>-7467200</v>
      </c>
      <c r="AH404" s="13">
        <v>10563200</v>
      </c>
      <c r="AI404" s="8"/>
      <c r="AJ404" s="10">
        <v>0</v>
      </c>
      <c r="AK404" s="10">
        <v>15113015.199999999</v>
      </c>
      <c r="AL404" s="8"/>
      <c r="AM404" s="8"/>
      <c r="AN404" s="8"/>
      <c r="AO404" s="8"/>
      <c r="AP404" s="8"/>
      <c r="AQ404" s="10">
        <v>10410300006.6</v>
      </c>
      <c r="AR404" s="10">
        <v>10410300006.6</v>
      </c>
      <c r="AS404" s="10">
        <v>29576960058.419998</v>
      </c>
      <c r="AT404" s="8"/>
      <c r="AU404" s="14">
        <v>45869</v>
      </c>
      <c r="AV404" s="14">
        <v>45657</v>
      </c>
      <c r="AW404" s="8"/>
      <c r="AX404" s="8"/>
      <c r="AY404" s="8"/>
      <c r="AZ404" s="8"/>
      <c r="BA404" s="8"/>
      <c r="BB404" s="14">
        <v>43008</v>
      </c>
      <c r="BC404" s="14">
        <v>43008</v>
      </c>
      <c r="BD404" s="14">
        <v>42643</v>
      </c>
      <c r="BE404" s="8"/>
      <c r="BF404" s="8" t="s">
        <v>35</v>
      </c>
      <c r="BG404" s="8" t="s">
        <v>35</v>
      </c>
      <c r="BH404" s="8"/>
      <c r="BI404" s="8"/>
      <c r="BJ404" s="8"/>
      <c r="BK404" s="8"/>
      <c r="BL404" s="8"/>
      <c r="BM404" s="8" t="s">
        <v>35</v>
      </c>
      <c r="BN404" s="8" t="s">
        <v>35</v>
      </c>
      <c r="BO404" s="8" t="s">
        <v>35</v>
      </c>
      <c r="BP404" s="8"/>
      <c r="BQ404" s="8" t="s">
        <v>31</v>
      </c>
      <c r="BR404" s="8" t="s">
        <v>36</v>
      </c>
      <c r="BS404" s="10">
        <v>169683847081145</v>
      </c>
      <c r="BT404" s="8" t="s">
        <v>61</v>
      </c>
      <c r="BU404" s="8" t="s">
        <v>27</v>
      </c>
      <c r="BV404" s="8" t="s">
        <v>27</v>
      </c>
      <c r="BW404" s="8"/>
      <c r="BX404" s="8"/>
      <c r="BY404" s="8"/>
      <c r="BZ404" s="8"/>
      <c r="CA404" s="8"/>
      <c r="CB404" s="8" t="s">
        <v>27</v>
      </c>
      <c r="CC404" s="8" t="s">
        <v>27</v>
      </c>
      <c r="CD404" s="8" t="s">
        <v>42</v>
      </c>
      <c r="CE404" s="8"/>
      <c r="CF404" s="8" t="s">
        <v>145</v>
      </c>
      <c r="CG404" s="8" t="s">
        <v>146</v>
      </c>
    </row>
    <row r="405" spans="1:85" ht="15.75" customHeight="1" x14ac:dyDescent="0.35">
      <c r="A405" s="8">
        <v>398</v>
      </c>
      <c r="B405" s="8" t="s">
        <v>591</v>
      </c>
      <c r="C405" s="9">
        <v>0</v>
      </c>
      <c r="D405" s="9">
        <v>5.1E-5</v>
      </c>
      <c r="E405" s="8"/>
      <c r="F405" s="8"/>
      <c r="G405" s="8"/>
      <c r="H405" s="8"/>
      <c r="I405" s="9">
        <v>9.9999999999999995E-7</v>
      </c>
      <c r="J405" s="9">
        <v>9.9999999999999995E-7</v>
      </c>
      <c r="K405" s="8"/>
      <c r="L405" s="8"/>
      <c r="M405" s="8"/>
      <c r="N405" s="10">
        <v>0</v>
      </c>
      <c r="O405" s="10">
        <v>4673543</v>
      </c>
      <c r="P405" s="8"/>
      <c r="Q405" s="8"/>
      <c r="R405" s="8"/>
      <c r="S405" s="8"/>
      <c r="T405" s="10">
        <v>116438</v>
      </c>
      <c r="U405" s="10">
        <v>116438</v>
      </c>
      <c r="V405" s="8"/>
      <c r="W405" s="8"/>
      <c r="X405" s="8"/>
      <c r="Y405" s="12">
        <v>-4673543</v>
      </c>
      <c r="Z405" s="13">
        <v>4673543</v>
      </c>
      <c r="AA405" s="8"/>
      <c r="AB405" s="8"/>
      <c r="AC405" s="8"/>
      <c r="AD405" s="8"/>
      <c r="AE405" s="11">
        <v>0</v>
      </c>
      <c r="AF405" s="13">
        <v>116438</v>
      </c>
      <c r="AG405" s="8"/>
      <c r="AH405" s="8"/>
      <c r="AI405" s="8"/>
      <c r="AJ405" s="10">
        <v>0</v>
      </c>
      <c r="AK405" s="10">
        <v>26573133790</v>
      </c>
      <c r="AL405" s="8"/>
      <c r="AM405" s="8"/>
      <c r="AN405" s="8"/>
      <c r="AO405" s="8"/>
      <c r="AP405" s="10">
        <v>391522830</v>
      </c>
      <c r="AQ405" s="10">
        <v>391522830</v>
      </c>
      <c r="AR405" s="8"/>
      <c r="AS405" s="8"/>
      <c r="AT405" s="8"/>
      <c r="AU405" s="14">
        <v>45869</v>
      </c>
      <c r="AV405" s="14">
        <v>45657</v>
      </c>
      <c r="AW405" s="8"/>
      <c r="AX405" s="8"/>
      <c r="AY405" s="8"/>
      <c r="AZ405" s="8"/>
      <c r="BA405" s="14">
        <v>43373</v>
      </c>
      <c r="BB405" s="14">
        <v>43373</v>
      </c>
      <c r="BC405" s="8"/>
      <c r="BD405" s="8"/>
      <c r="BE405" s="8"/>
      <c r="BF405" s="8" t="s">
        <v>35</v>
      </c>
      <c r="BG405" s="8" t="s">
        <v>35</v>
      </c>
      <c r="BH405" s="8"/>
      <c r="BI405" s="8"/>
      <c r="BJ405" s="8"/>
      <c r="BK405" s="8"/>
      <c r="BL405" s="8" t="s">
        <v>35</v>
      </c>
      <c r="BM405" s="8" t="s">
        <v>35</v>
      </c>
      <c r="BN405" s="8"/>
      <c r="BO405" s="8"/>
      <c r="BP405" s="8"/>
      <c r="BQ405" s="8" t="s">
        <v>31</v>
      </c>
      <c r="BR405" s="8" t="s">
        <v>36</v>
      </c>
      <c r="BS405" s="10">
        <v>15153071161549.199</v>
      </c>
      <c r="BT405" s="8"/>
      <c r="BU405" s="8" t="s">
        <v>27</v>
      </c>
      <c r="BV405" s="8" t="s">
        <v>42</v>
      </c>
      <c r="BW405" s="8"/>
      <c r="BX405" s="8"/>
      <c r="BY405" s="8"/>
      <c r="BZ405" s="8"/>
      <c r="CA405" s="8"/>
      <c r="CB405" s="8"/>
      <c r="CC405" s="8"/>
      <c r="CD405" s="8"/>
      <c r="CE405" s="8"/>
      <c r="CF405" s="8" t="s">
        <v>232</v>
      </c>
      <c r="CG405" s="8" t="s">
        <v>232</v>
      </c>
    </row>
    <row r="406" spans="1:85" ht="15.75" customHeight="1" x14ac:dyDescent="0.35">
      <c r="A406" s="8">
        <v>399</v>
      </c>
      <c r="B406" s="8" t="s">
        <v>592</v>
      </c>
      <c r="C406" s="9">
        <v>0</v>
      </c>
      <c r="D406" s="9">
        <v>0</v>
      </c>
      <c r="E406" s="9">
        <v>1.4100000000000001E-4</v>
      </c>
      <c r="F406" s="9">
        <v>5.7000000000000003E-5</v>
      </c>
      <c r="G406" s="8"/>
      <c r="H406" s="9">
        <v>1.2999999999999999E-5</v>
      </c>
      <c r="I406" s="9">
        <v>1.2999999999999999E-5</v>
      </c>
      <c r="J406" s="8"/>
      <c r="K406" s="8"/>
      <c r="L406" s="8"/>
      <c r="M406" s="8"/>
      <c r="N406" s="10">
        <v>0</v>
      </c>
      <c r="O406" s="10">
        <v>0</v>
      </c>
      <c r="P406" s="10">
        <v>12984000</v>
      </c>
      <c r="Q406" s="10">
        <v>5222400</v>
      </c>
      <c r="R406" s="8"/>
      <c r="S406" s="10">
        <v>1167400</v>
      </c>
      <c r="T406" s="10">
        <v>1167400</v>
      </c>
      <c r="U406" s="8"/>
      <c r="V406" s="8"/>
      <c r="W406" s="8"/>
      <c r="X406" s="8"/>
      <c r="Y406" s="11">
        <v>0</v>
      </c>
      <c r="Z406" s="12">
        <v>-12984000</v>
      </c>
      <c r="AA406" s="13">
        <v>7761600</v>
      </c>
      <c r="AB406" s="13">
        <v>5222400</v>
      </c>
      <c r="AC406" s="8"/>
      <c r="AD406" s="11">
        <v>0</v>
      </c>
      <c r="AE406" s="13">
        <v>1167400</v>
      </c>
      <c r="AF406" s="8"/>
      <c r="AG406" s="8"/>
      <c r="AH406" s="8"/>
      <c r="AI406" s="8"/>
      <c r="AJ406" s="10">
        <v>0</v>
      </c>
      <c r="AK406" s="10">
        <v>0</v>
      </c>
      <c r="AL406" s="10">
        <v>78553199951</v>
      </c>
      <c r="AM406" s="10">
        <v>25916160041.75</v>
      </c>
      <c r="AN406" s="8"/>
      <c r="AO406" s="10">
        <v>4348565024.6999998</v>
      </c>
      <c r="AP406" s="10">
        <v>4348565024.6999998</v>
      </c>
      <c r="AQ406" s="8"/>
      <c r="AR406" s="8"/>
      <c r="AS406" s="8"/>
      <c r="AT406" s="8"/>
      <c r="AU406" s="14">
        <v>45473</v>
      </c>
      <c r="AV406" s="14">
        <v>45473</v>
      </c>
      <c r="AW406" s="14">
        <v>45291</v>
      </c>
      <c r="AX406" s="14">
        <v>44926</v>
      </c>
      <c r="AY406" s="8"/>
      <c r="AZ406" s="14">
        <v>43555</v>
      </c>
      <c r="BA406" s="14">
        <v>43555</v>
      </c>
      <c r="BB406" s="8"/>
      <c r="BC406" s="8"/>
      <c r="BD406" s="8"/>
      <c r="BE406" s="8"/>
      <c r="BF406" s="8" t="s">
        <v>35</v>
      </c>
      <c r="BG406" s="8" t="s">
        <v>35</v>
      </c>
      <c r="BH406" s="8" t="s">
        <v>35</v>
      </c>
      <c r="BI406" s="8" t="s">
        <v>35</v>
      </c>
      <c r="BJ406" s="8"/>
      <c r="BK406" s="8" t="s">
        <v>35</v>
      </c>
      <c r="BL406" s="8" t="s">
        <v>35</v>
      </c>
      <c r="BM406" s="8"/>
      <c r="BN406" s="8"/>
      <c r="BO406" s="8"/>
      <c r="BP406" s="8"/>
      <c r="BQ406" s="8" t="s">
        <v>31</v>
      </c>
      <c r="BR406" s="8" t="s">
        <v>36</v>
      </c>
      <c r="BS406" s="10">
        <v>404300288453581</v>
      </c>
      <c r="BT406" s="8" t="s">
        <v>37</v>
      </c>
      <c r="BU406" s="8" t="s">
        <v>27</v>
      </c>
      <c r="BV406" s="8" t="s">
        <v>27</v>
      </c>
      <c r="BW406" s="8" t="s">
        <v>27</v>
      </c>
      <c r="BX406" s="8" t="s">
        <v>27</v>
      </c>
      <c r="BY406" s="8"/>
      <c r="BZ406" s="8" t="s">
        <v>42</v>
      </c>
      <c r="CA406" s="8" t="s">
        <v>27</v>
      </c>
      <c r="CB406" s="8"/>
      <c r="CC406" s="8"/>
      <c r="CD406" s="8"/>
      <c r="CE406" s="8"/>
      <c r="CF406" s="8" t="s">
        <v>82</v>
      </c>
      <c r="CG406" s="8" t="s">
        <v>39</v>
      </c>
    </row>
    <row r="407" spans="1:85" ht="15.75" customHeight="1" x14ac:dyDescent="0.35">
      <c r="A407" s="8">
        <v>400</v>
      </c>
      <c r="B407" s="8" t="s">
        <v>593</v>
      </c>
      <c r="C407" s="9">
        <v>0</v>
      </c>
      <c r="D407" s="9">
        <v>1.9000000000000001E-5</v>
      </c>
      <c r="E407" s="8"/>
      <c r="F407" s="8"/>
      <c r="G407" s="8"/>
      <c r="H407" s="8"/>
      <c r="I407" s="8"/>
      <c r="J407" s="8"/>
      <c r="K407" s="8"/>
      <c r="L407" s="8"/>
      <c r="M407" s="8"/>
      <c r="N407" s="10">
        <v>0</v>
      </c>
      <c r="O407" s="10">
        <v>1767299</v>
      </c>
      <c r="P407" s="8"/>
      <c r="Q407" s="8"/>
      <c r="R407" s="8"/>
      <c r="S407" s="8"/>
      <c r="T407" s="8"/>
      <c r="U407" s="8"/>
      <c r="V407" s="8"/>
      <c r="W407" s="8"/>
      <c r="X407" s="8"/>
      <c r="Y407" s="12">
        <v>-1767299</v>
      </c>
      <c r="Z407" s="13">
        <v>1767299</v>
      </c>
      <c r="AA407" s="8"/>
      <c r="AB407" s="8"/>
      <c r="AC407" s="8"/>
      <c r="AD407" s="8"/>
      <c r="AE407" s="8"/>
      <c r="AF407" s="8"/>
      <c r="AG407" s="8"/>
      <c r="AH407" s="8"/>
      <c r="AI407" s="8"/>
      <c r="AJ407" s="10">
        <v>0</v>
      </c>
      <c r="AK407" s="10">
        <v>10048623179.1</v>
      </c>
      <c r="AL407" s="8"/>
      <c r="AM407" s="8"/>
      <c r="AN407" s="8"/>
      <c r="AO407" s="8"/>
      <c r="AP407" s="8"/>
      <c r="AQ407" s="8"/>
      <c r="AR407" s="8"/>
      <c r="AS407" s="8"/>
      <c r="AT407" s="8"/>
      <c r="AU407" s="14">
        <v>45838</v>
      </c>
      <c r="AV407" s="14">
        <v>45657</v>
      </c>
      <c r="AW407" s="8"/>
      <c r="AX407" s="8"/>
      <c r="AY407" s="8"/>
      <c r="AZ407" s="8"/>
      <c r="BA407" s="8"/>
      <c r="BB407" s="8"/>
      <c r="BC407" s="8"/>
      <c r="BD407" s="8"/>
      <c r="BE407" s="8"/>
      <c r="BF407" s="8" t="s">
        <v>35</v>
      </c>
      <c r="BG407" s="8" t="s">
        <v>35</v>
      </c>
      <c r="BH407" s="8"/>
      <c r="BI407" s="8"/>
      <c r="BJ407" s="8"/>
      <c r="BK407" s="8"/>
      <c r="BL407" s="8"/>
      <c r="BM407" s="8"/>
      <c r="BN407" s="8"/>
      <c r="BO407" s="8"/>
      <c r="BP407" s="8"/>
      <c r="BQ407" s="8" t="s">
        <v>31</v>
      </c>
      <c r="BR407" s="8" t="s">
        <v>101</v>
      </c>
      <c r="BS407" s="10">
        <v>4220711169840</v>
      </c>
      <c r="BT407" s="8" t="s">
        <v>101</v>
      </c>
      <c r="BU407" s="8" t="s">
        <v>43</v>
      </c>
      <c r="BV407" s="8" t="s">
        <v>43</v>
      </c>
      <c r="BW407" s="8"/>
      <c r="BX407" s="8"/>
      <c r="BY407" s="8"/>
      <c r="BZ407" s="8"/>
      <c r="CA407" s="8"/>
      <c r="CB407" s="8"/>
      <c r="CC407" s="8"/>
      <c r="CD407" s="8"/>
      <c r="CE407" s="8"/>
      <c r="CF407" s="8" t="s">
        <v>50</v>
      </c>
      <c r="CG407" s="8" t="s">
        <v>51</v>
      </c>
    </row>
    <row r="408" spans="1:85" ht="15.75" customHeight="1" x14ac:dyDescent="0.35">
      <c r="A408" s="8">
        <v>401</v>
      </c>
      <c r="B408" s="8" t="s">
        <v>594</v>
      </c>
      <c r="C408" s="9">
        <v>0</v>
      </c>
      <c r="D408" s="9">
        <v>5.0000000000000004E-6</v>
      </c>
      <c r="E408" s="9">
        <v>5.0000000000000004E-6</v>
      </c>
      <c r="F408" s="9">
        <v>1.9000000000000001E-5</v>
      </c>
      <c r="G408" s="9">
        <v>4.8999999999999998E-5</v>
      </c>
      <c r="H408" s="9">
        <v>6.3E-5</v>
      </c>
      <c r="I408" s="8"/>
      <c r="J408" s="8"/>
      <c r="K408" s="8"/>
      <c r="L408" s="8"/>
      <c r="M408" s="8"/>
      <c r="N408" s="10">
        <v>0</v>
      </c>
      <c r="O408" s="10">
        <v>462536</v>
      </c>
      <c r="P408" s="10">
        <v>475228</v>
      </c>
      <c r="Q408" s="10">
        <v>1785820</v>
      </c>
      <c r="R408" s="10">
        <v>4546234</v>
      </c>
      <c r="S408" s="10">
        <v>5828468</v>
      </c>
      <c r="T408" s="8"/>
      <c r="U408" s="8"/>
      <c r="V408" s="8"/>
      <c r="W408" s="8"/>
      <c r="X408" s="8"/>
      <c r="Y408" s="12">
        <v>-462536</v>
      </c>
      <c r="Z408" s="12">
        <v>-12692</v>
      </c>
      <c r="AA408" s="12">
        <v>-1310592</v>
      </c>
      <c r="AB408" s="12">
        <v>-2760414</v>
      </c>
      <c r="AC408" s="12">
        <v>-1282234</v>
      </c>
      <c r="AD408" s="13">
        <v>5828468</v>
      </c>
      <c r="AE408" s="8"/>
      <c r="AF408" s="8"/>
      <c r="AG408" s="8"/>
      <c r="AH408" s="8"/>
      <c r="AI408" s="8"/>
      <c r="AJ408" s="10">
        <v>0</v>
      </c>
      <c r="AK408" s="10">
        <v>2629917257.8000002</v>
      </c>
      <c r="AL408" s="10">
        <v>2875129403.25</v>
      </c>
      <c r="AM408" s="10">
        <v>8862131826.3500004</v>
      </c>
      <c r="AN408" s="10">
        <v>15951855555</v>
      </c>
      <c r="AO408" s="10">
        <v>18432529970.400002</v>
      </c>
      <c r="AP408" s="8"/>
      <c r="AQ408" s="8"/>
      <c r="AR408" s="8"/>
      <c r="AS408" s="8"/>
      <c r="AT408" s="8"/>
      <c r="AU408" s="14">
        <v>45838</v>
      </c>
      <c r="AV408" s="14">
        <v>45657</v>
      </c>
      <c r="AW408" s="14">
        <v>45291</v>
      </c>
      <c r="AX408" s="14">
        <v>44926</v>
      </c>
      <c r="AY408" s="14">
        <v>44561</v>
      </c>
      <c r="AZ408" s="14">
        <v>44196</v>
      </c>
      <c r="BA408" s="8"/>
      <c r="BB408" s="8"/>
      <c r="BC408" s="8"/>
      <c r="BD408" s="8"/>
      <c r="BE408" s="8"/>
      <c r="BF408" s="8" t="s">
        <v>35</v>
      </c>
      <c r="BG408" s="8" t="s">
        <v>35</v>
      </c>
      <c r="BH408" s="8" t="s">
        <v>35</v>
      </c>
      <c r="BI408" s="8" t="s">
        <v>35</v>
      </c>
      <c r="BJ408" s="8" t="s">
        <v>35</v>
      </c>
      <c r="BK408" s="8" t="s">
        <v>35</v>
      </c>
      <c r="BL408" s="8"/>
      <c r="BM408" s="8"/>
      <c r="BN408" s="8"/>
      <c r="BO408" s="8"/>
      <c r="BP408" s="8"/>
      <c r="BQ408" s="8" t="s">
        <v>31</v>
      </c>
      <c r="BR408" s="8" t="s">
        <v>36</v>
      </c>
      <c r="BS408" s="10">
        <v>2834300956053230</v>
      </c>
      <c r="BT408" s="8" t="s">
        <v>57</v>
      </c>
      <c r="BU408" s="8" t="s">
        <v>27</v>
      </c>
      <c r="BV408" s="8" t="s">
        <v>27</v>
      </c>
      <c r="BW408" s="8" t="s">
        <v>27</v>
      </c>
      <c r="BX408" s="8" t="s">
        <v>27</v>
      </c>
      <c r="BY408" s="8" t="s">
        <v>27</v>
      </c>
      <c r="BZ408" s="8" t="s">
        <v>27</v>
      </c>
      <c r="CA408" s="8"/>
      <c r="CB408" s="8"/>
      <c r="CC408" s="8"/>
      <c r="CD408" s="8"/>
      <c r="CE408" s="8"/>
      <c r="CF408" s="8" t="s">
        <v>595</v>
      </c>
      <c r="CG408" s="8" t="s">
        <v>39</v>
      </c>
    </row>
    <row r="409" spans="1:85" ht="15.75" customHeight="1" x14ac:dyDescent="0.35">
      <c r="A409" s="8">
        <v>402</v>
      </c>
      <c r="B409" s="8" t="s">
        <v>596</v>
      </c>
      <c r="C409" s="9">
        <v>0</v>
      </c>
      <c r="D409" s="9">
        <v>0</v>
      </c>
      <c r="E409" s="9">
        <v>3.9999999999999998E-6</v>
      </c>
      <c r="F409" s="9">
        <v>1.9999999999999999E-6</v>
      </c>
      <c r="G409" s="9">
        <v>6.0000000000000002E-6</v>
      </c>
      <c r="H409" s="9">
        <v>6.0000000000000002E-6</v>
      </c>
      <c r="I409" s="9">
        <v>1.13E-4</v>
      </c>
      <c r="J409" s="9">
        <v>2.0999999999999999E-5</v>
      </c>
      <c r="K409" s="9">
        <v>2.9E-5</v>
      </c>
      <c r="L409" s="9">
        <v>3.4E-5</v>
      </c>
      <c r="M409" s="9">
        <v>4.1999999999999998E-5</v>
      </c>
      <c r="N409" s="10">
        <v>0</v>
      </c>
      <c r="O409" s="10">
        <v>0</v>
      </c>
      <c r="P409" s="10">
        <v>362438</v>
      </c>
      <c r="Q409" s="10">
        <v>219420</v>
      </c>
      <c r="R409" s="10">
        <v>538200</v>
      </c>
      <c r="S409" s="10">
        <v>538200</v>
      </c>
      <c r="T409" s="10">
        <v>10398284</v>
      </c>
      <c r="U409" s="10">
        <v>1935444</v>
      </c>
      <c r="V409" s="10">
        <v>2701548</v>
      </c>
      <c r="W409" s="10">
        <v>3141500</v>
      </c>
      <c r="X409" s="10">
        <v>3866412</v>
      </c>
      <c r="Y409" s="11">
        <v>0</v>
      </c>
      <c r="Z409" s="12">
        <v>-362438</v>
      </c>
      <c r="AA409" s="13">
        <v>143018</v>
      </c>
      <c r="AB409" s="12">
        <v>-318780</v>
      </c>
      <c r="AC409" s="11">
        <v>0</v>
      </c>
      <c r="AD409" s="12">
        <v>-9860084</v>
      </c>
      <c r="AE409" s="13">
        <v>8462840</v>
      </c>
      <c r="AF409" s="12">
        <v>-766104</v>
      </c>
      <c r="AG409" s="12">
        <v>-439952</v>
      </c>
      <c r="AH409" s="12">
        <v>-724912</v>
      </c>
      <c r="AI409" s="12">
        <v>-720740</v>
      </c>
      <c r="AJ409" s="10">
        <v>0</v>
      </c>
      <c r="AK409" s="10">
        <v>0</v>
      </c>
      <c r="AL409" s="10">
        <v>2192749877</v>
      </c>
      <c r="AM409" s="10">
        <v>1088871677.3</v>
      </c>
      <c r="AN409" s="10">
        <v>1702057546.8</v>
      </c>
      <c r="AO409" s="10">
        <v>1702057546.8</v>
      </c>
      <c r="AP409" s="10">
        <v>39788749864.400002</v>
      </c>
      <c r="AQ409" s="10">
        <v>7048687956.25</v>
      </c>
      <c r="AR409" s="10">
        <v>10806191944.549999</v>
      </c>
      <c r="AS409" s="10">
        <v>9090715632.2999992</v>
      </c>
      <c r="AT409" s="10">
        <v>8944321983.8999996</v>
      </c>
      <c r="AU409" s="14">
        <v>45382</v>
      </c>
      <c r="AV409" s="14">
        <v>45382</v>
      </c>
      <c r="AW409" s="14">
        <v>45291</v>
      </c>
      <c r="AX409" s="14">
        <v>44926</v>
      </c>
      <c r="AY409" s="14">
        <v>44196</v>
      </c>
      <c r="AZ409" s="14">
        <v>44196</v>
      </c>
      <c r="BA409" s="14">
        <v>43830</v>
      </c>
      <c r="BB409" s="14">
        <v>43465</v>
      </c>
      <c r="BC409" s="14">
        <v>43100</v>
      </c>
      <c r="BD409" s="14">
        <v>42735</v>
      </c>
      <c r="BE409" s="14">
        <v>42369</v>
      </c>
      <c r="BF409" s="8" t="s">
        <v>35</v>
      </c>
      <c r="BG409" s="8" t="s">
        <v>35</v>
      </c>
      <c r="BH409" s="8" t="s">
        <v>35</v>
      </c>
      <c r="BI409" s="8" t="s">
        <v>35</v>
      </c>
      <c r="BJ409" s="8" t="s">
        <v>35</v>
      </c>
      <c r="BK409" s="8" t="s">
        <v>35</v>
      </c>
      <c r="BL409" s="8" t="s">
        <v>35</v>
      </c>
      <c r="BM409" s="8" t="s">
        <v>35</v>
      </c>
      <c r="BN409" s="8" t="s">
        <v>35</v>
      </c>
      <c r="BO409" s="8" t="s">
        <v>35</v>
      </c>
      <c r="BP409" s="8" t="s">
        <v>35</v>
      </c>
      <c r="BQ409" s="8" t="s">
        <v>31</v>
      </c>
      <c r="BR409" s="8" t="s">
        <v>36</v>
      </c>
      <c r="BS409" s="10">
        <v>1410547193394130</v>
      </c>
      <c r="BT409" s="8" t="s">
        <v>57</v>
      </c>
      <c r="BU409" s="8" t="s">
        <v>27</v>
      </c>
      <c r="BV409" s="8" t="s">
        <v>42</v>
      </c>
      <c r="BW409" s="8" t="s">
        <v>42</v>
      </c>
      <c r="BX409" s="8" t="s">
        <v>42</v>
      </c>
      <c r="BY409" s="8" t="s">
        <v>42</v>
      </c>
      <c r="BZ409" s="8" t="s">
        <v>42</v>
      </c>
      <c r="CA409" s="8" t="s">
        <v>42</v>
      </c>
      <c r="CB409" s="8" t="s">
        <v>42</v>
      </c>
      <c r="CC409" s="8" t="s">
        <v>27</v>
      </c>
      <c r="CD409" s="8" t="s">
        <v>42</v>
      </c>
      <c r="CE409" s="8" t="s">
        <v>42</v>
      </c>
      <c r="CF409" s="8" t="s">
        <v>114</v>
      </c>
      <c r="CG409" s="8" t="s">
        <v>115</v>
      </c>
    </row>
    <row r="410" spans="1:85" ht="15.75" customHeight="1" x14ac:dyDescent="0.35">
      <c r="A410" s="8">
        <v>403</v>
      </c>
      <c r="B410" s="8" t="s">
        <v>597</v>
      </c>
      <c r="C410" s="9">
        <v>0</v>
      </c>
      <c r="D410" s="9">
        <v>9.8999999999999999E-4</v>
      </c>
      <c r="E410" s="8"/>
      <c r="F410" s="8"/>
      <c r="G410" s="8"/>
      <c r="H410" s="8"/>
      <c r="I410" s="8"/>
      <c r="J410" s="8"/>
      <c r="K410" s="9">
        <v>0</v>
      </c>
      <c r="L410" s="9">
        <v>0</v>
      </c>
      <c r="M410" s="8"/>
      <c r="N410" s="10">
        <v>0</v>
      </c>
      <c r="O410" s="10">
        <v>91438900</v>
      </c>
      <c r="P410" s="8"/>
      <c r="Q410" s="8"/>
      <c r="R410" s="8"/>
      <c r="S410" s="8"/>
      <c r="T410" s="8"/>
      <c r="U410" s="8"/>
      <c r="V410" s="10">
        <v>0</v>
      </c>
      <c r="W410" s="10">
        <v>0</v>
      </c>
      <c r="X410" s="8"/>
      <c r="Y410" s="12">
        <v>-91438900</v>
      </c>
      <c r="Z410" s="13">
        <v>91438900</v>
      </c>
      <c r="AA410" s="8"/>
      <c r="AB410" s="8"/>
      <c r="AC410" s="8"/>
      <c r="AD410" s="8"/>
      <c r="AE410" s="8"/>
      <c r="AF410" s="8"/>
      <c r="AG410" s="11">
        <v>0</v>
      </c>
      <c r="AH410" s="11">
        <v>0</v>
      </c>
      <c r="AI410" s="8"/>
      <c r="AJ410" s="10">
        <v>0</v>
      </c>
      <c r="AK410" s="10">
        <v>519909226843.20001</v>
      </c>
      <c r="AL410" s="8"/>
      <c r="AM410" s="8"/>
      <c r="AN410" s="8"/>
      <c r="AO410" s="8"/>
      <c r="AP410" s="8"/>
      <c r="AQ410" s="8"/>
      <c r="AR410" s="10">
        <v>0</v>
      </c>
      <c r="AS410" s="10">
        <v>0</v>
      </c>
      <c r="AT410" s="8"/>
      <c r="AU410" s="14">
        <v>45716</v>
      </c>
      <c r="AV410" s="14">
        <v>45657</v>
      </c>
      <c r="AW410" s="8"/>
      <c r="AX410" s="8"/>
      <c r="AY410" s="8"/>
      <c r="AZ410" s="8"/>
      <c r="BA410" s="8"/>
      <c r="BB410" s="8"/>
      <c r="BC410" s="14">
        <v>42674</v>
      </c>
      <c r="BD410" s="14">
        <v>42674</v>
      </c>
      <c r="BE410" s="8"/>
      <c r="BF410" s="8" t="s">
        <v>35</v>
      </c>
      <c r="BG410" s="8" t="s">
        <v>35</v>
      </c>
      <c r="BH410" s="8"/>
      <c r="BI410" s="8"/>
      <c r="BJ410" s="8"/>
      <c r="BK410" s="8"/>
      <c r="BL410" s="8"/>
      <c r="BM410" s="8"/>
      <c r="BN410" s="8" t="s">
        <v>35</v>
      </c>
      <c r="BO410" s="8" t="s">
        <v>35</v>
      </c>
      <c r="BP410" s="8"/>
      <c r="BQ410" s="8" t="s">
        <v>31</v>
      </c>
      <c r="BR410" s="8" t="s">
        <v>36</v>
      </c>
      <c r="BS410" s="10">
        <v>192910051805202</v>
      </c>
      <c r="BT410" s="8" t="s">
        <v>33</v>
      </c>
      <c r="BU410" s="8" t="s">
        <v>27</v>
      </c>
      <c r="BV410" s="8" t="s">
        <v>42</v>
      </c>
      <c r="BW410" s="8"/>
      <c r="BX410" s="8"/>
      <c r="BY410" s="8"/>
      <c r="BZ410" s="8"/>
      <c r="CA410" s="8"/>
      <c r="CB410" s="8"/>
      <c r="CC410" s="8" t="s">
        <v>42</v>
      </c>
      <c r="CD410" s="8" t="s">
        <v>43</v>
      </c>
      <c r="CE410" s="8"/>
      <c r="CF410" s="8" t="s">
        <v>70</v>
      </c>
      <c r="CG410" s="8" t="s">
        <v>71</v>
      </c>
    </row>
    <row r="411" spans="1:85" ht="15.75" customHeight="1" x14ac:dyDescent="0.35">
      <c r="A411" s="8">
        <v>404</v>
      </c>
      <c r="B411" s="8" t="s">
        <v>598</v>
      </c>
      <c r="C411" s="9">
        <v>0</v>
      </c>
      <c r="D411" s="9">
        <v>0</v>
      </c>
      <c r="E411" s="9">
        <v>6.0000000000000002E-6</v>
      </c>
      <c r="F411" s="9">
        <v>5.0000000000000004E-6</v>
      </c>
      <c r="G411" s="9">
        <v>6.9999999999999999E-6</v>
      </c>
      <c r="H411" s="9">
        <v>1.5999999999999999E-5</v>
      </c>
      <c r="I411" s="9">
        <v>1.1E-5</v>
      </c>
      <c r="J411" s="9">
        <v>6.9999999999999999E-6</v>
      </c>
      <c r="K411" s="9">
        <v>1.0000000000000001E-5</v>
      </c>
      <c r="L411" s="8"/>
      <c r="M411" s="8"/>
      <c r="N411" s="10">
        <v>0</v>
      </c>
      <c r="O411" s="10">
        <v>0</v>
      </c>
      <c r="P411" s="10">
        <v>555300</v>
      </c>
      <c r="Q411" s="10">
        <v>461400</v>
      </c>
      <c r="R411" s="10">
        <v>616400</v>
      </c>
      <c r="S411" s="10">
        <v>1482800</v>
      </c>
      <c r="T411" s="10">
        <v>1058400</v>
      </c>
      <c r="U411" s="10">
        <v>676200</v>
      </c>
      <c r="V411" s="10">
        <v>926000</v>
      </c>
      <c r="W411" s="8"/>
      <c r="X411" s="8"/>
      <c r="Y411" s="11">
        <v>0</v>
      </c>
      <c r="Z411" s="12">
        <v>-555300</v>
      </c>
      <c r="AA411" s="13">
        <v>93900</v>
      </c>
      <c r="AB411" s="12">
        <v>-155000</v>
      </c>
      <c r="AC411" s="12">
        <v>-866400</v>
      </c>
      <c r="AD411" s="13">
        <v>424400</v>
      </c>
      <c r="AE411" s="13">
        <v>382200</v>
      </c>
      <c r="AF411" s="12">
        <v>-249800</v>
      </c>
      <c r="AG411" s="13">
        <v>926000</v>
      </c>
      <c r="AH411" s="8"/>
      <c r="AI411" s="8"/>
      <c r="AJ411" s="10">
        <v>0</v>
      </c>
      <c r="AK411" s="10">
        <v>0</v>
      </c>
      <c r="AL411" s="10">
        <v>3359564945.9000001</v>
      </c>
      <c r="AM411" s="10">
        <v>2289697574.4499998</v>
      </c>
      <c r="AN411" s="10">
        <v>2162828377.5</v>
      </c>
      <c r="AO411" s="10">
        <v>4689354945.6000004</v>
      </c>
      <c r="AP411" s="10">
        <v>4049938740.4000001</v>
      </c>
      <c r="AQ411" s="10">
        <v>2462650825</v>
      </c>
      <c r="AR411" s="10">
        <v>3704000027.9000001</v>
      </c>
      <c r="AS411" s="8"/>
      <c r="AT411" s="8"/>
      <c r="AU411" s="14">
        <v>45412</v>
      </c>
      <c r="AV411" s="14">
        <v>45412</v>
      </c>
      <c r="AW411" s="14">
        <v>45291</v>
      </c>
      <c r="AX411" s="14">
        <v>44926</v>
      </c>
      <c r="AY411" s="14">
        <v>44561</v>
      </c>
      <c r="AZ411" s="14">
        <v>44196</v>
      </c>
      <c r="BA411" s="14">
        <v>43830</v>
      </c>
      <c r="BB411" s="14">
        <v>43465</v>
      </c>
      <c r="BC411" s="14">
        <v>43100</v>
      </c>
      <c r="BD411" s="8"/>
      <c r="BE411" s="8"/>
      <c r="BF411" s="8" t="s">
        <v>35</v>
      </c>
      <c r="BG411" s="8" t="s">
        <v>35</v>
      </c>
      <c r="BH411" s="8" t="s">
        <v>35</v>
      </c>
      <c r="BI411" s="8" t="s">
        <v>35</v>
      </c>
      <c r="BJ411" s="8" t="s">
        <v>35</v>
      </c>
      <c r="BK411" s="8" t="s">
        <v>35</v>
      </c>
      <c r="BL411" s="8" t="s">
        <v>35</v>
      </c>
      <c r="BM411" s="8" t="s">
        <v>35</v>
      </c>
      <c r="BN411" s="8" t="s">
        <v>35</v>
      </c>
      <c r="BO411" s="8"/>
      <c r="BP411" s="8"/>
      <c r="BQ411" s="8" t="s">
        <v>31</v>
      </c>
      <c r="BR411" s="8" t="s">
        <v>36</v>
      </c>
      <c r="BS411" s="10">
        <v>17955306574549.199</v>
      </c>
      <c r="BT411" s="8"/>
      <c r="BU411" s="8" t="s">
        <v>27</v>
      </c>
      <c r="BV411" s="8" t="s">
        <v>42</v>
      </c>
      <c r="BW411" s="8" t="s">
        <v>43</v>
      </c>
      <c r="BX411" s="8" t="s">
        <v>42</v>
      </c>
      <c r="BY411" s="8" t="s">
        <v>42</v>
      </c>
      <c r="BZ411" s="8" t="s">
        <v>43</v>
      </c>
      <c r="CA411" s="8" t="s">
        <v>43</v>
      </c>
      <c r="CB411" s="8" t="s">
        <v>43</v>
      </c>
      <c r="CC411" s="8" t="s">
        <v>42</v>
      </c>
      <c r="CD411" s="8"/>
      <c r="CE411" s="8"/>
      <c r="CF411" s="8" t="s">
        <v>232</v>
      </c>
      <c r="CG411" s="8" t="s">
        <v>232</v>
      </c>
    </row>
    <row r="412" spans="1:85" ht="15.75" customHeight="1" x14ac:dyDescent="0.35">
      <c r="A412" s="8">
        <v>405</v>
      </c>
      <c r="B412" s="8" t="s">
        <v>599</v>
      </c>
      <c r="C412" s="9">
        <v>0</v>
      </c>
      <c r="D412" s="9">
        <v>1.9999999999999999E-6</v>
      </c>
      <c r="E412" s="8"/>
      <c r="F412" s="8"/>
      <c r="G412" s="8"/>
      <c r="H412" s="8"/>
      <c r="I412" s="8"/>
      <c r="J412" s="8"/>
      <c r="K412" s="8"/>
      <c r="L412" s="8"/>
      <c r="M412" s="8"/>
      <c r="N412" s="10">
        <v>0</v>
      </c>
      <c r="O412" s="10">
        <v>174200</v>
      </c>
      <c r="P412" s="8"/>
      <c r="Q412" s="8"/>
      <c r="R412" s="8"/>
      <c r="S412" s="8"/>
      <c r="T412" s="8"/>
      <c r="U412" s="8"/>
      <c r="V412" s="8"/>
      <c r="W412" s="8"/>
      <c r="X412" s="8"/>
      <c r="Y412" s="12">
        <v>-174200</v>
      </c>
      <c r="Z412" s="13">
        <v>174200</v>
      </c>
      <c r="AA412" s="8"/>
      <c r="AB412" s="8"/>
      <c r="AC412" s="8"/>
      <c r="AD412" s="8"/>
      <c r="AE412" s="8"/>
      <c r="AF412" s="8"/>
      <c r="AG412" s="8"/>
      <c r="AH412" s="8"/>
      <c r="AI412" s="8"/>
      <c r="AJ412" s="10">
        <v>0</v>
      </c>
      <c r="AK412" s="10">
        <v>990477713.10000002</v>
      </c>
      <c r="AL412" s="8"/>
      <c r="AM412" s="8"/>
      <c r="AN412" s="8"/>
      <c r="AO412" s="8"/>
      <c r="AP412" s="8"/>
      <c r="AQ412" s="8"/>
      <c r="AR412" s="8"/>
      <c r="AS412" s="8"/>
      <c r="AT412" s="8"/>
      <c r="AU412" s="14">
        <v>45838</v>
      </c>
      <c r="AV412" s="14">
        <v>45657</v>
      </c>
      <c r="AW412" s="8"/>
      <c r="AX412" s="8"/>
      <c r="AY412" s="8"/>
      <c r="AZ412" s="8"/>
      <c r="BA412" s="8"/>
      <c r="BB412" s="8"/>
      <c r="BC412" s="8"/>
      <c r="BD412" s="8"/>
      <c r="BE412" s="8"/>
      <c r="BF412" s="8" t="s">
        <v>35</v>
      </c>
      <c r="BG412" s="8" t="s">
        <v>35</v>
      </c>
      <c r="BH412" s="8"/>
      <c r="BI412" s="8"/>
      <c r="BJ412" s="8"/>
      <c r="BK412" s="8"/>
      <c r="BL412" s="8"/>
      <c r="BM412" s="8"/>
      <c r="BN412" s="8"/>
      <c r="BO412" s="8"/>
      <c r="BP412" s="8"/>
      <c r="BQ412" s="8" t="s">
        <v>31</v>
      </c>
      <c r="BR412" s="8" t="s">
        <v>36</v>
      </c>
      <c r="BS412" s="10">
        <v>11626413093351.6</v>
      </c>
      <c r="BT412" s="8" t="s">
        <v>37</v>
      </c>
      <c r="BU412" s="8" t="s">
        <v>27</v>
      </c>
      <c r="BV412" s="8" t="s">
        <v>27</v>
      </c>
      <c r="BW412" s="8"/>
      <c r="BX412" s="8"/>
      <c r="BY412" s="8"/>
      <c r="BZ412" s="8"/>
      <c r="CA412" s="8"/>
      <c r="CB412" s="8"/>
      <c r="CC412" s="8"/>
      <c r="CD412" s="8"/>
      <c r="CE412" s="8"/>
      <c r="CF412" s="8" t="s">
        <v>284</v>
      </c>
      <c r="CG412" s="8" t="s">
        <v>198</v>
      </c>
    </row>
    <row r="413" spans="1:85" ht="15.75" customHeight="1" x14ac:dyDescent="0.35">
      <c r="A413" s="8">
        <v>406</v>
      </c>
      <c r="B413" s="8" t="s">
        <v>600</v>
      </c>
      <c r="C413" s="9">
        <v>0</v>
      </c>
      <c r="D413" s="9">
        <v>3.57E-4</v>
      </c>
      <c r="E413" s="8"/>
      <c r="F413" s="8"/>
      <c r="G413" s="8"/>
      <c r="H413" s="8"/>
      <c r="I413" s="8"/>
      <c r="J413" s="8"/>
      <c r="K413" s="8"/>
      <c r="L413" s="8"/>
      <c r="M413" s="8"/>
      <c r="N413" s="10">
        <v>0</v>
      </c>
      <c r="O413" s="10">
        <v>33008100</v>
      </c>
      <c r="P413" s="8"/>
      <c r="Q413" s="8"/>
      <c r="R413" s="8"/>
      <c r="S413" s="8"/>
      <c r="T413" s="8"/>
      <c r="U413" s="8"/>
      <c r="V413" s="8"/>
      <c r="W413" s="8"/>
      <c r="X413" s="8"/>
      <c r="Y413" s="12">
        <v>-33008100</v>
      </c>
      <c r="Z413" s="13">
        <v>33008100</v>
      </c>
      <c r="AA413" s="8"/>
      <c r="AB413" s="8"/>
      <c r="AC413" s="8"/>
      <c r="AD413" s="8"/>
      <c r="AE413" s="8"/>
      <c r="AF413" s="8"/>
      <c r="AG413" s="8"/>
      <c r="AH413" s="8"/>
      <c r="AI413" s="8"/>
      <c r="AJ413" s="10">
        <v>0</v>
      </c>
      <c r="AK413" s="10">
        <v>187679595360.29999</v>
      </c>
      <c r="AL413" s="8"/>
      <c r="AM413" s="8"/>
      <c r="AN413" s="8"/>
      <c r="AO413" s="8"/>
      <c r="AP413" s="8"/>
      <c r="AQ413" s="8"/>
      <c r="AR413" s="8"/>
      <c r="AS413" s="8"/>
      <c r="AT413" s="8"/>
      <c r="AU413" s="14">
        <v>45747</v>
      </c>
      <c r="AV413" s="14">
        <v>45657</v>
      </c>
      <c r="AW413" s="8"/>
      <c r="AX413" s="8"/>
      <c r="AY413" s="8"/>
      <c r="AZ413" s="8"/>
      <c r="BA413" s="8"/>
      <c r="BB413" s="8"/>
      <c r="BC413" s="8"/>
      <c r="BD413" s="8"/>
      <c r="BE413" s="8"/>
      <c r="BF413" s="8" t="s">
        <v>35</v>
      </c>
      <c r="BG413" s="8" t="s">
        <v>35</v>
      </c>
      <c r="BH413" s="8"/>
      <c r="BI413" s="8"/>
      <c r="BJ413" s="8"/>
      <c r="BK413" s="8"/>
      <c r="BL413" s="8"/>
      <c r="BM413" s="8"/>
      <c r="BN413" s="8"/>
      <c r="BO413" s="8"/>
      <c r="BP413" s="8"/>
      <c r="BQ413" s="8" t="s">
        <v>31</v>
      </c>
      <c r="BR413" s="8" t="s">
        <v>49</v>
      </c>
      <c r="BS413" s="10">
        <v>243950414228420</v>
      </c>
      <c r="BT413" s="8" t="s">
        <v>57</v>
      </c>
      <c r="BU413" s="8" t="s">
        <v>27</v>
      </c>
      <c r="BV413" s="8" t="s">
        <v>42</v>
      </c>
      <c r="BW413" s="8"/>
      <c r="BX413" s="8"/>
      <c r="BY413" s="8"/>
      <c r="BZ413" s="8"/>
      <c r="CA413" s="8"/>
      <c r="CB413" s="8"/>
      <c r="CC413" s="8"/>
      <c r="CD413" s="8"/>
      <c r="CE413" s="8"/>
      <c r="CF413" s="8" t="s">
        <v>50</v>
      </c>
      <c r="CG413" s="8" t="s">
        <v>51</v>
      </c>
    </row>
    <row r="414" spans="1:85" ht="15.75" customHeight="1" x14ac:dyDescent="0.35">
      <c r="A414" s="8">
        <v>407</v>
      </c>
      <c r="B414" s="8" t="s">
        <v>601</v>
      </c>
      <c r="C414" s="9">
        <v>0</v>
      </c>
      <c r="D414" s="9">
        <v>0</v>
      </c>
      <c r="E414" s="9">
        <v>2.1999999999999999E-5</v>
      </c>
      <c r="F414" s="9">
        <v>1.44E-4</v>
      </c>
      <c r="G414" s="9">
        <v>9.9999999999999995E-7</v>
      </c>
      <c r="H414" s="8"/>
      <c r="I414" s="8"/>
      <c r="J414" s="9">
        <v>0</v>
      </c>
      <c r="K414" s="9">
        <v>0</v>
      </c>
      <c r="L414" s="8"/>
      <c r="M414" s="9">
        <v>0</v>
      </c>
      <c r="N414" s="10">
        <v>0</v>
      </c>
      <c r="O414" s="10">
        <v>0</v>
      </c>
      <c r="P414" s="10">
        <v>2000000</v>
      </c>
      <c r="Q414" s="10">
        <v>13324000</v>
      </c>
      <c r="R414" s="10">
        <v>124000</v>
      </c>
      <c r="S414" s="8"/>
      <c r="T414" s="8"/>
      <c r="U414" s="10">
        <v>0</v>
      </c>
      <c r="V414" s="10">
        <v>0</v>
      </c>
      <c r="W414" s="8"/>
      <c r="X414" s="10">
        <v>0</v>
      </c>
      <c r="Y414" s="11">
        <v>0</v>
      </c>
      <c r="Z414" s="12">
        <v>-2000000</v>
      </c>
      <c r="AA414" s="12">
        <v>-11324000</v>
      </c>
      <c r="AB414" s="13">
        <v>13200000</v>
      </c>
      <c r="AC414" s="13">
        <v>124000</v>
      </c>
      <c r="AD414" s="8"/>
      <c r="AE414" s="8"/>
      <c r="AF414" s="11">
        <v>0</v>
      </c>
      <c r="AG414" s="11">
        <v>0</v>
      </c>
      <c r="AH414" s="8"/>
      <c r="AI414" s="11">
        <v>0</v>
      </c>
      <c r="AJ414" s="10">
        <v>0</v>
      </c>
      <c r="AK414" s="10">
        <v>0</v>
      </c>
      <c r="AL414" s="10">
        <v>12099999990.65</v>
      </c>
      <c r="AM414" s="10">
        <v>66120350050.699997</v>
      </c>
      <c r="AN414" s="10">
        <v>433999963.19999999</v>
      </c>
      <c r="AO414" s="8"/>
      <c r="AP414" s="8"/>
      <c r="AQ414" s="10">
        <v>0</v>
      </c>
      <c r="AR414" s="10">
        <v>0</v>
      </c>
      <c r="AS414" s="8"/>
      <c r="AT414" s="10">
        <v>0</v>
      </c>
      <c r="AU414" s="14">
        <v>45473</v>
      </c>
      <c r="AV414" s="14">
        <v>45473</v>
      </c>
      <c r="AW414" s="14">
        <v>45291</v>
      </c>
      <c r="AX414" s="14">
        <v>44926</v>
      </c>
      <c r="AY414" s="14">
        <v>44530</v>
      </c>
      <c r="AZ414" s="8"/>
      <c r="BA414" s="8"/>
      <c r="BB414" s="14">
        <v>43039</v>
      </c>
      <c r="BC414" s="14">
        <v>43039</v>
      </c>
      <c r="BD414" s="8"/>
      <c r="BE414" s="14">
        <v>41759</v>
      </c>
      <c r="BF414" s="8" t="s">
        <v>35</v>
      </c>
      <c r="BG414" s="8" t="s">
        <v>35</v>
      </c>
      <c r="BH414" s="8" t="s">
        <v>35</v>
      </c>
      <c r="BI414" s="8" t="s">
        <v>35</v>
      </c>
      <c r="BJ414" s="8" t="s">
        <v>35</v>
      </c>
      <c r="BK414" s="8"/>
      <c r="BL414" s="8"/>
      <c r="BM414" s="8" t="s">
        <v>35</v>
      </c>
      <c r="BN414" s="8" t="s">
        <v>35</v>
      </c>
      <c r="BO414" s="8"/>
      <c r="BP414" s="8" t="s">
        <v>35</v>
      </c>
      <c r="BQ414" s="8" t="s">
        <v>31</v>
      </c>
      <c r="BR414" s="8" t="s">
        <v>36</v>
      </c>
      <c r="BS414" s="10">
        <v>13149664515220.801</v>
      </c>
      <c r="BT414" s="8"/>
      <c r="BU414" s="8" t="s">
        <v>27</v>
      </c>
      <c r="BV414" s="8" t="s">
        <v>42</v>
      </c>
      <c r="BW414" s="8" t="s">
        <v>42</v>
      </c>
      <c r="BX414" s="8" t="s">
        <v>42</v>
      </c>
      <c r="BY414" s="8" t="s">
        <v>42</v>
      </c>
      <c r="BZ414" s="8"/>
      <c r="CA414" s="8"/>
      <c r="CB414" s="8" t="s">
        <v>43</v>
      </c>
      <c r="CC414" s="8" t="s">
        <v>43</v>
      </c>
      <c r="CD414" s="8"/>
      <c r="CE414" s="8" t="s">
        <v>43</v>
      </c>
      <c r="CF414" s="8" t="s">
        <v>58</v>
      </c>
      <c r="CG414" s="8" t="s">
        <v>59</v>
      </c>
    </row>
    <row r="415" spans="1:85" ht="15.75" customHeight="1" x14ac:dyDescent="0.35">
      <c r="A415" s="8">
        <v>408</v>
      </c>
      <c r="B415" s="8" t="s">
        <v>602</v>
      </c>
      <c r="C415" s="9">
        <v>0</v>
      </c>
      <c r="D415" s="9">
        <v>0</v>
      </c>
      <c r="E415" s="9">
        <v>7.2000000000000002E-5</v>
      </c>
      <c r="F415" s="9">
        <v>5.8E-5</v>
      </c>
      <c r="G415" s="8"/>
      <c r="H415" s="8"/>
      <c r="I415" s="8"/>
      <c r="J415" s="8"/>
      <c r="K415" s="8"/>
      <c r="L415" s="8"/>
      <c r="M415" s="8"/>
      <c r="N415" s="10">
        <v>0</v>
      </c>
      <c r="O415" s="10">
        <v>0</v>
      </c>
      <c r="P415" s="10">
        <v>6673951</v>
      </c>
      <c r="Q415" s="10">
        <v>5343894</v>
      </c>
      <c r="R415" s="8"/>
      <c r="S415" s="8"/>
      <c r="T415" s="8"/>
      <c r="U415" s="8"/>
      <c r="V415" s="8"/>
      <c r="W415" s="8"/>
      <c r="X415" s="8"/>
      <c r="Y415" s="11">
        <v>0</v>
      </c>
      <c r="Z415" s="12">
        <v>-6673951</v>
      </c>
      <c r="AA415" s="13">
        <v>1330057</v>
      </c>
      <c r="AB415" s="13">
        <v>5343894</v>
      </c>
      <c r="AC415" s="8"/>
      <c r="AD415" s="8"/>
      <c r="AE415" s="8"/>
      <c r="AF415" s="8"/>
      <c r="AG415" s="8"/>
      <c r="AH415" s="8"/>
      <c r="AI415" s="8"/>
      <c r="AJ415" s="10">
        <v>0</v>
      </c>
      <c r="AK415" s="10">
        <v>0</v>
      </c>
      <c r="AL415" s="10">
        <v>40377403593.650002</v>
      </c>
      <c r="AM415" s="10">
        <v>26519074052.349998</v>
      </c>
      <c r="AN415" s="8"/>
      <c r="AO415" s="8"/>
      <c r="AP415" s="8"/>
      <c r="AQ415" s="8"/>
      <c r="AR415" s="8"/>
      <c r="AS415" s="8"/>
      <c r="AT415" s="8"/>
      <c r="AU415" s="14">
        <v>45443</v>
      </c>
      <c r="AV415" s="14">
        <v>45443</v>
      </c>
      <c r="AW415" s="14">
        <v>45291</v>
      </c>
      <c r="AX415" s="14">
        <v>44926</v>
      </c>
      <c r="AY415" s="8"/>
      <c r="AZ415" s="8"/>
      <c r="BA415" s="8"/>
      <c r="BB415" s="8"/>
      <c r="BC415" s="8"/>
      <c r="BD415" s="8"/>
      <c r="BE415" s="8"/>
      <c r="BF415" s="8" t="s">
        <v>35</v>
      </c>
      <c r="BG415" s="8" t="s">
        <v>35</v>
      </c>
      <c r="BH415" s="8" t="s">
        <v>35</v>
      </c>
      <c r="BI415" s="8" t="s">
        <v>35</v>
      </c>
      <c r="BJ415" s="8"/>
      <c r="BK415" s="8"/>
      <c r="BL415" s="8"/>
      <c r="BM415" s="8"/>
      <c r="BN415" s="8"/>
      <c r="BO415" s="8"/>
      <c r="BP415" s="8"/>
      <c r="BQ415" s="8" t="s">
        <v>31</v>
      </c>
      <c r="BR415" s="8" t="s">
        <v>49</v>
      </c>
      <c r="BS415" s="10">
        <v>59960321836371.602</v>
      </c>
      <c r="BT415" s="8" t="s">
        <v>37</v>
      </c>
      <c r="BU415" s="8" t="s">
        <v>42</v>
      </c>
      <c r="BV415" s="8" t="s">
        <v>27</v>
      </c>
      <c r="BW415" s="8" t="s">
        <v>27</v>
      </c>
      <c r="BX415" s="8" t="s">
        <v>42</v>
      </c>
      <c r="BY415" s="8"/>
      <c r="BZ415" s="8"/>
      <c r="CA415" s="8"/>
      <c r="CB415" s="8"/>
      <c r="CC415" s="8"/>
      <c r="CD415" s="8"/>
      <c r="CE415" s="8"/>
      <c r="CF415" s="8" t="s">
        <v>212</v>
      </c>
      <c r="CG415" s="8" t="s">
        <v>213</v>
      </c>
    </row>
    <row r="416" spans="1:85" ht="15.75" customHeight="1" x14ac:dyDescent="0.35">
      <c r="A416" s="8">
        <v>409</v>
      </c>
      <c r="B416" s="8" t="s">
        <v>603</v>
      </c>
      <c r="C416" s="9">
        <v>0</v>
      </c>
      <c r="D416" s="9">
        <v>0</v>
      </c>
      <c r="E416" s="9">
        <v>1.9999999999999999E-6</v>
      </c>
      <c r="F416" s="9">
        <v>1.9999999999999999E-6</v>
      </c>
      <c r="G416" s="8"/>
      <c r="H416" s="8"/>
      <c r="I416" s="8"/>
      <c r="J416" s="8"/>
      <c r="K416" s="8"/>
      <c r="L416" s="8"/>
      <c r="M416" s="8"/>
      <c r="N416" s="10">
        <v>0</v>
      </c>
      <c r="O416" s="10">
        <v>0</v>
      </c>
      <c r="P416" s="10">
        <v>205300</v>
      </c>
      <c r="Q416" s="10">
        <v>214200</v>
      </c>
      <c r="R416" s="8"/>
      <c r="S416" s="8"/>
      <c r="T416" s="8"/>
      <c r="U416" s="8"/>
      <c r="V416" s="8"/>
      <c r="W416" s="8"/>
      <c r="X416" s="8"/>
      <c r="Y416" s="11">
        <v>0</v>
      </c>
      <c r="Z416" s="12">
        <v>-205300</v>
      </c>
      <c r="AA416" s="12">
        <v>-8900</v>
      </c>
      <c r="AB416" s="13">
        <v>214200</v>
      </c>
      <c r="AC416" s="8"/>
      <c r="AD416" s="8"/>
      <c r="AE416" s="8"/>
      <c r="AF416" s="8"/>
      <c r="AG416" s="8"/>
      <c r="AH416" s="8"/>
      <c r="AI416" s="8"/>
      <c r="AJ416" s="10">
        <v>0</v>
      </c>
      <c r="AK416" s="10">
        <v>0</v>
      </c>
      <c r="AL416" s="10">
        <v>1242065059.1500001</v>
      </c>
      <c r="AM416" s="10">
        <v>1009417500</v>
      </c>
      <c r="AN416" s="8"/>
      <c r="AO416" s="8"/>
      <c r="AP416" s="8"/>
      <c r="AQ416" s="8"/>
      <c r="AR416" s="8"/>
      <c r="AS416" s="8"/>
      <c r="AT416" s="8"/>
      <c r="AU416" s="14">
        <v>45565</v>
      </c>
      <c r="AV416" s="14">
        <v>45565</v>
      </c>
      <c r="AW416" s="14">
        <v>45291</v>
      </c>
      <c r="AX416" s="14">
        <v>44834</v>
      </c>
      <c r="AY416" s="8"/>
      <c r="AZ416" s="8"/>
      <c r="BA416" s="8"/>
      <c r="BB416" s="8"/>
      <c r="BC416" s="8"/>
      <c r="BD416" s="8"/>
      <c r="BE416" s="8"/>
      <c r="BF416" s="8" t="s">
        <v>35</v>
      </c>
      <c r="BG416" s="8" t="s">
        <v>35</v>
      </c>
      <c r="BH416" s="8" t="s">
        <v>35</v>
      </c>
      <c r="BI416" s="8" t="s">
        <v>35</v>
      </c>
      <c r="BJ416" s="8"/>
      <c r="BK416" s="8"/>
      <c r="BL416" s="8"/>
      <c r="BM416" s="8"/>
      <c r="BN416" s="8"/>
      <c r="BO416" s="8"/>
      <c r="BP416" s="8"/>
      <c r="BQ416" s="8" t="s">
        <v>31</v>
      </c>
      <c r="BR416" s="8" t="s">
        <v>49</v>
      </c>
      <c r="BS416" s="10">
        <v>166627315987052</v>
      </c>
      <c r="BT416" s="8" t="s">
        <v>61</v>
      </c>
      <c r="BU416" s="8" t="s">
        <v>27</v>
      </c>
      <c r="BV416" s="8" t="s">
        <v>27</v>
      </c>
      <c r="BW416" s="8" t="s">
        <v>42</v>
      </c>
      <c r="BX416" s="8" t="s">
        <v>42</v>
      </c>
      <c r="BY416" s="8"/>
      <c r="BZ416" s="8"/>
      <c r="CA416" s="8"/>
      <c r="CB416" s="8"/>
      <c r="CC416" s="8"/>
      <c r="CD416" s="8"/>
      <c r="CE416" s="8"/>
      <c r="CF416" s="8" t="s">
        <v>95</v>
      </c>
      <c r="CG416" s="8" t="s">
        <v>96</v>
      </c>
    </row>
    <row r="417" spans="1:85" ht="15.75" customHeight="1" x14ac:dyDescent="0.35">
      <c r="A417" s="8">
        <v>410</v>
      </c>
      <c r="B417" s="8" t="s">
        <v>604</v>
      </c>
      <c r="C417" s="9">
        <v>0</v>
      </c>
      <c r="D417" s="9">
        <v>1.7E-5</v>
      </c>
      <c r="E417" s="9">
        <v>4.3999999999999999E-5</v>
      </c>
      <c r="F417" s="9">
        <v>6.3999999999999997E-5</v>
      </c>
      <c r="G417" s="9">
        <v>0</v>
      </c>
      <c r="H417" s="9">
        <v>2.3E-5</v>
      </c>
      <c r="I417" s="8"/>
      <c r="J417" s="8"/>
      <c r="K417" s="8"/>
      <c r="L417" s="8"/>
      <c r="M417" s="8"/>
      <c r="N417" s="10">
        <v>0</v>
      </c>
      <c r="O417" s="10">
        <v>1562700</v>
      </c>
      <c r="P417" s="10">
        <v>4026200</v>
      </c>
      <c r="Q417" s="10">
        <v>5907600</v>
      </c>
      <c r="R417" s="10">
        <v>0</v>
      </c>
      <c r="S417" s="10">
        <v>2164000</v>
      </c>
      <c r="T417" s="8"/>
      <c r="U417" s="8"/>
      <c r="V417" s="8"/>
      <c r="W417" s="8"/>
      <c r="X417" s="8"/>
      <c r="Y417" s="12">
        <v>-1562700</v>
      </c>
      <c r="Z417" s="12">
        <v>-2463500</v>
      </c>
      <c r="AA417" s="12">
        <v>-1881400</v>
      </c>
      <c r="AB417" s="13">
        <v>5907600</v>
      </c>
      <c r="AC417" s="12">
        <v>-2164000</v>
      </c>
      <c r="AD417" s="13">
        <v>2164000</v>
      </c>
      <c r="AE417" s="8"/>
      <c r="AF417" s="8"/>
      <c r="AG417" s="8"/>
      <c r="AH417" s="8"/>
      <c r="AI417" s="8"/>
      <c r="AJ417" s="10">
        <v>0</v>
      </c>
      <c r="AK417" s="10">
        <v>8885301054.5</v>
      </c>
      <c r="AL417" s="10">
        <v>23553269968.900002</v>
      </c>
      <c r="AM417" s="10">
        <v>29316465037.75</v>
      </c>
      <c r="AN417" s="10">
        <v>0</v>
      </c>
      <c r="AO417" s="10">
        <v>6843650018.3999996</v>
      </c>
      <c r="AP417" s="8"/>
      <c r="AQ417" s="8"/>
      <c r="AR417" s="8"/>
      <c r="AS417" s="8"/>
      <c r="AT417" s="8"/>
      <c r="AU417" s="14">
        <v>45688</v>
      </c>
      <c r="AV417" s="14">
        <v>45657</v>
      </c>
      <c r="AW417" s="14">
        <v>45260</v>
      </c>
      <c r="AX417" s="14">
        <v>44926</v>
      </c>
      <c r="AY417" s="14">
        <v>44347</v>
      </c>
      <c r="AZ417" s="14">
        <v>44196</v>
      </c>
      <c r="BA417" s="8"/>
      <c r="BB417" s="8"/>
      <c r="BC417" s="8"/>
      <c r="BD417" s="8"/>
      <c r="BE417" s="8"/>
      <c r="BF417" s="8" t="s">
        <v>35</v>
      </c>
      <c r="BG417" s="8" t="s">
        <v>35</v>
      </c>
      <c r="BH417" s="8" t="s">
        <v>35</v>
      </c>
      <c r="BI417" s="8" t="s">
        <v>35</v>
      </c>
      <c r="BJ417" s="8" t="s">
        <v>35</v>
      </c>
      <c r="BK417" s="8" t="s">
        <v>35</v>
      </c>
      <c r="BL417" s="8"/>
      <c r="BM417" s="8"/>
      <c r="BN417" s="8"/>
      <c r="BO417" s="8"/>
      <c r="BP417" s="8"/>
      <c r="BQ417" s="8" t="s">
        <v>31</v>
      </c>
      <c r="BR417" s="8" t="s">
        <v>36</v>
      </c>
      <c r="BS417" s="10">
        <v>362654099103190</v>
      </c>
      <c r="BT417" s="8" t="s">
        <v>61</v>
      </c>
      <c r="BU417" s="8" t="s">
        <v>27</v>
      </c>
      <c r="BV417" s="8" t="s">
        <v>27</v>
      </c>
      <c r="BW417" s="8" t="s">
        <v>27</v>
      </c>
      <c r="BX417" s="8" t="s">
        <v>27</v>
      </c>
      <c r="BY417" s="8" t="s">
        <v>42</v>
      </c>
      <c r="BZ417" s="8" t="s">
        <v>27</v>
      </c>
      <c r="CA417" s="8"/>
      <c r="CB417" s="8"/>
      <c r="CC417" s="8"/>
      <c r="CD417" s="8"/>
      <c r="CE417" s="8"/>
      <c r="CF417" s="8" t="s">
        <v>158</v>
      </c>
      <c r="CG417" s="8" t="s">
        <v>115</v>
      </c>
    </row>
    <row r="418" spans="1:85" ht="15.75" customHeight="1" x14ac:dyDescent="0.35">
      <c r="A418" s="8">
        <v>411</v>
      </c>
      <c r="B418" s="8" t="s">
        <v>605</v>
      </c>
      <c r="C418" s="9">
        <v>0</v>
      </c>
      <c r="D418" s="9">
        <v>1.9999999999999999E-6</v>
      </c>
      <c r="E418" s="9">
        <v>4.06E-4</v>
      </c>
      <c r="F418" s="9">
        <v>4.5600000000000003E-4</v>
      </c>
      <c r="G418" s="8"/>
      <c r="H418" s="8"/>
      <c r="I418" s="8"/>
      <c r="J418" s="8"/>
      <c r="K418" s="8"/>
      <c r="L418" s="9">
        <v>0</v>
      </c>
      <c r="M418" s="9">
        <v>0</v>
      </c>
      <c r="N418" s="10">
        <v>0</v>
      </c>
      <c r="O418" s="10">
        <v>197000</v>
      </c>
      <c r="P418" s="10">
        <v>37509050</v>
      </c>
      <c r="Q418" s="10">
        <v>42180342</v>
      </c>
      <c r="R418" s="8"/>
      <c r="S418" s="8"/>
      <c r="T418" s="8"/>
      <c r="U418" s="8"/>
      <c r="V418" s="8"/>
      <c r="W418" s="10">
        <v>0</v>
      </c>
      <c r="X418" s="10">
        <v>0</v>
      </c>
      <c r="Y418" s="12">
        <v>-197000</v>
      </c>
      <c r="Z418" s="12">
        <v>-37312050</v>
      </c>
      <c r="AA418" s="12">
        <v>-4671292</v>
      </c>
      <c r="AB418" s="13">
        <v>42180342</v>
      </c>
      <c r="AC418" s="8"/>
      <c r="AD418" s="8"/>
      <c r="AE418" s="8"/>
      <c r="AF418" s="8"/>
      <c r="AG418" s="8"/>
      <c r="AH418" s="11">
        <v>0</v>
      </c>
      <c r="AI418" s="11">
        <v>0</v>
      </c>
      <c r="AJ418" s="10">
        <v>0</v>
      </c>
      <c r="AK418" s="10">
        <v>1120115325.8</v>
      </c>
      <c r="AL418" s="10">
        <v>226929752257.64999</v>
      </c>
      <c r="AM418" s="10">
        <v>209319947331</v>
      </c>
      <c r="AN418" s="8"/>
      <c r="AO418" s="8"/>
      <c r="AP418" s="8"/>
      <c r="AQ418" s="8"/>
      <c r="AR418" s="8"/>
      <c r="AS418" s="10">
        <v>0</v>
      </c>
      <c r="AT418" s="10">
        <v>0</v>
      </c>
      <c r="AU418" s="14">
        <v>45716</v>
      </c>
      <c r="AV418" s="14">
        <v>45657</v>
      </c>
      <c r="AW418" s="14">
        <v>45291</v>
      </c>
      <c r="AX418" s="14">
        <v>44926</v>
      </c>
      <c r="AY418" s="8"/>
      <c r="AZ418" s="8"/>
      <c r="BA418" s="8"/>
      <c r="BB418" s="8"/>
      <c r="BC418" s="8"/>
      <c r="BD418" s="14">
        <v>42155</v>
      </c>
      <c r="BE418" s="14">
        <v>42155</v>
      </c>
      <c r="BF418" s="8" t="s">
        <v>35</v>
      </c>
      <c r="BG418" s="8" t="s">
        <v>35</v>
      </c>
      <c r="BH418" s="8" t="s">
        <v>35</v>
      </c>
      <c r="BI418" s="8" t="s">
        <v>35</v>
      </c>
      <c r="BJ418" s="8"/>
      <c r="BK418" s="8"/>
      <c r="BL418" s="8"/>
      <c r="BM418" s="8"/>
      <c r="BN418" s="8"/>
      <c r="BO418" s="8" t="s">
        <v>35</v>
      </c>
      <c r="BP418" s="8" t="s">
        <v>35</v>
      </c>
      <c r="BQ418" s="8" t="s">
        <v>31</v>
      </c>
      <c r="BR418" s="8" t="s">
        <v>49</v>
      </c>
      <c r="BS418" s="10">
        <v>3040370549111060</v>
      </c>
      <c r="BT418" s="8" t="s">
        <v>37</v>
      </c>
      <c r="BU418" s="8" t="s">
        <v>27</v>
      </c>
      <c r="BV418" s="8" t="s">
        <v>27</v>
      </c>
      <c r="BW418" s="8" t="s">
        <v>27</v>
      </c>
      <c r="BX418" s="8" t="s">
        <v>27</v>
      </c>
      <c r="BY418" s="8"/>
      <c r="BZ418" s="8"/>
      <c r="CA418" s="8"/>
      <c r="CB418" s="8"/>
      <c r="CC418" s="8"/>
      <c r="CD418" s="8" t="s">
        <v>27</v>
      </c>
      <c r="CE418" s="8" t="s">
        <v>27</v>
      </c>
      <c r="CF418" s="8" t="s">
        <v>82</v>
      </c>
      <c r="CG418" s="8" t="s">
        <v>39</v>
      </c>
    </row>
    <row r="419" spans="1:85" ht="15.75" customHeight="1" x14ac:dyDescent="0.35">
      <c r="A419" s="8">
        <v>412</v>
      </c>
      <c r="B419" s="8" t="s">
        <v>606</v>
      </c>
      <c r="C419" s="9">
        <v>0</v>
      </c>
      <c r="D419" s="9">
        <v>0</v>
      </c>
      <c r="E419" s="9">
        <v>1.9999999999999999E-6</v>
      </c>
      <c r="F419" s="8"/>
      <c r="G419" s="8"/>
      <c r="H419" s="8"/>
      <c r="I419" s="8"/>
      <c r="J419" s="8"/>
      <c r="K419" s="8"/>
      <c r="L419" s="8"/>
      <c r="M419" s="8"/>
      <c r="N419" s="10">
        <v>0</v>
      </c>
      <c r="O419" s="10">
        <v>0</v>
      </c>
      <c r="P419" s="10">
        <v>207900</v>
      </c>
      <c r="Q419" s="8"/>
      <c r="R419" s="8"/>
      <c r="S419" s="8"/>
      <c r="T419" s="8"/>
      <c r="U419" s="8"/>
      <c r="V419" s="8"/>
      <c r="W419" s="8"/>
      <c r="X419" s="8"/>
      <c r="Y419" s="11">
        <v>0</v>
      </c>
      <c r="Z419" s="12">
        <v>-207900</v>
      </c>
      <c r="AA419" s="13">
        <v>207900</v>
      </c>
      <c r="AB419" s="8"/>
      <c r="AC419" s="8"/>
      <c r="AD419" s="8"/>
      <c r="AE419" s="8"/>
      <c r="AF419" s="8"/>
      <c r="AG419" s="8"/>
      <c r="AH419" s="8"/>
      <c r="AI419" s="8"/>
      <c r="AJ419" s="10">
        <v>0</v>
      </c>
      <c r="AK419" s="10">
        <v>0</v>
      </c>
      <c r="AL419" s="10">
        <v>1257795054.3499999</v>
      </c>
      <c r="AM419" s="8"/>
      <c r="AN419" s="8"/>
      <c r="AO419" s="8"/>
      <c r="AP419" s="8"/>
      <c r="AQ419" s="8"/>
      <c r="AR419" s="8"/>
      <c r="AS419" s="8"/>
      <c r="AT419" s="8"/>
      <c r="AU419" s="14">
        <v>45443</v>
      </c>
      <c r="AV419" s="14">
        <v>45443</v>
      </c>
      <c r="AW419" s="14">
        <v>45291</v>
      </c>
      <c r="AX419" s="8"/>
      <c r="AY419" s="8"/>
      <c r="AZ419" s="8"/>
      <c r="BA419" s="8"/>
      <c r="BB419" s="8"/>
      <c r="BC419" s="8"/>
      <c r="BD419" s="8"/>
      <c r="BE419" s="8"/>
      <c r="BF419" s="8" t="s">
        <v>35</v>
      </c>
      <c r="BG419" s="8" t="s">
        <v>35</v>
      </c>
      <c r="BH419" s="8" t="s">
        <v>35</v>
      </c>
      <c r="BI419" s="8"/>
      <c r="BJ419" s="8"/>
      <c r="BK419" s="8"/>
      <c r="BL419" s="8"/>
      <c r="BM419" s="8"/>
      <c r="BN419" s="8"/>
      <c r="BO419" s="8"/>
      <c r="BP419" s="8"/>
      <c r="BQ419" s="8" t="s">
        <v>31</v>
      </c>
      <c r="BR419" s="8" t="s">
        <v>36</v>
      </c>
      <c r="BS419" s="10">
        <v>126146056303102</v>
      </c>
      <c r="BT419" s="8" t="s">
        <v>41</v>
      </c>
      <c r="BU419" s="8" t="s">
        <v>27</v>
      </c>
      <c r="BV419" s="8" t="s">
        <v>42</v>
      </c>
      <c r="BW419" s="8" t="s">
        <v>42</v>
      </c>
      <c r="BX419" s="8"/>
      <c r="BY419" s="8"/>
      <c r="BZ419" s="8"/>
      <c r="CA419" s="8"/>
      <c r="CB419" s="8"/>
      <c r="CC419" s="8"/>
      <c r="CD419" s="8"/>
      <c r="CE419" s="8"/>
      <c r="CF419" s="8" t="s">
        <v>607</v>
      </c>
      <c r="CG419" s="8" t="s">
        <v>198</v>
      </c>
    </row>
    <row r="420" spans="1:85" ht="15.75" customHeight="1" x14ac:dyDescent="0.35">
      <c r="A420" s="8">
        <v>413</v>
      </c>
      <c r="B420" s="8" t="s">
        <v>608</v>
      </c>
      <c r="C420" s="9">
        <v>0</v>
      </c>
      <c r="D420" s="9">
        <v>0</v>
      </c>
      <c r="E420" s="9">
        <v>1.9999999999999999E-6</v>
      </c>
      <c r="F420" s="9">
        <v>1.9999999999999999E-6</v>
      </c>
      <c r="G420" s="9">
        <v>3.9999999999999998E-6</v>
      </c>
      <c r="H420" s="9">
        <v>5.0000000000000004E-6</v>
      </c>
      <c r="I420" s="9">
        <v>1.9999999999999999E-6</v>
      </c>
      <c r="J420" s="9">
        <v>9.0000000000000002E-6</v>
      </c>
      <c r="K420" s="8"/>
      <c r="L420" s="8"/>
      <c r="M420" s="8"/>
      <c r="N420" s="10">
        <v>0</v>
      </c>
      <c r="O420" s="10">
        <v>0</v>
      </c>
      <c r="P420" s="10">
        <v>164305</v>
      </c>
      <c r="Q420" s="10">
        <v>161840</v>
      </c>
      <c r="R420" s="10">
        <v>363600</v>
      </c>
      <c r="S420" s="10">
        <v>505000</v>
      </c>
      <c r="T420" s="10">
        <v>192200</v>
      </c>
      <c r="U420" s="10">
        <v>864000</v>
      </c>
      <c r="V420" s="8"/>
      <c r="W420" s="8"/>
      <c r="X420" s="8"/>
      <c r="Y420" s="11">
        <v>0</v>
      </c>
      <c r="Z420" s="12">
        <v>-164305</v>
      </c>
      <c r="AA420" s="13">
        <v>2465</v>
      </c>
      <c r="AB420" s="12">
        <v>-201760</v>
      </c>
      <c r="AC420" s="12">
        <v>-141400</v>
      </c>
      <c r="AD420" s="13">
        <v>312800</v>
      </c>
      <c r="AE420" s="12">
        <v>-671800</v>
      </c>
      <c r="AF420" s="13">
        <v>864000</v>
      </c>
      <c r="AG420" s="8"/>
      <c r="AH420" s="8"/>
      <c r="AI420" s="8"/>
      <c r="AJ420" s="10">
        <v>0</v>
      </c>
      <c r="AK420" s="10">
        <v>0</v>
      </c>
      <c r="AL420" s="10">
        <v>994045297.20000005</v>
      </c>
      <c r="AM420" s="10">
        <v>803130963.79999995</v>
      </c>
      <c r="AN420" s="10">
        <v>1036259994</v>
      </c>
      <c r="AO420" s="10">
        <v>1464500059.0999999</v>
      </c>
      <c r="AP420" s="10">
        <v>766397549.60000002</v>
      </c>
      <c r="AQ420" s="10">
        <v>2872799946</v>
      </c>
      <c r="AR420" s="8"/>
      <c r="AS420" s="8"/>
      <c r="AT420" s="8"/>
      <c r="AU420" s="14">
        <v>45382</v>
      </c>
      <c r="AV420" s="14">
        <v>45382</v>
      </c>
      <c r="AW420" s="14">
        <v>45291</v>
      </c>
      <c r="AX420" s="14">
        <v>44926</v>
      </c>
      <c r="AY420" s="14">
        <v>44408</v>
      </c>
      <c r="AZ420" s="14">
        <v>44043</v>
      </c>
      <c r="BA420" s="14">
        <v>43677</v>
      </c>
      <c r="BB420" s="14">
        <v>43312</v>
      </c>
      <c r="BC420" s="8"/>
      <c r="BD420" s="8"/>
      <c r="BE420" s="8"/>
      <c r="BF420" s="8" t="s">
        <v>35</v>
      </c>
      <c r="BG420" s="8" t="s">
        <v>35</v>
      </c>
      <c r="BH420" s="8" t="s">
        <v>35</v>
      </c>
      <c r="BI420" s="8" t="s">
        <v>35</v>
      </c>
      <c r="BJ420" s="8" t="s">
        <v>35</v>
      </c>
      <c r="BK420" s="8" t="s">
        <v>35</v>
      </c>
      <c r="BL420" s="8" t="s">
        <v>35</v>
      </c>
      <c r="BM420" s="8" t="s">
        <v>35</v>
      </c>
      <c r="BN420" s="8"/>
      <c r="BO420" s="8"/>
      <c r="BP420" s="8"/>
      <c r="BQ420" s="8" t="s">
        <v>31</v>
      </c>
      <c r="BR420" s="8" t="s">
        <v>36</v>
      </c>
      <c r="BS420" s="10">
        <v>128664347805052</v>
      </c>
      <c r="BT420" s="8"/>
      <c r="BU420" s="8" t="s">
        <v>27</v>
      </c>
      <c r="BV420" s="8" t="s">
        <v>27</v>
      </c>
      <c r="BW420" s="8" t="s">
        <v>27</v>
      </c>
      <c r="BX420" s="8" t="s">
        <v>27</v>
      </c>
      <c r="BY420" s="8" t="s">
        <v>42</v>
      </c>
      <c r="BZ420" s="8" t="s">
        <v>27</v>
      </c>
      <c r="CA420" s="8" t="s">
        <v>27</v>
      </c>
      <c r="CB420" s="8" t="s">
        <v>27</v>
      </c>
      <c r="CC420" s="8"/>
      <c r="CD420" s="8"/>
      <c r="CE420" s="8"/>
      <c r="CF420" s="8" t="s">
        <v>473</v>
      </c>
      <c r="CG420" s="8" t="s">
        <v>474</v>
      </c>
    </row>
    <row r="421" spans="1:85" ht="15.75" customHeight="1" x14ac:dyDescent="0.35">
      <c r="A421" s="8">
        <v>414</v>
      </c>
      <c r="B421" s="8" t="s">
        <v>609</v>
      </c>
      <c r="C421" s="9">
        <v>0</v>
      </c>
      <c r="D421" s="9">
        <v>5.0000000000000004E-6</v>
      </c>
      <c r="E421" s="8"/>
      <c r="F421" s="8"/>
      <c r="G421" s="8"/>
      <c r="H421" s="8"/>
      <c r="I421" s="8"/>
      <c r="J421" s="8"/>
      <c r="K421" s="8"/>
      <c r="L421" s="8"/>
      <c r="M421" s="8"/>
      <c r="N421" s="10">
        <v>0</v>
      </c>
      <c r="O421" s="10">
        <v>506900</v>
      </c>
      <c r="P421" s="8"/>
      <c r="Q421" s="8"/>
      <c r="R421" s="8"/>
      <c r="S421" s="8"/>
      <c r="T421" s="8"/>
      <c r="U421" s="8"/>
      <c r="V421" s="8"/>
      <c r="W421" s="8"/>
      <c r="X421" s="8"/>
      <c r="Y421" s="12">
        <v>-506900</v>
      </c>
      <c r="Z421" s="13">
        <v>506900</v>
      </c>
      <c r="AA421" s="8"/>
      <c r="AB421" s="8"/>
      <c r="AC421" s="8"/>
      <c r="AD421" s="8"/>
      <c r="AE421" s="8"/>
      <c r="AF421" s="8"/>
      <c r="AG421" s="8"/>
      <c r="AH421" s="8"/>
      <c r="AI421" s="8"/>
      <c r="AJ421" s="10">
        <v>0</v>
      </c>
      <c r="AK421" s="10">
        <v>3510282495.75</v>
      </c>
      <c r="AL421" s="8"/>
      <c r="AM421" s="8"/>
      <c r="AN421" s="8"/>
      <c r="AO421" s="8"/>
      <c r="AP421" s="8"/>
      <c r="AQ421" s="8"/>
      <c r="AR421" s="8"/>
      <c r="AS421" s="8"/>
      <c r="AT421" s="8"/>
      <c r="AU421" s="14">
        <v>45747</v>
      </c>
      <c r="AV421" s="14">
        <v>45565</v>
      </c>
      <c r="AW421" s="8"/>
      <c r="AX421" s="8"/>
      <c r="AY421" s="8"/>
      <c r="AZ421" s="8"/>
      <c r="BA421" s="8"/>
      <c r="BB421" s="8"/>
      <c r="BC421" s="8"/>
      <c r="BD421" s="8"/>
      <c r="BE421" s="8"/>
      <c r="BF421" s="8" t="s">
        <v>35</v>
      </c>
      <c r="BG421" s="8" t="s">
        <v>35</v>
      </c>
      <c r="BH421" s="8"/>
      <c r="BI421" s="8"/>
      <c r="BJ421" s="8"/>
      <c r="BK421" s="8"/>
      <c r="BL421" s="8"/>
      <c r="BM421" s="8"/>
      <c r="BN421" s="8"/>
      <c r="BO421" s="8"/>
      <c r="BP421" s="8"/>
      <c r="BQ421" s="8" t="s">
        <v>31</v>
      </c>
      <c r="BR421" s="8" t="s">
        <v>36</v>
      </c>
      <c r="BS421" s="10">
        <v>2625388087064.3999</v>
      </c>
      <c r="BT421" s="8" t="s">
        <v>61</v>
      </c>
      <c r="BU421" s="8" t="s">
        <v>27</v>
      </c>
      <c r="BV421" s="8" t="s">
        <v>43</v>
      </c>
      <c r="BW421" s="8"/>
      <c r="BX421" s="8"/>
      <c r="BY421" s="8"/>
      <c r="BZ421" s="8"/>
      <c r="CA421" s="8"/>
      <c r="CB421" s="8"/>
      <c r="CC421" s="8"/>
      <c r="CD421" s="8"/>
      <c r="CE421" s="8"/>
      <c r="CF421" s="8" t="s">
        <v>82</v>
      </c>
      <c r="CG421" s="8" t="s">
        <v>39</v>
      </c>
    </row>
    <row r="422" spans="1:85" ht="15.75" customHeight="1" x14ac:dyDescent="0.35">
      <c r="A422" s="8">
        <v>415</v>
      </c>
      <c r="B422" s="8" t="s">
        <v>610</v>
      </c>
      <c r="C422" s="9">
        <v>0</v>
      </c>
      <c r="D422" s="9">
        <v>7.6000000000000004E-5</v>
      </c>
      <c r="E422" s="8"/>
      <c r="F422" s="8"/>
      <c r="G422" s="8"/>
      <c r="H422" s="8"/>
      <c r="I422" s="8"/>
      <c r="J422" s="8"/>
      <c r="K422" s="8"/>
      <c r="L422" s="8"/>
      <c r="M422" s="8"/>
      <c r="N422" s="10">
        <v>0</v>
      </c>
      <c r="O422" s="10">
        <v>7034616</v>
      </c>
      <c r="P422" s="8"/>
      <c r="Q422" s="8"/>
      <c r="R422" s="8"/>
      <c r="S422" s="8"/>
      <c r="T422" s="8"/>
      <c r="U422" s="8"/>
      <c r="V422" s="8"/>
      <c r="W422" s="8"/>
      <c r="X422" s="8"/>
      <c r="Y422" s="12">
        <v>-7034616</v>
      </c>
      <c r="Z422" s="13">
        <v>7034616</v>
      </c>
      <c r="AA422" s="8"/>
      <c r="AB422" s="8"/>
      <c r="AC422" s="8"/>
      <c r="AD422" s="8"/>
      <c r="AE422" s="8"/>
      <c r="AF422" s="8"/>
      <c r="AG422" s="8"/>
      <c r="AH422" s="8"/>
      <c r="AI422" s="8"/>
      <c r="AJ422" s="10">
        <v>0</v>
      </c>
      <c r="AK422" s="10">
        <v>39997875812.599998</v>
      </c>
      <c r="AL422" s="8"/>
      <c r="AM422" s="8"/>
      <c r="AN422" s="8"/>
      <c r="AO422" s="8"/>
      <c r="AP422" s="8"/>
      <c r="AQ422" s="8"/>
      <c r="AR422" s="8"/>
      <c r="AS422" s="8"/>
      <c r="AT422" s="8"/>
      <c r="AU422" s="14">
        <v>45808</v>
      </c>
      <c r="AV422" s="14">
        <v>45657</v>
      </c>
      <c r="AW422" s="8"/>
      <c r="AX422" s="8"/>
      <c r="AY422" s="8"/>
      <c r="AZ422" s="8"/>
      <c r="BA422" s="8"/>
      <c r="BB422" s="8"/>
      <c r="BC422" s="8"/>
      <c r="BD422" s="8"/>
      <c r="BE422" s="8"/>
      <c r="BF422" s="8" t="s">
        <v>35</v>
      </c>
      <c r="BG422" s="8" t="s">
        <v>35</v>
      </c>
      <c r="BH422" s="8"/>
      <c r="BI422" s="8"/>
      <c r="BJ422" s="8"/>
      <c r="BK422" s="8"/>
      <c r="BL422" s="8"/>
      <c r="BM422" s="8"/>
      <c r="BN422" s="8"/>
      <c r="BO422" s="8"/>
      <c r="BP422" s="8"/>
      <c r="BQ422" s="8" t="s">
        <v>31</v>
      </c>
      <c r="BR422" s="8" t="s">
        <v>36</v>
      </c>
      <c r="BS422" s="10">
        <v>703305238387829</v>
      </c>
      <c r="BT422" s="8"/>
      <c r="BU422" s="8" t="s">
        <v>27</v>
      </c>
      <c r="BV422" s="8" t="s">
        <v>42</v>
      </c>
      <c r="BW422" s="8"/>
      <c r="BX422" s="8"/>
      <c r="BY422" s="8"/>
      <c r="BZ422" s="8"/>
      <c r="CA422" s="8"/>
      <c r="CB422" s="8"/>
      <c r="CC422" s="8"/>
      <c r="CD422" s="8"/>
      <c r="CE422" s="8"/>
      <c r="CF422" s="8" t="s">
        <v>212</v>
      </c>
      <c r="CG422" s="8" t="s">
        <v>213</v>
      </c>
    </row>
    <row r="423" spans="1:85" ht="15.75" customHeight="1" x14ac:dyDescent="0.35">
      <c r="A423" s="8">
        <v>416</v>
      </c>
      <c r="B423" s="8" t="s">
        <v>611</v>
      </c>
      <c r="C423" s="9">
        <v>0</v>
      </c>
      <c r="D423" s="9">
        <v>2.5999999999999998E-5</v>
      </c>
      <c r="E423" s="9">
        <v>1.5999999999999999E-5</v>
      </c>
      <c r="F423" s="9">
        <v>2.1999999999999999E-5</v>
      </c>
      <c r="G423" s="8"/>
      <c r="H423" s="8"/>
      <c r="I423" s="8"/>
      <c r="J423" s="8"/>
      <c r="K423" s="8"/>
      <c r="L423" s="8"/>
      <c r="M423" s="9">
        <v>0</v>
      </c>
      <c r="N423" s="10">
        <v>0</v>
      </c>
      <c r="O423" s="10">
        <v>2447900</v>
      </c>
      <c r="P423" s="10">
        <v>1501200</v>
      </c>
      <c r="Q423" s="10">
        <v>2075600</v>
      </c>
      <c r="R423" s="8"/>
      <c r="S423" s="8"/>
      <c r="T423" s="8"/>
      <c r="U423" s="8"/>
      <c r="V423" s="8"/>
      <c r="W423" s="8"/>
      <c r="X423" s="10">
        <v>0</v>
      </c>
      <c r="Y423" s="12">
        <v>-2447900</v>
      </c>
      <c r="Z423" s="13">
        <v>946700</v>
      </c>
      <c r="AA423" s="12">
        <v>-574400</v>
      </c>
      <c r="AB423" s="13">
        <v>2075600</v>
      </c>
      <c r="AC423" s="8"/>
      <c r="AD423" s="8"/>
      <c r="AE423" s="8"/>
      <c r="AF423" s="8"/>
      <c r="AG423" s="8"/>
      <c r="AH423" s="8"/>
      <c r="AI423" s="11">
        <v>0</v>
      </c>
      <c r="AJ423" s="10">
        <v>0</v>
      </c>
      <c r="AK423" s="10">
        <v>15030862070.4</v>
      </c>
      <c r="AL423" s="10">
        <v>9082259928.6000004</v>
      </c>
      <c r="AM423" s="10">
        <v>10300165054.85</v>
      </c>
      <c r="AN423" s="8"/>
      <c r="AO423" s="8"/>
      <c r="AP423" s="8"/>
      <c r="AQ423" s="8"/>
      <c r="AR423" s="8"/>
      <c r="AS423" s="8"/>
      <c r="AT423" s="10">
        <v>0</v>
      </c>
      <c r="AU423" s="14">
        <v>45777</v>
      </c>
      <c r="AV423" s="14">
        <v>45626</v>
      </c>
      <c r="AW423" s="14">
        <v>45291</v>
      </c>
      <c r="AX423" s="14">
        <v>44926</v>
      </c>
      <c r="AY423" s="8"/>
      <c r="AZ423" s="8"/>
      <c r="BA423" s="8"/>
      <c r="BB423" s="8"/>
      <c r="BC423" s="8"/>
      <c r="BD423" s="8"/>
      <c r="BE423" s="14">
        <v>41729</v>
      </c>
      <c r="BF423" s="8" t="s">
        <v>35</v>
      </c>
      <c r="BG423" s="8" t="s">
        <v>35</v>
      </c>
      <c r="BH423" s="8" t="s">
        <v>35</v>
      </c>
      <c r="BI423" s="8" t="s">
        <v>35</v>
      </c>
      <c r="BJ423" s="8"/>
      <c r="BK423" s="8"/>
      <c r="BL423" s="8"/>
      <c r="BM423" s="8"/>
      <c r="BN423" s="8"/>
      <c r="BO423" s="8"/>
      <c r="BP423" s="8" t="s">
        <v>35</v>
      </c>
      <c r="BQ423" s="8" t="s">
        <v>31</v>
      </c>
      <c r="BR423" s="8" t="s">
        <v>49</v>
      </c>
      <c r="BS423" s="10">
        <v>73800987564175.203</v>
      </c>
      <c r="BT423" s="8" t="s">
        <v>61</v>
      </c>
      <c r="BU423" s="8" t="s">
        <v>27</v>
      </c>
      <c r="BV423" s="8" t="s">
        <v>42</v>
      </c>
      <c r="BW423" s="8" t="s">
        <v>42</v>
      </c>
      <c r="BX423" s="8" t="s">
        <v>42</v>
      </c>
      <c r="BY423" s="8"/>
      <c r="BZ423" s="8"/>
      <c r="CA423" s="8"/>
      <c r="CB423" s="8"/>
      <c r="CC423" s="8"/>
      <c r="CD423" s="8"/>
      <c r="CE423" s="8" t="s">
        <v>27</v>
      </c>
      <c r="CF423" s="8" t="s">
        <v>50</v>
      </c>
      <c r="CG423" s="8" t="s">
        <v>51</v>
      </c>
    </row>
    <row r="424" spans="1:85" ht="15.75" customHeight="1" x14ac:dyDescent="0.35">
      <c r="A424" s="8">
        <v>417</v>
      </c>
      <c r="B424" s="8" t="s">
        <v>612</v>
      </c>
      <c r="C424" s="9">
        <v>0</v>
      </c>
      <c r="D424" s="9">
        <v>0</v>
      </c>
      <c r="E424" s="9">
        <v>6.0000000000000002E-6</v>
      </c>
      <c r="F424" s="9">
        <v>1.2999999999999999E-5</v>
      </c>
      <c r="G424" s="9">
        <v>1.5E-5</v>
      </c>
      <c r="H424" s="8"/>
      <c r="I424" s="8"/>
      <c r="J424" s="8"/>
      <c r="K424" s="8"/>
      <c r="L424" s="8"/>
      <c r="M424" s="8"/>
      <c r="N424" s="10">
        <v>0</v>
      </c>
      <c r="O424" s="10">
        <v>0</v>
      </c>
      <c r="P424" s="10">
        <v>564582</v>
      </c>
      <c r="Q424" s="10">
        <v>1205000</v>
      </c>
      <c r="R424" s="10">
        <v>1386800</v>
      </c>
      <c r="S424" s="8"/>
      <c r="T424" s="8"/>
      <c r="U424" s="8"/>
      <c r="V424" s="8"/>
      <c r="W424" s="8"/>
      <c r="X424" s="8"/>
      <c r="Y424" s="11">
        <v>0</v>
      </c>
      <c r="Z424" s="12">
        <v>-564582</v>
      </c>
      <c r="AA424" s="12">
        <v>-640418</v>
      </c>
      <c r="AB424" s="12">
        <v>-181800</v>
      </c>
      <c r="AC424" s="13">
        <v>1386800</v>
      </c>
      <c r="AD424" s="8"/>
      <c r="AE424" s="8"/>
      <c r="AF424" s="8"/>
      <c r="AG424" s="8"/>
      <c r="AH424" s="8"/>
      <c r="AI424" s="8"/>
      <c r="AJ424" s="10">
        <v>0</v>
      </c>
      <c r="AK424" s="10">
        <v>0</v>
      </c>
      <c r="AL424" s="10">
        <v>3415721133.4499998</v>
      </c>
      <c r="AM424" s="10">
        <v>5979812441.8999996</v>
      </c>
      <c r="AN424" s="10">
        <v>4866012907.5</v>
      </c>
      <c r="AO424" s="8"/>
      <c r="AP424" s="8"/>
      <c r="AQ424" s="8"/>
      <c r="AR424" s="8"/>
      <c r="AS424" s="8"/>
      <c r="AT424" s="8"/>
      <c r="AU424" s="14">
        <v>45657</v>
      </c>
      <c r="AV424" s="14">
        <v>45657</v>
      </c>
      <c r="AW424" s="14">
        <v>45291</v>
      </c>
      <c r="AX424" s="14">
        <v>44926</v>
      </c>
      <c r="AY424" s="14">
        <v>44561</v>
      </c>
      <c r="AZ424" s="8"/>
      <c r="BA424" s="8"/>
      <c r="BB424" s="8"/>
      <c r="BC424" s="8"/>
      <c r="BD424" s="8"/>
      <c r="BE424" s="8"/>
      <c r="BF424" s="8" t="s">
        <v>35</v>
      </c>
      <c r="BG424" s="8" t="s">
        <v>35</v>
      </c>
      <c r="BH424" s="8" t="s">
        <v>35</v>
      </c>
      <c r="BI424" s="8" t="s">
        <v>35</v>
      </c>
      <c r="BJ424" s="8" t="s">
        <v>35</v>
      </c>
      <c r="BK424" s="8"/>
      <c r="BL424" s="8"/>
      <c r="BM424" s="8"/>
      <c r="BN424" s="8"/>
      <c r="BO424" s="8"/>
      <c r="BP424" s="8"/>
      <c r="BQ424" s="8" t="s">
        <v>31</v>
      </c>
      <c r="BR424" s="8" t="s">
        <v>36</v>
      </c>
      <c r="BS424" s="10">
        <v>451292714091814</v>
      </c>
      <c r="BT424" s="8" t="s">
        <v>37</v>
      </c>
      <c r="BU424" s="8" t="s">
        <v>27</v>
      </c>
      <c r="BV424" s="8" t="s">
        <v>27</v>
      </c>
      <c r="BW424" s="8" t="s">
        <v>27</v>
      </c>
      <c r="BX424" s="8" t="s">
        <v>27</v>
      </c>
      <c r="BY424" s="8" t="s">
        <v>27</v>
      </c>
      <c r="BZ424" s="8"/>
      <c r="CA424" s="8"/>
      <c r="CB424" s="8"/>
      <c r="CC424" s="8"/>
      <c r="CD424" s="8"/>
      <c r="CE424" s="8"/>
      <c r="CF424" s="8" t="s">
        <v>50</v>
      </c>
      <c r="CG424" s="8" t="s">
        <v>51</v>
      </c>
    </row>
    <row r="425" spans="1:85" ht="15.75" customHeight="1" x14ac:dyDescent="0.35">
      <c r="A425" s="8">
        <v>418</v>
      </c>
      <c r="B425" s="8" t="s">
        <v>613</v>
      </c>
      <c r="C425" s="9">
        <v>0</v>
      </c>
      <c r="D425" s="9">
        <v>1.0000000000000001E-5</v>
      </c>
      <c r="E425" s="9">
        <v>0</v>
      </c>
      <c r="F425" s="8"/>
      <c r="G425" s="8"/>
      <c r="H425" s="8"/>
      <c r="I425" s="8"/>
      <c r="J425" s="8"/>
      <c r="K425" s="8"/>
      <c r="L425" s="8"/>
      <c r="M425" s="8"/>
      <c r="N425" s="10">
        <v>0</v>
      </c>
      <c r="O425" s="10">
        <v>912800</v>
      </c>
      <c r="P425" s="10">
        <v>0</v>
      </c>
      <c r="Q425" s="8"/>
      <c r="R425" s="8"/>
      <c r="S425" s="8"/>
      <c r="T425" s="8"/>
      <c r="U425" s="8"/>
      <c r="V425" s="8"/>
      <c r="W425" s="8"/>
      <c r="X425" s="8"/>
      <c r="Y425" s="12">
        <v>-912800</v>
      </c>
      <c r="Z425" s="13">
        <v>912800</v>
      </c>
      <c r="AA425" s="11">
        <v>0</v>
      </c>
      <c r="AB425" s="8"/>
      <c r="AC425" s="8"/>
      <c r="AD425" s="8"/>
      <c r="AE425" s="8"/>
      <c r="AF425" s="8"/>
      <c r="AG425" s="8"/>
      <c r="AH425" s="8"/>
      <c r="AI425" s="8"/>
      <c r="AJ425" s="10">
        <v>0</v>
      </c>
      <c r="AK425" s="10">
        <v>5190057495.3000002</v>
      </c>
      <c r="AL425" s="10">
        <v>0</v>
      </c>
      <c r="AM425" s="8"/>
      <c r="AN425" s="8"/>
      <c r="AO425" s="8"/>
      <c r="AP425" s="8"/>
      <c r="AQ425" s="8"/>
      <c r="AR425" s="8"/>
      <c r="AS425" s="8"/>
      <c r="AT425" s="8"/>
      <c r="AU425" s="14">
        <v>45869</v>
      </c>
      <c r="AV425" s="14">
        <v>45657</v>
      </c>
      <c r="AW425" s="14">
        <v>45230</v>
      </c>
      <c r="AX425" s="8"/>
      <c r="AY425" s="8"/>
      <c r="AZ425" s="8"/>
      <c r="BA425" s="8"/>
      <c r="BB425" s="8"/>
      <c r="BC425" s="8"/>
      <c r="BD425" s="8"/>
      <c r="BE425" s="8"/>
      <c r="BF425" s="8" t="s">
        <v>35</v>
      </c>
      <c r="BG425" s="8" t="s">
        <v>35</v>
      </c>
      <c r="BH425" s="8" t="s">
        <v>35</v>
      </c>
      <c r="BI425" s="8"/>
      <c r="BJ425" s="8"/>
      <c r="BK425" s="8"/>
      <c r="BL425" s="8"/>
      <c r="BM425" s="8"/>
      <c r="BN425" s="8"/>
      <c r="BO425" s="8"/>
      <c r="BP425" s="8"/>
      <c r="BQ425" s="8" t="s">
        <v>31</v>
      </c>
      <c r="BR425" s="8" t="s">
        <v>36</v>
      </c>
      <c r="BS425" s="10">
        <v>87275115562858.797</v>
      </c>
      <c r="BT425" s="8" t="s">
        <v>57</v>
      </c>
      <c r="BU425" s="8" t="s">
        <v>27</v>
      </c>
      <c r="BV425" s="8" t="s">
        <v>42</v>
      </c>
      <c r="BW425" s="8" t="s">
        <v>42</v>
      </c>
      <c r="BX425" s="8"/>
      <c r="BY425" s="8"/>
      <c r="BZ425" s="8"/>
      <c r="CA425" s="8"/>
      <c r="CB425" s="8"/>
      <c r="CC425" s="8"/>
      <c r="CD425" s="8"/>
      <c r="CE425" s="8"/>
      <c r="CF425" s="8" t="s">
        <v>50</v>
      </c>
      <c r="CG425" s="8" t="s">
        <v>51</v>
      </c>
    </row>
    <row r="426" spans="1:85" ht="15.75" customHeight="1" x14ac:dyDescent="0.35">
      <c r="A426" s="8">
        <v>419</v>
      </c>
      <c r="B426" s="8" t="s">
        <v>614</v>
      </c>
      <c r="C426" s="9">
        <v>0</v>
      </c>
      <c r="D426" s="9">
        <v>8.2999999999999998E-5</v>
      </c>
      <c r="E426" s="9">
        <v>6.0000000000000002E-6</v>
      </c>
      <c r="F426" s="9">
        <v>0</v>
      </c>
      <c r="G426" s="9">
        <v>0</v>
      </c>
      <c r="H426" s="9">
        <v>9.2900000000000003E-4</v>
      </c>
      <c r="I426" s="9">
        <v>1.176E-3</v>
      </c>
      <c r="J426" s="9">
        <v>4.5800000000000002E-4</v>
      </c>
      <c r="K426" s="9">
        <v>1.944E-3</v>
      </c>
      <c r="L426" s="9">
        <v>4.26E-4</v>
      </c>
      <c r="M426" s="9">
        <v>5.6400000000000005E-4</v>
      </c>
      <c r="N426" s="10">
        <v>0</v>
      </c>
      <c r="O426" s="10">
        <v>7673500</v>
      </c>
      <c r="P426" s="10">
        <v>519700</v>
      </c>
      <c r="Q426" s="10">
        <v>0</v>
      </c>
      <c r="R426" s="10">
        <v>0</v>
      </c>
      <c r="S426" s="10">
        <v>85816000</v>
      </c>
      <c r="T426" s="10">
        <v>108645320</v>
      </c>
      <c r="U426" s="10">
        <v>42293120</v>
      </c>
      <c r="V426" s="10">
        <v>179605080</v>
      </c>
      <c r="W426" s="10">
        <v>39334000</v>
      </c>
      <c r="X426" s="10">
        <v>52071600</v>
      </c>
      <c r="Y426" s="12">
        <v>-7673500</v>
      </c>
      <c r="Z426" s="13">
        <v>7153800</v>
      </c>
      <c r="AA426" s="13">
        <v>519700</v>
      </c>
      <c r="AB426" s="11">
        <v>0</v>
      </c>
      <c r="AC426" s="12">
        <v>-85816000</v>
      </c>
      <c r="AD426" s="12">
        <v>-22829320</v>
      </c>
      <c r="AE426" s="13">
        <v>66352200</v>
      </c>
      <c r="AF426" s="12">
        <v>-137311960</v>
      </c>
      <c r="AG426" s="13">
        <v>140271080</v>
      </c>
      <c r="AH426" s="12">
        <v>-12737600</v>
      </c>
      <c r="AI426" s="13">
        <v>52071600</v>
      </c>
      <c r="AJ426" s="10">
        <v>0</v>
      </c>
      <c r="AK426" s="10">
        <v>43630483898</v>
      </c>
      <c r="AL426" s="10">
        <v>3144185047.1500001</v>
      </c>
      <c r="AM426" s="10">
        <v>0</v>
      </c>
      <c r="AN426" s="10">
        <v>0</v>
      </c>
      <c r="AO426" s="10">
        <v>271393099754.39999</v>
      </c>
      <c r="AP426" s="10">
        <v>415728351380.40002</v>
      </c>
      <c r="AQ426" s="10">
        <v>154027191631.25</v>
      </c>
      <c r="AR426" s="10">
        <v>718420320043.25</v>
      </c>
      <c r="AS426" s="10">
        <v>113822762543.10001</v>
      </c>
      <c r="AT426" s="10">
        <v>120459267199.5</v>
      </c>
      <c r="AU426" s="14">
        <v>45777</v>
      </c>
      <c r="AV426" s="14">
        <v>45657</v>
      </c>
      <c r="AW426" s="14">
        <v>45291</v>
      </c>
      <c r="AX426" s="14">
        <v>44926</v>
      </c>
      <c r="AY426" s="14">
        <v>44561</v>
      </c>
      <c r="AZ426" s="14">
        <v>44196</v>
      </c>
      <c r="BA426" s="14">
        <v>43830</v>
      </c>
      <c r="BB426" s="14">
        <v>43465</v>
      </c>
      <c r="BC426" s="14">
        <v>43100</v>
      </c>
      <c r="BD426" s="14">
        <v>42735</v>
      </c>
      <c r="BE426" s="14">
        <v>42369</v>
      </c>
      <c r="BF426" s="8" t="s">
        <v>35</v>
      </c>
      <c r="BG426" s="8" t="s">
        <v>35</v>
      </c>
      <c r="BH426" s="8" t="s">
        <v>35</v>
      </c>
      <c r="BI426" s="8" t="s">
        <v>35</v>
      </c>
      <c r="BJ426" s="8" t="s">
        <v>35</v>
      </c>
      <c r="BK426" s="8" t="s">
        <v>35</v>
      </c>
      <c r="BL426" s="8" t="s">
        <v>35</v>
      </c>
      <c r="BM426" s="8" t="s">
        <v>35</v>
      </c>
      <c r="BN426" s="8" t="s">
        <v>35</v>
      </c>
      <c r="BO426" s="8" t="s">
        <v>35</v>
      </c>
      <c r="BP426" s="8" t="s">
        <v>35</v>
      </c>
      <c r="BQ426" s="8" t="s">
        <v>31</v>
      </c>
      <c r="BR426" s="8" t="s">
        <v>36</v>
      </c>
      <c r="BS426" s="10">
        <v>1595269282931300</v>
      </c>
      <c r="BT426" s="8" t="s">
        <v>37</v>
      </c>
      <c r="BU426" s="8" t="s">
        <v>27</v>
      </c>
      <c r="BV426" s="8" t="s">
        <v>27</v>
      </c>
      <c r="BW426" s="8" t="s">
        <v>27</v>
      </c>
      <c r="BX426" s="8" t="s">
        <v>27</v>
      </c>
      <c r="BY426" s="8" t="s">
        <v>42</v>
      </c>
      <c r="BZ426" s="8" t="s">
        <v>27</v>
      </c>
      <c r="CA426" s="8" t="s">
        <v>27</v>
      </c>
      <c r="CB426" s="8" t="s">
        <v>27</v>
      </c>
      <c r="CC426" s="8" t="s">
        <v>27</v>
      </c>
      <c r="CD426" s="8" t="s">
        <v>27</v>
      </c>
      <c r="CE426" s="8" t="s">
        <v>27</v>
      </c>
      <c r="CF426" s="8" t="s">
        <v>615</v>
      </c>
      <c r="CG426" s="8" t="s">
        <v>39</v>
      </c>
    </row>
    <row r="427" spans="1:85" ht="15.75" customHeight="1" x14ac:dyDescent="0.35">
      <c r="A427" s="8">
        <v>420</v>
      </c>
      <c r="B427" s="8" t="s">
        <v>616</v>
      </c>
      <c r="C427" s="9">
        <v>0</v>
      </c>
      <c r="D427" s="9">
        <v>0</v>
      </c>
      <c r="E427" s="9">
        <v>3.9999999999999998E-6</v>
      </c>
      <c r="F427" s="9">
        <v>7.9999999999999996E-6</v>
      </c>
      <c r="G427" s="9">
        <v>9.0000000000000002E-6</v>
      </c>
      <c r="H427" s="8"/>
      <c r="I427" s="8"/>
      <c r="J427" s="8"/>
      <c r="K427" s="8"/>
      <c r="L427" s="8"/>
      <c r="M427" s="8"/>
      <c r="N427" s="10">
        <v>0</v>
      </c>
      <c r="O427" s="10">
        <v>0</v>
      </c>
      <c r="P427" s="10">
        <v>387359</v>
      </c>
      <c r="Q427" s="10">
        <v>719588</v>
      </c>
      <c r="R427" s="10">
        <v>813266</v>
      </c>
      <c r="S427" s="8"/>
      <c r="T427" s="8"/>
      <c r="U427" s="8"/>
      <c r="V427" s="8"/>
      <c r="W427" s="8"/>
      <c r="X427" s="8"/>
      <c r="Y427" s="11">
        <v>0</v>
      </c>
      <c r="Z427" s="12">
        <v>-387359</v>
      </c>
      <c r="AA427" s="12">
        <v>-332229</v>
      </c>
      <c r="AB427" s="12">
        <v>-93678</v>
      </c>
      <c r="AC427" s="13">
        <v>813266</v>
      </c>
      <c r="AD427" s="8"/>
      <c r="AE427" s="8"/>
      <c r="AF427" s="8"/>
      <c r="AG427" s="8"/>
      <c r="AH427" s="8"/>
      <c r="AI427" s="8"/>
      <c r="AJ427" s="10">
        <v>0</v>
      </c>
      <c r="AK427" s="10">
        <v>0</v>
      </c>
      <c r="AL427" s="10">
        <v>2343521887.1500001</v>
      </c>
      <c r="AM427" s="10">
        <v>3570955453.4499998</v>
      </c>
      <c r="AN427" s="10">
        <v>2853592995</v>
      </c>
      <c r="AO427" s="8"/>
      <c r="AP427" s="8"/>
      <c r="AQ427" s="8"/>
      <c r="AR427" s="8"/>
      <c r="AS427" s="8"/>
      <c r="AT427" s="8"/>
      <c r="AU427" s="14">
        <v>45657</v>
      </c>
      <c r="AV427" s="14">
        <v>45657</v>
      </c>
      <c r="AW427" s="14">
        <v>45291</v>
      </c>
      <c r="AX427" s="14">
        <v>44926</v>
      </c>
      <c r="AY427" s="14">
        <v>44561</v>
      </c>
      <c r="AZ427" s="8"/>
      <c r="BA427" s="8"/>
      <c r="BB427" s="8"/>
      <c r="BC427" s="8"/>
      <c r="BD427" s="8"/>
      <c r="BE427" s="8"/>
      <c r="BF427" s="8" t="s">
        <v>35</v>
      </c>
      <c r="BG427" s="8" t="s">
        <v>35</v>
      </c>
      <c r="BH427" s="8" t="s">
        <v>35</v>
      </c>
      <c r="BI427" s="8" t="s">
        <v>35</v>
      </c>
      <c r="BJ427" s="8" t="s">
        <v>35</v>
      </c>
      <c r="BK427" s="8"/>
      <c r="BL427" s="8"/>
      <c r="BM427" s="8"/>
      <c r="BN427" s="8"/>
      <c r="BO427" s="8"/>
      <c r="BP427" s="8"/>
      <c r="BQ427" s="8" t="s">
        <v>31</v>
      </c>
      <c r="BR427" s="8" t="s">
        <v>36</v>
      </c>
      <c r="BS427" s="10">
        <v>776753870037.59998</v>
      </c>
      <c r="BT427" s="8"/>
      <c r="BU427" s="8" t="s">
        <v>42</v>
      </c>
      <c r="BV427" s="8" t="s">
        <v>43</v>
      </c>
      <c r="BW427" s="8" t="s">
        <v>43</v>
      </c>
      <c r="BX427" s="8" t="s">
        <v>42</v>
      </c>
      <c r="BY427" s="8" t="s">
        <v>43</v>
      </c>
      <c r="BZ427" s="8"/>
      <c r="CA427" s="8"/>
      <c r="CB427" s="8"/>
      <c r="CC427" s="8"/>
      <c r="CD427" s="8"/>
      <c r="CE427" s="8"/>
      <c r="CF427" s="8" t="s">
        <v>346</v>
      </c>
      <c r="CG427" s="8" t="s">
        <v>347</v>
      </c>
    </row>
    <row r="428" spans="1:85" ht="15.75" customHeight="1" x14ac:dyDescent="0.35">
      <c r="A428" s="8">
        <v>421</v>
      </c>
      <c r="B428" s="8" t="s">
        <v>617</v>
      </c>
      <c r="C428" s="9">
        <v>0</v>
      </c>
      <c r="D428" s="9">
        <v>0</v>
      </c>
      <c r="E428" s="9">
        <v>5.3000000000000001E-5</v>
      </c>
      <c r="F428" s="9">
        <v>8.0000000000000007E-5</v>
      </c>
      <c r="G428" s="9">
        <v>0</v>
      </c>
      <c r="H428" s="9">
        <v>0</v>
      </c>
      <c r="I428" s="9">
        <v>1.1400000000000001E-4</v>
      </c>
      <c r="J428" s="8"/>
      <c r="K428" s="8"/>
      <c r="L428" s="8"/>
      <c r="M428" s="8"/>
      <c r="N428" s="10">
        <v>0</v>
      </c>
      <c r="O428" s="10">
        <v>0</v>
      </c>
      <c r="P428" s="10">
        <v>4897100</v>
      </c>
      <c r="Q428" s="10">
        <v>7425200</v>
      </c>
      <c r="R428" s="10">
        <v>0</v>
      </c>
      <c r="S428" s="10">
        <v>0</v>
      </c>
      <c r="T428" s="10">
        <v>10575200</v>
      </c>
      <c r="U428" s="8"/>
      <c r="V428" s="8"/>
      <c r="W428" s="8"/>
      <c r="X428" s="8"/>
      <c r="Y428" s="11">
        <v>0</v>
      </c>
      <c r="Z428" s="12">
        <v>-4897100</v>
      </c>
      <c r="AA428" s="12">
        <v>-2528100</v>
      </c>
      <c r="AB428" s="13">
        <v>7425200</v>
      </c>
      <c r="AC428" s="11">
        <v>0</v>
      </c>
      <c r="AD428" s="12">
        <v>-10575200</v>
      </c>
      <c r="AE428" s="13">
        <v>10575200</v>
      </c>
      <c r="AF428" s="8"/>
      <c r="AG428" s="8"/>
      <c r="AH428" s="8"/>
      <c r="AI428" s="8"/>
      <c r="AJ428" s="10">
        <v>0</v>
      </c>
      <c r="AK428" s="10">
        <v>0</v>
      </c>
      <c r="AL428" s="10">
        <v>29627455042.25</v>
      </c>
      <c r="AM428" s="10">
        <v>36847554955.199997</v>
      </c>
      <c r="AN428" s="10">
        <v>0</v>
      </c>
      <c r="AO428" s="10">
        <v>0</v>
      </c>
      <c r="AP428" s="10">
        <v>40465714107.599998</v>
      </c>
      <c r="AQ428" s="8"/>
      <c r="AR428" s="8"/>
      <c r="AS428" s="8"/>
      <c r="AT428" s="8"/>
      <c r="AU428" s="14">
        <v>45657</v>
      </c>
      <c r="AV428" s="14">
        <v>45657</v>
      </c>
      <c r="AW428" s="14">
        <v>45291</v>
      </c>
      <c r="AX428" s="14">
        <v>44926</v>
      </c>
      <c r="AY428" s="14">
        <v>44012</v>
      </c>
      <c r="AZ428" s="14">
        <v>44012</v>
      </c>
      <c r="BA428" s="14">
        <v>43830</v>
      </c>
      <c r="BB428" s="8"/>
      <c r="BC428" s="8"/>
      <c r="BD428" s="8"/>
      <c r="BE428" s="8"/>
      <c r="BF428" s="8" t="s">
        <v>35</v>
      </c>
      <c r="BG428" s="8" t="s">
        <v>35</v>
      </c>
      <c r="BH428" s="8" t="s">
        <v>35</v>
      </c>
      <c r="BI428" s="8" t="s">
        <v>35</v>
      </c>
      <c r="BJ428" s="8" t="s">
        <v>35</v>
      </c>
      <c r="BK428" s="8" t="s">
        <v>35</v>
      </c>
      <c r="BL428" s="8" t="s">
        <v>35</v>
      </c>
      <c r="BM428" s="8"/>
      <c r="BN428" s="8"/>
      <c r="BO428" s="8"/>
      <c r="BP428" s="8"/>
      <c r="BQ428" s="8" t="s">
        <v>31</v>
      </c>
      <c r="BR428" s="8" t="s">
        <v>36</v>
      </c>
      <c r="BS428" s="10">
        <v>0</v>
      </c>
      <c r="BT428" s="8" t="s">
        <v>91</v>
      </c>
      <c r="BU428" s="8" t="s">
        <v>42</v>
      </c>
      <c r="BV428" s="8"/>
      <c r="BW428" s="8"/>
      <c r="BX428" s="8" t="s">
        <v>27</v>
      </c>
      <c r="BY428" s="8" t="s">
        <v>42</v>
      </c>
      <c r="BZ428" s="8" t="s">
        <v>27</v>
      </c>
      <c r="CA428" s="8" t="s">
        <v>43</v>
      </c>
      <c r="CB428" s="8"/>
      <c r="CC428" s="8"/>
      <c r="CD428" s="8"/>
      <c r="CE428" s="8"/>
      <c r="CF428" s="8" t="s">
        <v>258</v>
      </c>
      <c r="CG428" s="8" t="s">
        <v>71</v>
      </c>
    </row>
    <row r="429" spans="1:85" ht="15.75" customHeight="1" x14ac:dyDescent="0.35">
      <c r="A429" s="8">
        <v>422</v>
      </c>
      <c r="B429" s="8" t="s">
        <v>618</v>
      </c>
      <c r="C429" s="9">
        <v>0</v>
      </c>
      <c r="D429" s="9">
        <v>7.9999999999999996E-6</v>
      </c>
      <c r="E429" s="9">
        <v>1.2999999999999999E-5</v>
      </c>
      <c r="F429" s="9">
        <v>3.4999999999999997E-5</v>
      </c>
      <c r="G429" s="9">
        <v>1.9000000000000001E-5</v>
      </c>
      <c r="H429" s="8"/>
      <c r="I429" s="9">
        <v>7.9999999999999996E-6</v>
      </c>
      <c r="J429" s="9">
        <v>6.9999999999999999E-6</v>
      </c>
      <c r="K429" s="9">
        <v>9.0000000000000002E-6</v>
      </c>
      <c r="L429" s="9">
        <v>1.2999999999999999E-5</v>
      </c>
      <c r="M429" s="8"/>
      <c r="N429" s="10">
        <v>0</v>
      </c>
      <c r="O429" s="10">
        <v>707000</v>
      </c>
      <c r="P429" s="10">
        <v>1200200</v>
      </c>
      <c r="Q429" s="10">
        <v>3223600</v>
      </c>
      <c r="R429" s="10">
        <v>1801200</v>
      </c>
      <c r="S429" s="8"/>
      <c r="T429" s="10">
        <v>733200</v>
      </c>
      <c r="U429" s="10">
        <v>636400</v>
      </c>
      <c r="V429" s="10">
        <v>788400</v>
      </c>
      <c r="W429" s="10">
        <v>1164000</v>
      </c>
      <c r="X429" s="8"/>
      <c r="Y429" s="12">
        <v>-707000</v>
      </c>
      <c r="Z429" s="12">
        <v>-493200</v>
      </c>
      <c r="AA429" s="12">
        <v>-2023400</v>
      </c>
      <c r="AB429" s="13">
        <v>1422400</v>
      </c>
      <c r="AC429" s="13">
        <v>1801200</v>
      </c>
      <c r="AD429" s="8"/>
      <c r="AE429" s="13">
        <v>96800</v>
      </c>
      <c r="AF429" s="12">
        <v>-152000</v>
      </c>
      <c r="AG429" s="12">
        <v>-375600</v>
      </c>
      <c r="AH429" s="13">
        <v>1164000</v>
      </c>
      <c r="AI429" s="8"/>
      <c r="AJ429" s="10">
        <v>0</v>
      </c>
      <c r="AK429" s="10">
        <v>4895974988.25</v>
      </c>
      <c r="AL429" s="10">
        <v>7200909889.5</v>
      </c>
      <c r="AM429" s="10">
        <v>15191214963.75</v>
      </c>
      <c r="AN429" s="10">
        <v>5538689936.1000004</v>
      </c>
      <c r="AO429" s="8"/>
      <c r="AP429" s="10">
        <v>2612025041.8000002</v>
      </c>
      <c r="AQ429" s="10">
        <v>2641059931.1999998</v>
      </c>
      <c r="AR429" s="10">
        <v>2582010016.3200002</v>
      </c>
      <c r="AS429" s="10">
        <v>3266474944.5999999</v>
      </c>
      <c r="AT429" s="8"/>
      <c r="AU429" s="14">
        <v>45747</v>
      </c>
      <c r="AV429" s="14">
        <v>45565</v>
      </c>
      <c r="AW429" s="14">
        <v>45199</v>
      </c>
      <c r="AX429" s="14">
        <v>44834</v>
      </c>
      <c r="AY429" s="14">
        <v>44469</v>
      </c>
      <c r="AZ429" s="8"/>
      <c r="BA429" s="14">
        <v>43524</v>
      </c>
      <c r="BB429" s="14">
        <v>43159</v>
      </c>
      <c r="BC429" s="14">
        <v>42978</v>
      </c>
      <c r="BD429" s="14">
        <v>42613</v>
      </c>
      <c r="BE429" s="8"/>
      <c r="BF429" s="8" t="s">
        <v>35</v>
      </c>
      <c r="BG429" s="8" t="s">
        <v>35</v>
      </c>
      <c r="BH429" s="8" t="s">
        <v>35</v>
      </c>
      <c r="BI429" s="8" t="s">
        <v>35</v>
      </c>
      <c r="BJ429" s="8" t="s">
        <v>35</v>
      </c>
      <c r="BK429" s="8"/>
      <c r="BL429" s="8" t="s">
        <v>35</v>
      </c>
      <c r="BM429" s="8" t="s">
        <v>35</v>
      </c>
      <c r="BN429" s="8" t="s">
        <v>35</v>
      </c>
      <c r="BO429" s="8" t="s">
        <v>35</v>
      </c>
      <c r="BP429" s="8"/>
      <c r="BQ429" s="8" t="s">
        <v>31</v>
      </c>
      <c r="BR429" s="8" t="s">
        <v>36</v>
      </c>
      <c r="BS429" s="10">
        <v>12510374175934.801</v>
      </c>
      <c r="BT429" s="8"/>
      <c r="BU429" s="8" t="s">
        <v>27</v>
      </c>
      <c r="BV429" s="8" t="s">
        <v>27</v>
      </c>
      <c r="BW429" s="8" t="s">
        <v>27</v>
      </c>
      <c r="BX429" s="8" t="s">
        <v>27</v>
      </c>
      <c r="BY429" s="8" t="s">
        <v>42</v>
      </c>
      <c r="BZ429" s="8"/>
      <c r="CA429" s="8" t="s">
        <v>42</v>
      </c>
      <c r="CB429" s="8" t="s">
        <v>42</v>
      </c>
      <c r="CC429" s="8" t="s">
        <v>42</v>
      </c>
      <c r="CD429" s="8" t="s">
        <v>42</v>
      </c>
      <c r="CE429" s="8"/>
      <c r="CF429" s="8" t="s">
        <v>58</v>
      </c>
      <c r="CG429" s="8" t="s">
        <v>59</v>
      </c>
    </row>
    <row r="430" spans="1:85" ht="15.75" customHeight="1" x14ac:dyDescent="0.35">
      <c r="A430" s="8">
        <v>423</v>
      </c>
      <c r="B430" s="8" t="s">
        <v>619</v>
      </c>
      <c r="C430" s="9">
        <v>0</v>
      </c>
      <c r="D430" s="9">
        <v>0</v>
      </c>
      <c r="E430" s="9">
        <v>2.0999999999999999E-5</v>
      </c>
      <c r="F430" s="9">
        <v>3.4999999999999997E-5</v>
      </c>
      <c r="G430" s="8"/>
      <c r="H430" s="9">
        <v>0</v>
      </c>
      <c r="I430" s="9">
        <v>0</v>
      </c>
      <c r="J430" s="9">
        <v>7.9999999999999996E-6</v>
      </c>
      <c r="K430" s="9">
        <v>5.0000000000000004E-6</v>
      </c>
      <c r="L430" s="8"/>
      <c r="M430" s="8"/>
      <c r="N430" s="10">
        <v>0</v>
      </c>
      <c r="O430" s="10">
        <v>0</v>
      </c>
      <c r="P430" s="10">
        <v>1933000</v>
      </c>
      <c r="Q430" s="10">
        <v>3256000</v>
      </c>
      <c r="R430" s="8"/>
      <c r="S430" s="10">
        <v>0</v>
      </c>
      <c r="T430" s="10">
        <v>0</v>
      </c>
      <c r="U430" s="10">
        <v>730000</v>
      </c>
      <c r="V430" s="10">
        <v>440000</v>
      </c>
      <c r="W430" s="8"/>
      <c r="X430" s="8"/>
      <c r="Y430" s="11">
        <v>0</v>
      </c>
      <c r="Z430" s="12">
        <v>-1933000</v>
      </c>
      <c r="AA430" s="12">
        <v>-1323000</v>
      </c>
      <c r="AB430" s="13">
        <v>3256000</v>
      </c>
      <c r="AC430" s="8"/>
      <c r="AD430" s="11">
        <v>0</v>
      </c>
      <c r="AE430" s="12">
        <v>-730000</v>
      </c>
      <c r="AF430" s="13">
        <v>290000</v>
      </c>
      <c r="AG430" s="13">
        <v>440000</v>
      </c>
      <c r="AH430" s="8"/>
      <c r="AI430" s="8"/>
      <c r="AJ430" s="10">
        <v>0</v>
      </c>
      <c r="AK430" s="10">
        <v>0</v>
      </c>
      <c r="AL430" s="10">
        <v>11694649948.549999</v>
      </c>
      <c r="AM430" s="10">
        <v>16157899956.549999</v>
      </c>
      <c r="AN430" s="8"/>
      <c r="AO430" s="10">
        <v>0</v>
      </c>
      <c r="AP430" s="10">
        <v>0</v>
      </c>
      <c r="AQ430" s="10">
        <v>2658584950</v>
      </c>
      <c r="AR430" s="10">
        <v>1760000013.55</v>
      </c>
      <c r="AS430" s="8"/>
      <c r="AT430" s="8"/>
      <c r="AU430" s="14">
        <v>45473</v>
      </c>
      <c r="AV430" s="14">
        <v>45473</v>
      </c>
      <c r="AW430" s="14">
        <v>45291</v>
      </c>
      <c r="AX430" s="14">
        <v>44926</v>
      </c>
      <c r="AY430" s="8"/>
      <c r="AZ430" s="14">
        <v>43738</v>
      </c>
      <c r="BA430" s="14">
        <v>43738</v>
      </c>
      <c r="BB430" s="14">
        <v>43465</v>
      </c>
      <c r="BC430" s="14">
        <v>43100</v>
      </c>
      <c r="BD430" s="8"/>
      <c r="BE430" s="8"/>
      <c r="BF430" s="8" t="s">
        <v>35</v>
      </c>
      <c r="BG430" s="8" t="s">
        <v>35</v>
      </c>
      <c r="BH430" s="8" t="s">
        <v>35</v>
      </c>
      <c r="BI430" s="8" t="s">
        <v>35</v>
      </c>
      <c r="BJ430" s="8"/>
      <c r="BK430" s="8" t="s">
        <v>35</v>
      </c>
      <c r="BL430" s="8" t="s">
        <v>35</v>
      </c>
      <c r="BM430" s="8" t="s">
        <v>35</v>
      </c>
      <c r="BN430" s="8" t="s">
        <v>35</v>
      </c>
      <c r="BO430" s="8"/>
      <c r="BP430" s="8"/>
      <c r="BQ430" s="8" t="s">
        <v>31</v>
      </c>
      <c r="BR430" s="8" t="s">
        <v>49</v>
      </c>
      <c r="BS430" s="10">
        <v>9388580888822.4004</v>
      </c>
      <c r="BT430" s="8"/>
      <c r="BU430" s="8" t="s">
        <v>27</v>
      </c>
      <c r="BV430" s="8" t="s">
        <v>42</v>
      </c>
      <c r="BW430" s="8" t="s">
        <v>42</v>
      </c>
      <c r="BX430" s="8" t="s">
        <v>27</v>
      </c>
      <c r="BY430" s="8"/>
      <c r="BZ430" s="8" t="s">
        <v>43</v>
      </c>
      <c r="CA430" s="8" t="s">
        <v>43</v>
      </c>
      <c r="CB430" s="8" t="s">
        <v>43</v>
      </c>
      <c r="CC430" s="8" t="s">
        <v>43</v>
      </c>
      <c r="CD430" s="8"/>
      <c r="CE430" s="8"/>
      <c r="CF430" s="8" t="s">
        <v>301</v>
      </c>
      <c r="CG430" s="8" t="s">
        <v>302</v>
      </c>
    </row>
    <row r="431" spans="1:85" ht="15.75" customHeight="1" x14ac:dyDescent="0.35">
      <c r="A431" s="8">
        <v>424</v>
      </c>
      <c r="B431" s="8" t="s">
        <v>620</v>
      </c>
      <c r="C431" s="9">
        <v>0</v>
      </c>
      <c r="D431" s="9">
        <v>1.9999999999999999E-6</v>
      </c>
      <c r="E431" s="8"/>
      <c r="F431" s="8"/>
      <c r="G431" s="8"/>
      <c r="H431" s="8"/>
      <c r="I431" s="8"/>
      <c r="J431" s="8"/>
      <c r="K431" s="8"/>
      <c r="L431" s="8"/>
      <c r="M431" s="8"/>
      <c r="N431" s="10">
        <v>0</v>
      </c>
      <c r="O431" s="10">
        <v>163200</v>
      </c>
      <c r="P431" s="8"/>
      <c r="Q431" s="8"/>
      <c r="R431" s="8"/>
      <c r="S431" s="8"/>
      <c r="T431" s="8"/>
      <c r="U431" s="8"/>
      <c r="V431" s="8"/>
      <c r="W431" s="8"/>
      <c r="X431" s="8"/>
      <c r="Y431" s="12">
        <v>-163200</v>
      </c>
      <c r="Z431" s="13">
        <v>163200</v>
      </c>
      <c r="AA431" s="8"/>
      <c r="AB431" s="8"/>
      <c r="AC431" s="8"/>
      <c r="AD431" s="8"/>
      <c r="AE431" s="8"/>
      <c r="AF431" s="8"/>
      <c r="AG431" s="8"/>
      <c r="AH431" s="8"/>
      <c r="AI431" s="8"/>
      <c r="AJ431" s="10">
        <v>0</v>
      </c>
      <c r="AK431" s="10">
        <v>927933147.79999995</v>
      </c>
      <c r="AL431" s="8"/>
      <c r="AM431" s="8"/>
      <c r="AN431" s="8"/>
      <c r="AO431" s="8"/>
      <c r="AP431" s="8"/>
      <c r="AQ431" s="8"/>
      <c r="AR431" s="8"/>
      <c r="AS431" s="8"/>
      <c r="AT431" s="8"/>
      <c r="AU431" s="14">
        <v>45688</v>
      </c>
      <c r="AV431" s="14">
        <v>45657</v>
      </c>
      <c r="AW431" s="8"/>
      <c r="AX431" s="8"/>
      <c r="AY431" s="8"/>
      <c r="AZ431" s="8"/>
      <c r="BA431" s="8"/>
      <c r="BB431" s="8"/>
      <c r="BC431" s="8"/>
      <c r="BD431" s="8"/>
      <c r="BE431" s="8"/>
      <c r="BF431" s="8" t="s">
        <v>35</v>
      </c>
      <c r="BG431" s="8" t="s">
        <v>35</v>
      </c>
      <c r="BH431" s="8"/>
      <c r="BI431" s="8"/>
      <c r="BJ431" s="8"/>
      <c r="BK431" s="8"/>
      <c r="BL431" s="8"/>
      <c r="BM431" s="8"/>
      <c r="BN431" s="8"/>
      <c r="BO431" s="8"/>
      <c r="BP431" s="8"/>
      <c r="BQ431" s="8" t="s">
        <v>31</v>
      </c>
      <c r="BR431" s="8" t="s">
        <v>36</v>
      </c>
      <c r="BS431" s="10">
        <v>49002068198804.398</v>
      </c>
      <c r="BT431" s="8" t="s">
        <v>91</v>
      </c>
      <c r="BU431" s="8" t="s">
        <v>27</v>
      </c>
      <c r="BV431" s="8" t="s">
        <v>27</v>
      </c>
      <c r="BW431" s="8"/>
      <c r="BX431" s="8"/>
      <c r="BY431" s="8"/>
      <c r="BZ431" s="8"/>
      <c r="CA431" s="8"/>
      <c r="CB431" s="8"/>
      <c r="CC431" s="8"/>
      <c r="CD431" s="8"/>
      <c r="CE431" s="8"/>
      <c r="CF431" s="8" t="s">
        <v>450</v>
      </c>
      <c r="CG431" s="8" t="s">
        <v>39</v>
      </c>
    </row>
    <row r="432" spans="1:85" ht="15.75" customHeight="1" x14ac:dyDescent="0.35">
      <c r="A432" s="8">
        <v>425</v>
      </c>
      <c r="B432" s="8" t="s">
        <v>621</v>
      </c>
      <c r="C432" s="9">
        <v>0</v>
      </c>
      <c r="D432" s="9">
        <v>8.4099999999999995E-4</v>
      </c>
      <c r="E432" s="9">
        <v>7.2300000000000001E-4</v>
      </c>
      <c r="F432" s="8"/>
      <c r="G432" s="8"/>
      <c r="H432" s="8"/>
      <c r="I432" s="8"/>
      <c r="J432" s="8"/>
      <c r="K432" s="8"/>
      <c r="L432" s="9">
        <v>0</v>
      </c>
      <c r="M432" s="9">
        <v>0</v>
      </c>
      <c r="N432" s="10">
        <v>0</v>
      </c>
      <c r="O432" s="10">
        <v>77722001</v>
      </c>
      <c r="P432" s="10">
        <v>66841901</v>
      </c>
      <c r="Q432" s="8"/>
      <c r="R432" s="8"/>
      <c r="S432" s="8"/>
      <c r="T432" s="8"/>
      <c r="U432" s="8"/>
      <c r="V432" s="8"/>
      <c r="W432" s="10">
        <v>0</v>
      </c>
      <c r="X432" s="10">
        <v>0</v>
      </c>
      <c r="Y432" s="12">
        <v>-77722001</v>
      </c>
      <c r="Z432" s="13">
        <v>10880100</v>
      </c>
      <c r="AA432" s="13">
        <v>66841901</v>
      </c>
      <c r="AB432" s="8"/>
      <c r="AC432" s="8"/>
      <c r="AD432" s="8"/>
      <c r="AE432" s="8"/>
      <c r="AF432" s="8"/>
      <c r="AG432" s="8"/>
      <c r="AH432" s="11">
        <v>0</v>
      </c>
      <c r="AI432" s="11">
        <v>0</v>
      </c>
      <c r="AJ432" s="10">
        <v>0</v>
      </c>
      <c r="AK432" s="10">
        <v>441916793008.90002</v>
      </c>
      <c r="AL432" s="10">
        <v>404393500716.25</v>
      </c>
      <c r="AM432" s="8"/>
      <c r="AN432" s="8"/>
      <c r="AO432" s="8"/>
      <c r="AP432" s="8"/>
      <c r="AQ432" s="8"/>
      <c r="AR432" s="8"/>
      <c r="AS432" s="10">
        <v>0</v>
      </c>
      <c r="AT432" s="10">
        <v>0</v>
      </c>
      <c r="AU432" s="14">
        <v>45747</v>
      </c>
      <c r="AV432" s="14">
        <v>45657</v>
      </c>
      <c r="AW432" s="14">
        <v>45291</v>
      </c>
      <c r="AX432" s="8"/>
      <c r="AY432" s="8"/>
      <c r="AZ432" s="8"/>
      <c r="BA432" s="8"/>
      <c r="BB432" s="8"/>
      <c r="BC432" s="8"/>
      <c r="BD432" s="14">
        <v>42277</v>
      </c>
      <c r="BE432" s="14">
        <v>42277</v>
      </c>
      <c r="BF432" s="8" t="s">
        <v>35</v>
      </c>
      <c r="BG432" s="8" t="s">
        <v>35</v>
      </c>
      <c r="BH432" s="8" t="s">
        <v>35</v>
      </c>
      <c r="BI432" s="8"/>
      <c r="BJ432" s="8"/>
      <c r="BK432" s="8"/>
      <c r="BL432" s="8"/>
      <c r="BM432" s="8"/>
      <c r="BN432" s="8"/>
      <c r="BO432" s="8" t="s">
        <v>35</v>
      </c>
      <c r="BP432" s="8" t="s">
        <v>35</v>
      </c>
      <c r="BQ432" s="8" t="s">
        <v>31</v>
      </c>
      <c r="BR432" s="8" t="s">
        <v>49</v>
      </c>
      <c r="BS432" s="10">
        <v>1002124515722230</v>
      </c>
      <c r="BT432" s="8" t="s">
        <v>41</v>
      </c>
      <c r="BU432" s="8" t="s">
        <v>27</v>
      </c>
      <c r="BV432" s="8" t="s">
        <v>27</v>
      </c>
      <c r="BW432" s="8" t="s">
        <v>27</v>
      </c>
      <c r="BX432" s="8"/>
      <c r="BY432" s="8"/>
      <c r="BZ432" s="8"/>
      <c r="CA432" s="8"/>
      <c r="CB432" s="8"/>
      <c r="CC432" s="8"/>
      <c r="CD432" s="8" t="s">
        <v>42</v>
      </c>
      <c r="CE432" s="8" t="s">
        <v>42</v>
      </c>
      <c r="CF432" s="8" t="s">
        <v>50</v>
      </c>
      <c r="CG432" s="8" t="s">
        <v>51</v>
      </c>
    </row>
    <row r="433" spans="1:85" ht="15.75" customHeight="1" x14ac:dyDescent="0.35">
      <c r="A433" s="8">
        <v>426</v>
      </c>
      <c r="B433" s="8" t="s">
        <v>622</v>
      </c>
      <c r="C433" s="9">
        <v>0</v>
      </c>
      <c r="D433" s="9">
        <v>0</v>
      </c>
      <c r="E433" s="9">
        <v>1.8200000000000001E-4</v>
      </c>
      <c r="F433" s="8"/>
      <c r="G433" s="8"/>
      <c r="H433" s="8"/>
      <c r="I433" s="8"/>
      <c r="J433" s="8"/>
      <c r="K433" s="8"/>
      <c r="L433" s="8"/>
      <c r="M433" s="8"/>
      <c r="N433" s="10">
        <v>0</v>
      </c>
      <c r="O433" s="10">
        <v>0</v>
      </c>
      <c r="P433" s="10">
        <v>16792000</v>
      </c>
      <c r="Q433" s="8"/>
      <c r="R433" s="8"/>
      <c r="S433" s="8"/>
      <c r="T433" s="8"/>
      <c r="U433" s="8"/>
      <c r="V433" s="8"/>
      <c r="W433" s="8"/>
      <c r="X433" s="8"/>
      <c r="Y433" s="11">
        <v>0</v>
      </c>
      <c r="Z433" s="12">
        <v>-16792000</v>
      </c>
      <c r="AA433" s="13">
        <v>16792000</v>
      </c>
      <c r="AB433" s="8"/>
      <c r="AC433" s="8"/>
      <c r="AD433" s="8"/>
      <c r="AE433" s="8"/>
      <c r="AF433" s="8"/>
      <c r="AG433" s="8"/>
      <c r="AH433" s="8"/>
      <c r="AI433" s="8"/>
      <c r="AJ433" s="10">
        <v>0</v>
      </c>
      <c r="AK433" s="10">
        <v>0</v>
      </c>
      <c r="AL433" s="10">
        <v>101591599919.64999</v>
      </c>
      <c r="AM433" s="8"/>
      <c r="AN433" s="8"/>
      <c r="AO433" s="8"/>
      <c r="AP433" s="8"/>
      <c r="AQ433" s="8"/>
      <c r="AR433" s="8"/>
      <c r="AS433" s="8"/>
      <c r="AT433" s="8"/>
      <c r="AU433" s="14">
        <v>45473</v>
      </c>
      <c r="AV433" s="14">
        <v>45473</v>
      </c>
      <c r="AW433" s="14">
        <v>45291</v>
      </c>
      <c r="AX433" s="8"/>
      <c r="AY433" s="8"/>
      <c r="AZ433" s="8"/>
      <c r="BA433" s="8"/>
      <c r="BB433" s="8"/>
      <c r="BC433" s="8"/>
      <c r="BD433" s="8"/>
      <c r="BE433" s="8"/>
      <c r="BF433" s="8" t="s">
        <v>35</v>
      </c>
      <c r="BG433" s="8" t="s">
        <v>35</v>
      </c>
      <c r="BH433" s="8" t="s">
        <v>35</v>
      </c>
      <c r="BI433" s="8"/>
      <c r="BJ433" s="8"/>
      <c r="BK433" s="8"/>
      <c r="BL433" s="8"/>
      <c r="BM433" s="8"/>
      <c r="BN433" s="8"/>
      <c r="BO433" s="8"/>
      <c r="BP433" s="8"/>
      <c r="BQ433" s="8" t="s">
        <v>31</v>
      </c>
      <c r="BR433" s="8" t="s">
        <v>36</v>
      </c>
      <c r="BS433" s="10">
        <v>8444023089950.4004</v>
      </c>
      <c r="BT433" s="8"/>
      <c r="BU433" s="8"/>
      <c r="BV433" s="8" t="s">
        <v>27</v>
      </c>
      <c r="BW433" s="8" t="s">
        <v>27</v>
      </c>
      <c r="BX433" s="8"/>
      <c r="BY433" s="8"/>
      <c r="BZ433" s="8"/>
      <c r="CA433" s="8"/>
      <c r="CB433" s="8"/>
      <c r="CC433" s="8"/>
      <c r="CD433" s="8"/>
      <c r="CE433" s="8"/>
      <c r="CF433" s="8" t="s">
        <v>65</v>
      </c>
      <c r="CG433" s="8" t="s">
        <v>65</v>
      </c>
    </row>
    <row r="434" spans="1:85" ht="15.75" customHeight="1" x14ac:dyDescent="0.35">
      <c r="A434" s="8">
        <v>427</v>
      </c>
      <c r="B434" s="8" t="s">
        <v>623</v>
      </c>
      <c r="C434" s="9">
        <v>0</v>
      </c>
      <c r="D434" s="9">
        <v>2.3800000000000001E-4</v>
      </c>
      <c r="E434" s="9">
        <v>5.0000000000000004E-6</v>
      </c>
      <c r="F434" s="9">
        <v>6.9999999999999999E-6</v>
      </c>
      <c r="G434" s="9">
        <v>0</v>
      </c>
      <c r="H434" s="9">
        <v>1.9999999999999999E-6</v>
      </c>
      <c r="I434" s="9">
        <v>0</v>
      </c>
      <c r="J434" s="9">
        <v>0</v>
      </c>
      <c r="K434" s="9">
        <v>1.4E-5</v>
      </c>
      <c r="L434" s="9">
        <v>1.8E-5</v>
      </c>
      <c r="M434" s="9">
        <v>1.0000000000000001E-5</v>
      </c>
      <c r="N434" s="10">
        <v>0</v>
      </c>
      <c r="O434" s="10">
        <v>21947100</v>
      </c>
      <c r="P434" s="10">
        <v>429000</v>
      </c>
      <c r="Q434" s="10">
        <v>645000</v>
      </c>
      <c r="R434" s="10">
        <v>0</v>
      </c>
      <c r="S434" s="10">
        <v>211400</v>
      </c>
      <c r="T434" s="10">
        <v>0</v>
      </c>
      <c r="U434" s="10">
        <v>0</v>
      </c>
      <c r="V434" s="10">
        <v>1277400</v>
      </c>
      <c r="W434" s="10">
        <v>1642400</v>
      </c>
      <c r="X434" s="10">
        <v>912800</v>
      </c>
      <c r="Y434" s="12">
        <v>-21947100</v>
      </c>
      <c r="Z434" s="13">
        <v>21518100</v>
      </c>
      <c r="AA434" s="12">
        <v>-216000</v>
      </c>
      <c r="AB434" s="13">
        <v>645000</v>
      </c>
      <c r="AC434" s="12">
        <v>-211400</v>
      </c>
      <c r="AD434" s="13">
        <v>211400</v>
      </c>
      <c r="AE434" s="11">
        <v>0</v>
      </c>
      <c r="AF434" s="12">
        <v>-1277400</v>
      </c>
      <c r="AG434" s="12">
        <v>-365000</v>
      </c>
      <c r="AH434" s="13">
        <v>729600</v>
      </c>
      <c r="AI434" s="11">
        <v>0</v>
      </c>
      <c r="AJ434" s="10">
        <v>0</v>
      </c>
      <c r="AK434" s="10">
        <v>124788244382</v>
      </c>
      <c r="AL434" s="10">
        <v>2595449977.75</v>
      </c>
      <c r="AM434" s="10">
        <v>3200812437.9000001</v>
      </c>
      <c r="AN434" s="10">
        <v>0</v>
      </c>
      <c r="AO434" s="10">
        <v>668552508</v>
      </c>
      <c r="AP434" s="10">
        <v>0</v>
      </c>
      <c r="AQ434" s="10">
        <v>0</v>
      </c>
      <c r="AR434" s="10">
        <v>5109600037.5500002</v>
      </c>
      <c r="AS434" s="10">
        <v>4752694993.1999998</v>
      </c>
      <c r="AT434" s="10">
        <v>2510199960.4000001</v>
      </c>
      <c r="AU434" s="14">
        <v>45838</v>
      </c>
      <c r="AV434" s="14">
        <v>45657</v>
      </c>
      <c r="AW434" s="14">
        <v>45291</v>
      </c>
      <c r="AX434" s="14">
        <v>44926</v>
      </c>
      <c r="AY434" s="14">
        <v>44316</v>
      </c>
      <c r="AZ434" s="14">
        <v>44196</v>
      </c>
      <c r="BA434" s="14">
        <v>43799</v>
      </c>
      <c r="BB434" s="14">
        <v>43220</v>
      </c>
      <c r="BC434" s="14">
        <v>43100</v>
      </c>
      <c r="BD434" s="14">
        <v>42735</v>
      </c>
      <c r="BE434" s="14">
        <v>42035</v>
      </c>
      <c r="BF434" s="8" t="s">
        <v>35</v>
      </c>
      <c r="BG434" s="8" t="s">
        <v>35</v>
      </c>
      <c r="BH434" s="8" t="s">
        <v>35</v>
      </c>
      <c r="BI434" s="8" t="s">
        <v>35</v>
      </c>
      <c r="BJ434" s="8" t="s">
        <v>35</v>
      </c>
      <c r="BK434" s="8" t="s">
        <v>35</v>
      </c>
      <c r="BL434" s="8" t="s">
        <v>35</v>
      </c>
      <c r="BM434" s="8" t="s">
        <v>35</v>
      </c>
      <c r="BN434" s="8" t="s">
        <v>35</v>
      </c>
      <c r="BO434" s="8" t="s">
        <v>35</v>
      </c>
      <c r="BP434" s="8" t="s">
        <v>35</v>
      </c>
      <c r="BQ434" s="8" t="s">
        <v>31</v>
      </c>
      <c r="BR434" s="8" t="s">
        <v>36</v>
      </c>
      <c r="BS434" s="10">
        <v>9238257320431.1992</v>
      </c>
      <c r="BT434" s="8" t="s">
        <v>41</v>
      </c>
      <c r="BU434" s="8" t="s">
        <v>27</v>
      </c>
      <c r="BV434" s="8" t="s">
        <v>27</v>
      </c>
      <c r="BW434" s="8" t="s">
        <v>42</v>
      </c>
      <c r="BX434" s="8" t="s">
        <v>42</v>
      </c>
      <c r="BY434" s="8" t="s">
        <v>42</v>
      </c>
      <c r="BZ434" s="8" t="s">
        <v>42</v>
      </c>
      <c r="CA434" s="8" t="s">
        <v>42</v>
      </c>
      <c r="CB434" s="8" t="s">
        <v>42</v>
      </c>
      <c r="CC434" s="8" t="s">
        <v>42</v>
      </c>
      <c r="CD434" s="8" t="s">
        <v>43</v>
      </c>
      <c r="CE434" s="8" t="s">
        <v>42</v>
      </c>
      <c r="CF434" s="8" t="s">
        <v>65</v>
      </c>
      <c r="CG434" s="8" t="s">
        <v>65</v>
      </c>
    </row>
    <row r="435" spans="1:85" ht="15.75" customHeight="1" x14ac:dyDescent="0.35">
      <c r="A435" s="8">
        <v>428</v>
      </c>
      <c r="B435" s="8" t="s">
        <v>624</v>
      </c>
      <c r="C435" s="9">
        <v>0</v>
      </c>
      <c r="D435" s="9">
        <v>6.8999999999999997E-5</v>
      </c>
      <c r="E435" s="9">
        <v>9.0000000000000006E-5</v>
      </c>
      <c r="F435" s="9">
        <v>0</v>
      </c>
      <c r="G435" s="9">
        <v>0</v>
      </c>
      <c r="H435" s="9">
        <v>1.8900000000000001E-4</v>
      </c>
      <c r="I435" s="9">
        <v>3.4999999999999997E-5</v>
      </c>
      <c r="J435" s="9">
        <v>4.1E-5</v>
      </c>
      <c r="K435" s="9">
        <v>3.3000000000000003E-5</v>
      </c>
      <c r="L435" s="9">
        <v>3.1999999999999999E-5</v>
      </c>
      <c r="M435" s="9">
        <v>3.8999999999999999E-5</v>
      </c>
      <c r="N435" s="10">
        <v>0</v>
      </c>
      <c r="O435" s="10">
        <v>6365000</v>
      </c>
      <c r="P435" s="10">
        <v>8290000</v>
      </c>
      <c r="Q435" s="10">
        <v>0</v>
      </c>
      <c r="R435" s="10">
        <v>0</v>
      </c>
      <c r="S435" s="10">
        <v>17433054</v>
      </c>
      <c r="T435" s="10">
        <v>3242018</v>
      </c>
      <c r="U435" s="10">
        <v>3819058</v>
      </c>
      <c r="V435" s="10">
        <v>3018714</v>
      </c>
      <c r="W435" s="10">
        <v>2920760</v>
      </c>
      <c r="X435" s="10">
        <v>3604124</v>
      </c>
      <c r="Y435" s="12">
        <v>-6365000</v>
      </c>
      <c r="Z435" s="12">
        <v>-1925000</v>
      </c>
      <c r="AA435" s="13">
        <v>8290000</v>
      </c>
      <c r="AB435" s="11">
        <v>0</v>
      </c>
      <c r="AC435" s="12">
        <v>-17433054</v>
      </c>
      <c r="AD435" s="13">
        <v>14191036</v>
      </c>
      <c r="AE435" s="12">
        <v>-577040</v>
      </c>
      <c r="AF435" s="13">
        <v>800344</v>
      </c>
      <c r="AG435" s="13">
        <v>97954</v>
      </c>
      <c r="AH435" s="12">
        <v>-683364</v>
      </c>
      <c r="AI435" s="12">
        <v>-891872</v>
      </c>
      <c r="AJ435" s="10">
        <v>0</v>
      </c>
      <c r="AK435" s="10">
        <v>36190529683.599998</v>
      </c>
      <c r="AL435" s="10">
        <v>50154499912.75</v>
      </c>
      <c r="AM435" s="10">
        <v>0</v>
      </c>
      <c r="AN435" s="10">
        <v>0</v>
      </c>
      <c r="AO435" s="10">
        <v>55132033179.599998</v>
      </c>
      <c r="AP435" s="10">
        <v>12405493316.4</v>
      </c>
      <c r="AQ435" s="10">
        <v>13908616350</v>
      </c>
      <c r="AR435" s="10">
        <v>12074855992.200001</v>
      </c>
      <c r="AS435" s="10">
        <v>8451949239.6000004</v>
      </c>
      <c r="AT435" s="10">
        <v>8337560872.5</v>
      </c>
      <c r="AU435" s="14">
        <v>45716</v>
      </c>
      <c r="AV435" s="14">
        <v>45657</v>
      </c>
      <c r="AW435" s="14">
        <v>45291</v>
      </c>
      <c r="AX435" s="14">
        <v>44500</v>
      </c>
      <c r="AY435" s="14">
        <v>44500</v>
      </c>
      <c r="AZ435" s="14">
        <v>44196</v>
      </c>
      <c r="BA435" s="14">
        <v>43830</v>
      </c>
      <c r="BB435" s="14">
        <v>43465</v>
      </c>
      <c r="BC435" s="14">
        <v>43100</v>
      </c>
      <c r="BD435" s="14">
        <v>42735</v>
      </c>
      <c r="BE435" s="14">
        <v>42369</v>
      </c>
      <c r="BF435" s="8" t="s">
        <v>35</v>
      </c>
      <c r="BG435" s="8" t="s">
        <v>35</v>
      </c>
      <c r="BH435" s="8" t="s">
        <v>35</v>
      </c>
      <c r="BI435" s="8" t="s">
        <v>35</v>
      </c>
      <c r="BJ435" s="8" t="s">
        <v>35</v>
      </c>
      <c r="BK435" s="8" t="s">
        <v>35</v>
      </c>
      <c r="BL435" s="8" t="s">
        <v>35</v>
      </c>
      <c r="BM435" s="8" t="s">
        <v>35</v>
      </c>
      <c r="BN435" s="8" t="s">
        <v>35</v>
      </c>
      <c r="BO435" s="8" t="s">
        <v>35</v>
      </c>
      <c r="BP435" s="8" t="s">
        <v>35</v>
      </c>
      <c r="BQ435" s="8" t="s">
        <v>31</v>
      </c>
      <c r="BR435" s="8" t="s">
        <v>36</v>
      </c>
      <c r="BS435" s="10">
        <v>60569186484061.203</v>
      </c>
      <c r="BT435" s="8" t="s">
        <v>37</v>
      </c>
      <c r="BU435" s="8" t="s">
        <v>42</v>
      </c>
      <c r="BV435" s="8" t="s">
        <v>43</v>
      </c>
      <c r="BW435" s="8" t="s">
        <v>42</v>
      </c>
      <c r="BX435" s="8" t="s">
        <v>42</v>
      </c>
      <c r="BY435" s="8" t="s">
        <v>43</v>
      </c>
      <c r="BZ435" s="8" t="s">
        <v>43</v>
      </c>
      <c r="CA435" s="8" t="s">
        <v>42</v>
      </c>
      <c r="CB435" s="8" t="s">
        <v>42</v>
      </c>
      <c r="CC435" s="8" t="s">
        <v>42</v>
      </c>
      <c r="CD435" s="8" t="s">
        <v>42</v>
      </c>
      <c r="CE435" s="8" t="s">
        <v>42</v>
      </c>
      <c r="CF435" s="8" t="s">
        <v>346</v>
      </c>
      <c r="CG435" s="8" t="s">
        <v>347</v>
      </c>
    </row>
    <row r="436" spans="1:85" ht="15.75" customHeight="1" x14ac:dyDescent="0.35">
      <c r="A436" s="8">
        <v>429</v>
      </c>
      <c r="B436" s="8" t="s">
        <v>625</v>
      </c>
      <c r="C436" s="9">
        <v>0</v>
      </c>
      <c r="D436" s="9">
        <v>9.0000000000000002E-6</v>
      </c>
      <c r="E436" s="9">
        <v>2.1999999999999999E-5</v>
      </c>
      <c r="F436" s="9">
        <v>2.1999999999999999E-5</v>
      </c>
      <c r="G436" s="9">
        <v>2.1999999999999999E-5</v>
      </c>
      <c r="H436" s="8"/>
      <c r="I436" s="8"/>
      <c r="J436" s="8"/>
      <c r="K436" s="8"/>
      <c r="L436" s="8"/>
      <c r="M436" s="9">
        <v>0</v>
      </c>
      <c r="N436" s="10">
        <v>0</v>
      </c>
      <c r="O436" s="10">
        <v>850000</v>
      </c>
      <c r="P436" s="10">
        <v>2000000</v>
      </c>
      <c r="Q436" s="10">
        <v>2000000</v>
      </c>
      <c r="R436" s="10">
        <v>2000000</v>
      </c>
      <c r="S436" s="8"/>
      <c r="T436" s="8"/>
      <c r="U436" s="8"/>
      <c r="V436" s="8"/>
      <c r="W436" s="8"/>
      <c r="X436" s="10">
        <v>0</v>
      </c>
      <c r="Y436" s="12">
        <v>-850000</v>
      </c>
      <c r="Z436" s="12">
        <v>-1150000</v>
      </c>
      <c r="AA436" s="11">
        <v>0</v>
      </c>
      <c r="AB436" s="11">
        <v>0</v>
      </c>
      <c r="AC436" s="13">
        <v>2000000</v>
      </c>
      <c r="AD436" s="8"/>
      <c r="AE436" s="8"/>
      <c r="AF436" s="8"/>
      <c r="AG436" s="8"/>
      <c r="AH436" s="8"/>
      <c r="AI436" s="11">
        <v>0</v>
      </c>
      <c r="AJ436" s="10">
        <v>0</v>
      </c>
      <c r="AK436" s="10">
        <v>4832985158.1999998</v>
      </c>
      <c r="AL436" s="10">
        <v>12099999990.65</v>
      </c>
      <c r="AM436" s="10">
        <v>9924999992.0499992</v>
      </c>
      <c r="AN436" s="10">
        <v>7017612997.5</v>
      </c>
      <c r="AO436" s="8"/>
      <c r="AP436" s="8"/>
      <c r="AQ436" s="8"/>
      <c r="AR436" s="8"/>
      <c r="AS436" s="8"/>
      <c r="AT436" s="10">
        <v>0</v>
      </c>
      <c r="AU436" s="14">
        <v>45808</v>
      </c>
      <c r="AV436" s="14">
        <v>45657</v>
      </c>
      <c r="AW436" s="14">
        <v>45291</v>
      </c>
      <c r="AX436" s="14">
        <v>44926</v>
      </c>
      <c r="AY436" s="14">
        <v>44561</v>
      </c>
      <c r="AZ436" s="8"/>
      <c r="BA436" s="8"/>
      <c r="BB436" s="8"/>
      <c r="BC436" s="8"/>
      <c r="BD436" s="8"/>
      <c r="BE436" s="14">
        <v>41729</v>
      </c>
      <c r="BF436" s="8" t="s">
        <v>35</v>
      </c>
      <c r="BG436" s="8" t="s">
        <v>35</v>
      </c>
      <c r="BH436" s="8" t="s">
        <v>35</v>
      </c>
      <c r="BI436" s="8" t="s">
        <v>35</v>
      </c>
      <c r="BJ436" s="8" t="s">
        <v>35</v>
      </c>
      <c r="BK436" s="8"/>
      <c r="BL436" s="8"/>
      <c r="BM436" s="8"/>
      <c r="BN436" s="8"/>
      <c r="BO436" s="8"/>
      <c r="BP436" s="8" t="s">
        <v>35</v>
      </c>
      <c r="BQ436" s="8" t="s">
        <v>31</v>
      </c>
      <c r="BR436" s="8" t="s">
        <v>49</v>
      </c>
      <c r="BS436" s="10">
        <v>3960289283367.6001</v>
      </c>
      <c r="BT436" s="8" t="s">
        <v>57</v>
      </c>
      <c r="BU436" s="8" t="s">
        <v>42</v>
      </c>
      <c r="BV436" s="8" t="s">
        <v>42</v>
      </c>
      <c r="BW436" s="8" t="s">
        <v>42</v>
      </c>
      <c r="BX436" s="8" t="s">
        <v>27</v>
      </c>
      <c r="BY436" s="8" t="s">
        <v>27</v>
      </c>
      <c r="BZ436" s="8"/>
      <c r="CA436" s="8"/>
      <c r="CB436" s="8"/>
      <c r="CC436" s="8"/>
      <c r="CD436" s="8"/>
      <c r="CE436" s="8" t="s">
        <v>43</v>
      </c>
      <c r="CF436" s="8" t="s">
        <v>626</v>
      </c>
      <c r="CG436" s="8" t="s">
        <v>55</v>
      </c>
    </row>
    <row r="437" spans="1:85" ht="15.75" customHeight="1" x14ac:dyDescent="0.35">
      <c r="A437" s="8">
        <v>430</v>
      </c>
      <c r="B437" s="8" t="s">
        <v>627</v>
      </c>
      <c r="C437" s="9">
        <v>0</v>
      </c>
      <c r="D437" s="9">
        <v>0</v>
      </c>
      <c r="E437" s="9">
        <v>6.5399999999999996E-4</v>
      </c>
      <c r="F437" s="9">
        <v>6.2799999999999998E-4</v>
      </c>
      <c r="G437" s="9">
        <v>0</v>
      </c>
      <c r="H437" s="9">
        <v>6.1799999999999995E-4</v>
      </c>
      <c r="I437" s="8"/>
      <c r="J437" s="8"/>
      <c r="K437" s="8"/>
      <c r="L437" s="8"/>
      <c r="M437" s="8"/>
      <c r="N437" s="10">
        <v>0</v>
      </c>
      <c r="O437" s="10">
        <v>0</v>
      </c>
      <c r="P437" s="10">
        <v>60438000</v>
      </c>
      <c r="Q437" s="10">
        <v>58038000</v>
      </c>
      <c r="R437" s="10">
        <v>0</v>
      </c>
      <c r="S437" s="10">
        <v>57125600</v>
      </c>
      <c r="T437" s="8"/>
      <c r="U437" s="8"/>
      <c r="V437" s="8"/>
      <c r="W437" s="8"/>
      <c r="X437" s="8"/>
      <c r="Y437" s="11">
        <v>0</v>
      </c>
      <c r="Z437" s="12">
        <v>-60438000</v>
      </c>
      <c r="AA437" s="13">
        <v>2400000</v>
      </c>
      <c r="AB437" s="13">
        <v>58038000</v>
      </c>
      <c r="AC437" s="12">
        <v>-57125600</v>
      </c>
      <c r="AD437" s="13">
        <v>57125600</v>
      </c>
      <c r="AE437" s="8"/>
      <c r="AF437" s="8"/>
      <c r="AG437" s="8"/>
      <c r="AH437" s="8"/>
      <c r="AI437" s="8"/>
      <c r="AJ437" s="10">
        <v>0</v>
      </c>
      <c r="AK437" s="10">
        <v>0</v>
      </c>
      <c r="AL437" s="10">
        <v>365649899656.95001</v>
      </c>
      <c r="AM437" s="10">
        <v>288013575192.20001</v>
      </c>
      <c r="AN437" s="10">
        <v>0</v>
      </c>
      <c r="AO437" s="10">
        <v>180659709828</v>
      </c>
      <c r="AP437" s="8"/>
      <c r="AQ437" s="8"/>
      <c r="AR437" s="8"/>
      <c r="AS437" s="8"/>
      <c r="AT437" s="8"/>
      <c r="AU437" s="14">
        <v>45473</v>
      </c>
      <c r="AV437" s="14">
        <v>45473</v>
      </c>
      <c r="AW437" s="14">
        <v>45291</v>
      </c>
      <c r="AX437" s="14">
        <v>44926</v>
      </c>
      <c r="AY437" s="14">
        <v>44439</v>
      </c>
      <c r="AZ437" s="14">
        <v>44196</v>
      </c>
      <c r="BA437" s="8"/>
      <c r="BB437" s="8"/>
      <c r="BC437" s="8"/>
      <c r="BD437" s="8"/>
      <c r="BE437" s="8"/>
      <c r="BF437" s="8" t="s">
        <v>35</v>
      </c>
      <c r="BG437" s="8" t="s">
        <v>35</v>
      </c>
      <c r="BH437" s="8" t="s">
        <v>35</v>
      </c>
      <c r="BI437" s="8" t="s">
        <v>35</v>
      </c>
      <c r="BJ437" s="8" t="s">
        <v>35</v>
      </c>
      <c r="BK437" s="8" t="s">
        <v>35</v>
      </c>
      <c r="BL437" s="8"/>
      <c r="BM437" s="8"/>
      <c r="BN437" s="8"/>
      <c r="BO437" s="8"/>
      <c r="BP437" s="8"/>
      <c r="BQ437" s="8" t="s">
        <v>31</v>
      </c>
      <c r="BR437" s="8" t="s">
        <v>36</v>
      </c>
      <c r="BS437" s="10">
        <v>79402353087418.797</v>
      </c>
      <c r="BT437" s="8" t="s">
        <v>57</v>
      </c>
      <c r="BU437" s="8" t="s">
        <v>43</v>
      </c>
      <c r="BV437" s="8" t="s">
        <v>43</v>
      </c>
      <c r="BW437" s="8" t="s">
        <v>42</v>
      </c>
      <c r="BX437" s="8" t="s">
        <v>42</v>
      </c>
      <c r="BY437" s="8" t="s">
        <v>42</v>
      </c>
      <c r="BZ437" s="8" t="s">
        <v>42</v>
      </c>
      <c r="CA437" s="8"/>
      <c r="CB437" s="8"/>
      <c r="CC437" s="8"/>
      <c r="CD437" s="8"/>
      <c r="CE437" s="8"/>
      <c r="CF437" s="8" t="s">
        <v>50</v>
      </c>
      <c r="CG437" s="8" t="s">
        <v>51</v>
      </c>
    </row>
    <row r="438" spans="1:85" ht="15.75" customHeight="1" x14ac:dyDescent="0.35">
      <c r="A438" s="8">
        <v>431</v>
      </c>
      <c r="B438" s="8" t="s">
        <v>628</v>
      </c>
      <c r="C438" s="9">
        <v>0</v>
      </c>
      <c r="D438" s="9">
        <v>0</v>
      </c>
      <c r="E438" s="8"/>
      <c r="F438" s="8"/>
      <c r="G438" s="8"/>
      <c r="H438" s="8"/>
      <c r="I438" s="8"/>
      <c r="J438" s="8"/>
      <c r="K438" s="8"/>
      <c r="L438" s="8"/>
      <c r="M438" s="8"/>
      <c r="N438" s="10">
        <v>0</v>
      </c>
      <c r="O438" s="10">
        <v>7000</v>
      </c>
      <c r="P438" s="8"/>
      <c r="Q438" s="8"/>
      <c r="R438" s="8"/>
      <c r="S438" s="8"/>
      <c r="T438" s="8"/>
      <c r="U438" s="8"/>
      <c r="V438" s="8"/>
      <c r="W438" s="8"/>
      <c r="X438" s="8"/>
      <c r="Y438" s="12">
        <v>-7000</v>
      </c>
      <c r="Z438" s="13">
        <v>7000</v>
      </c>
      <c r="AA438" s="8"/>
      <c r="AB438" s="8"/>
      <c r="AC438" s="8"/>
      <c r="AD438" s="8"/>
      <c r="AE438" s="8"/>
      <c r="AF438" s="8"/>
      <c r="AG438" s="8"/>
      <c r="AH438" s="8"/>
      <c r="AI438" s="8"/>
      <c r="AJ438" s="10">
        <v>0</v>
      </c>
      <c r="AK438" s="10">
        <v>39801028.5</v>
      </c>
      <c r="AL438" s="8"/>
      <c r="AM438" s="8"/>
      <c r="AN438" s="8"/>
      <c r="AO438" s="8"/>
      <c r="AP438" s="8"/>
      <c r="AQ438" s="8"/>
      <c r="AR438" s="8"/>
      <c r="AS438" s="8"/>
      <c r="AT438" s="8"/>
      <c r="AU438" s="14">
        <v>45747</v>
      </c>
      <c r="AV438" s="14">
        <v>45657</v>
      </c>
      <c r="AW438" s="8"/>
      <c r="AX438" s="8"/>
      <c r="AY438" s="8"/>
      <c r="AZ438" s="8"/>
      <c r="BA438" s="8"/>
      <c r="BB438" s="8"/>
      <c r="BC438" s="8"/>
      <c r="BD438" s="8"/>
      <c r="BE438" s="8"/>
      <c r="BF438" s="8" t="s">
        <v>35</v>
      </c>
      <c r="BG438" s="8" t="s">
        <v>35</v>
      </c>
      <c r="BH438" s="8"/>
      <c r="BI438" s="8"/>
      <c r="BJ438" s="8"/>
      <c r="BK438" s="8"/>
      <c r="BL438" s="8"/>
      <c r="BM438" s="8"/>
      <c r="BN438" s="8"/>
      <c r="BO438" s="8"/>
      <c r="BP438" s="8"/>
      <c r="BQ438" s="8" t="s">
        <v>31</v>
      </c>
      <c r="BR438" s="8" t="s">
        <v>36</v>
      </c>
      <c r="BS438" s="10">
        <v>24184178480115.602</v>
      </c>
      <c r="BT438" s="8"/>
      <c r="BU438" s="8" t="s">
        <v>27</v>
      </c>
      <c r="BV438" s="8" t="s">
        <v>42</v>
      </c>
      <c r="BW438" s="8"/>
      <c r="BX438" s="8"/>
      <c r="BY438" s="8"/>
      <c r="BZ438" s="8"/>
      <c r="CA438" s="8"/>
      <c r="CB438" s="8"/>
      <c r="CC438" s="8"/>
      <c r="CD438" s="8"/>
      <c r="CE438" s="8"/>
      <c r="CF438" s="8" t="s">
        <v>50</v>
      </c>
      <c r="CG438" s="8" t="s">
        <v>51</v>
      </c>
    </row>
    <row r="439" spans="1:85" ht="15.75" customHeight="1" x14ac:dyDescent="0.35">
      <c r="A439" s="8">
        <v>432</v>
      </c>
      <c r="B439" s="8" t="s">
        <v>629</v>
      </c>
      <c r="C439" s="9">
        <v>0</v>
      </c>
      <c r="D439" s="9">
        <v>9.0000000000000002E-6</v>
      </c>
      <c r="E439" s="9">
        <v>1.8E-5</v>
      </c>
      <c r="F439" s="8"/>
      <c r="G439" s="8"/>
      <c r="H439" s="8"/>
      <c r="I439" s="8"/>
      <c r="J439" s="8"/>
      <c r="K439" s="8"/>
      <c r="L439" s="9">
        <v>0</v>
      </c>
      <c r="M439" s="9">
        <v>0</v>
      </c>
      <c r="N439" s="10">
        <v>0</v>
      </c>
      <c r="O439" s="10">
        <v>870000</v>
      </c>
      <c r="P439" s="10">
        <v>1630000</v>
      </c>
      <c r="Q439" s="8"/>
      <c r="R439" s="8"/>
      <c r="S439" s="8"/>
      <c r="T439" s="8"/>
      <c r="U439" s="8"/>
      <c r="V439" s="8"/>
      <c r="W439" s="10">
        <v>0</v>
      </c>
      <c r="X439" s="10">
        <v>0</v>
      </c>
      <c r="Y439" s="12">
        <v>-870000</v>
      </c>
      <c r="Z439" s="12">
        <v>-760000</v>
      </c>
      <c r="AA439" s="13">
        <v>1630000</v>
      </c>
      <c r="AB439" s="8"/>
      <c r="AC439" s="8"/>
      <c r="AD439" s="8"/>
      <c r="AE439" s="8"/>
      <c r="AF439" s="8"/>
      <c r="AG439" s="8"/>
      <c r="AH439" s="11">
        <v>0</v>
      </c>
      <c r="AI439" s="11">
        <v>0</v>
      </c>
      <c r="AJ439" s="10">
        <v>0</v>
      </c>
      <c r="AK439" s="10">
        <v>4946702359.5</v>
      </c>
      <c r="AL439" s="10">
        <v>9861500022.3999996</v>
      </c>
      <c r="AM439" s="8"/>
      <c r="AN439" s="8"/>
      <c r="AO439" s="8"/>
      <c r="AP439" s="8"/>
      <c r="AQ439" s="8"/>
      <c r="AR439" s="8"/>
      <c r="AS439" s="10">
        <v>0</v>
      </c>
      <c r="AT439" s="10">
        <v>0</v>
      </c>
      <c r="AU439" s="14">
        <v>45716</v>
      </c>
      <c r="AV439" s="14">
        <v>45657</v>
      </c>
      <c r="AW439" s="14">
        <v>45291</v>
      </c>
      <c r="AX439" s="8"/>
      <c r="AY439" s="8"/>
      <c r="AZ439" s="8"/>
      <c r="BA439" s="8"/>
      <c r="BB439" s="8"/>
      <c r="BC439" s="8"/>
      <c r="BD439" s="14">
        <v>42185</v>
      </c>
      <c r="BE439" s="14">
        <v>42185</v>
      </c>
      <c r="BF439" s="8" t="s">
        <v>35</v>
      </c>
      <c r="BG439" s="8" t="s">
        <v>35</v>
      </c>
      <c r="BH439" s="8" t="s">
        <v>35</v>
      </c>
      <c r="BI439" s="8"/>
      <c r="BJ439" s="8"/>
      <c r="BK439" s="8"/>
      <c r="BL439" s="8"/>
      <c r="BM439" s="8"/>
      <c r="BN439" s="8"/>
      <c r="BO439" s="8" t="s">
        <v>35</v>
      </c>
      <c r="BP439" s="8" t="s">
        <v>35</v>
      </c>
      <c r="BQ439" s="8" t="s">
        <v>31</v>
      </c>
      <c r="BR439" s="8" t="s">
        <v>36</v>
      </c>
      <c r="BS439" s="10">
        <v>3364247876737.2002</v>
      </c>
      <c r="BT439" s="8"/>
      <c r="BU439" s="8" t="s">
        <v>42</v>
      </c>
      <c r="BV439" s="8" t="s">
        <v>42</v>
      </c>
      <c r="BW439" s="8" t="s">
        <v>42</v>
      </c>
      <c r="BX439" s="8"/>
      <c r="BY439" s="8"/>
      <c r="BZ439" s="8"/>
      <c r="CA439" s="8"/>
      <c r="CB439" s="8"/>
      <c r="CC439" s="8"/>
      <c r="CD439" s="8" t="s">
        <v>27</v>
      </c>
      <c r="CE439" s="8" t="s">
        <v>27</v>
      </c>
      <c r="CF439" s="8" t="s">
        <v>65</v>
      </c>
      <c r="CG439" s="8" t="s">
        <v>65</v>
      </c>
    </row>
    <row r="440" spans="1:85" ht="15.75" customHeight="1" x14ac:dyDescent="0.35">
      <c r="A440" s="8">
        <v>433</v>
      </c>
      <c r="B440" s="8" t="s">
        <v>630</v>
      </c>
      <c r="C440" s="9">
        <v>0</v>
      </c>
      <c r="D440" s="9">
        <v>4.5000000000000003E-5</v>
      </c>
      <c r="E440" s="9">
        <v>6.0000000000000002E-5</v>
      </c>
      <c r="F440" s="8"/>
      <c r="G440" s="8"/>
      <c r="H440" s="8"/>
      <c r="I440" s="8"/>
      <c r="J440" s="8"/>
      <c r="K440" s="8"/>
      <c r="L440" s="8"/>
      <c r="M440" s="8"/>
      <c r="N440" s="10">
        <v>0</v>
      </c>
      <c r="O440" s="10">
        <v>4189500</v>
      </c>
      <c r="P440" s="10">
        <v>5530900</v>
      </c>
      <c r="Q440" s="8"/>
      <c r="R440" s="8"/>
      <c r="S440" s="8"/>
      <c r="T440" s="8"/>
      <c r="U440" s="8"/>
      <c r="V440" s="8"/>
      <c r="W440" s="8"/>
      <c r="X440" s="8"/>
      <c r="Y440" s="12">
        <v>-4189500</v>
      </c>
      <c r="Z440" s="12">
        <v>-1341400</v>
      </c>
      <c r="AA440" s="13">
        <v>5530900</v>
      </c>
      <c r="AB440" s="8"/>
      <c r="AC440" s="8"/>
      <c r="AD440" s="8"/>
      <c r="AE440" s="8"/>
      <c r="AF440" s="8"/>
      <c r="AG440" s="8"/>
      <c r="AH440" s="8"/>
      <c r="AI440" s="8"/>
      <c r="AJ440" s="10">
        <v>0</v>
      </c>
      <c r="AK440" s="10">
        <v>29012287554</v>
      </c>
      <c r="AL440" s="10">
        <v>33461944961.650002</v>
      </c>
      <c r="AM440" s="8"/>
      <c r="AN440" s="8"/>
      <c r="AO440" s="8"/>
      <c r="AP440" s="8"/>
      <c r="AQ440" s="8"/>
      <c r="AR440" s="8"/>
      <c r="AS440" s="8"/>
      <c r="AT440" s="8"/>
      <c r="AU440" s="14">
        <v>45688</v>
      </c>
      <c r="AV440" s="14">
        <v>45565</v>
      </c>
      <c r="AW440" s="14">
        <v>45291</v>
      </c>
      <c r="AX440" s="8"/>
      <c r="AY440" s="8"/>
      <c r="AZ440" s="8"/>
      <c r="BA440" s="8"/>
      <c r="BB440" s="8"/>
      <c r="BC440" s="8"/>
      <c r="BD440" s="8"/>
      <c r="BE440" s="8"/>
      <c r="BF440" s="8" t="s">
        <v>35</v>
      </c>
      <c r="BG440" s="8" t="s">
        <v>35</v>
      </c>
      <c r="BH440" s="8" t="s">
        <v>35</v>
      </c>
      <c r="BI440" s="8"/>
      <c r="BJ440" s="8"/>
      <c r="BK440" s="8"/>
      <c r="BL440" s="8"/>
      <c r="BM440" s="8"/>
      <c r="BN440" s="8"/>
      <c r="BO440" s="8"/>
      <c r="BP440" s="8"/>
      <c r="BQ440" s="8" t="s">
        <v>31</v>
      </c>
      <c r="BR440" s="8" t="s">
        <v>36</v>
      </c>
      <c r="BS440" s="10">
        <v>96546339448794</v>
      </c>
      <c r="BT440" s="8" t="s">
        <v>41</v>
      </c>
      <c r="BU440" s="8" t="s">
        <v>27</v>
      </c>
      <c r="BV440" s="8" t="s">
        <v>27</v>
      </c>
      <c r="BW440" s="8" t="s">
        <v>42</v>
      </c>
      <c r="BX440" s="8"/>
      <c r="BY440" s="8"/>
      <c r="BZ440" s="8"/>
      <c r="CA440" s="8"/>
      <c r="CB440" s="8"/>
      <c r="CC440" s="8"/>
      <c r="CD440" s="8"/>
      <c r="CE440" s="8"/>
      <c r="CF440" s="8" t="s">
        <v>131</v>
      </c>
      <c r="CG440" s="8" t="s">
        <v>132</v>
      </c>
    </row>
    <row r="441" spans="1:85" ht="15.75" customHeight="1" x14ac:dyDescent="0.35">
      <c r="A441" s="8">
        <v>434</v>
      </c>
      <c r="B441" s="8" t="s">
        <v>631</v>
      </c>
      <c r="C441" s="9">
        <v>0</v>
      </c>
      <c r="D441" s="9">
        <v>0</v>
      </c>
      <c r="E441" s="8"/>
      <c r="F441" s="8"/>
      <c r="G441" s="8"/>
      <c r="H441" s="8"/>
      <c r="I441" s="8"/>
      <c r="J441" s="8"/>
      <c r="K441" s="8"/>
      <c r="L441" s="8"/>
      <c r="M441" s="8"/>
      <c r="N441" s="10">
        <v>0</v>
      </c>
      <c r="O441" s="10">
        <v>0</v>
      </c>
      <c r="P441" s="8"/>
      <c r="Q441" s="8"/>
      <c r="R441" s="8"/>
      <c r="S441" s="8"/>
      <c r="T441" s="8"/>
      <c r="U441" s="8"/>
      <c r="V441" s="8"/>
      <c r="W441" s="8"/>
      <c r="X441" s="8"/>
      <c r="Y441" s="11">
        <v>0</v>
      </c>
      <c r="Z441" s="11">
        <v>0</v>
      </c>
      <c r="AA441" s="8"/>
      <c r="AB441" s="8"/>
      <c r="AC441" s="8"/>
      <c r="AD441" s="8"/>
      <c r="AE441" s="8"/>
      <c r="AF441" s="8"/>
      <c r="AG441" s="8"/>
      <c r="AH441" s="8"/>
      <c r="AI441" s="8"/>
      <c r="AJ441" s="10">
        <v>0</v>
      </c>
      <c r="AK441" s="10">
        <v>0</v>
      </c>
      <c r="AL441" s="8"/>
      <c r="AM441" s="8"/>
      <c r="AN441" s="8"/>
      <c r="AO441" s="8"/>
      <c r="AP441" s="8"/>
      <c r="AQ441" s="8"/>
      <c r="AR441" s="8"/>
      <c r="AS441" s="8"/>
      <c r="AT441" s="8"/>
      <c r="AU441" s="14">
        <v>45657</v>
      </c>
      <c r="AV441" s="14">
        <v>45657</v>
      </c>
      <c r="AW441" s="8"/>
      <c r="AX441" s="8"/>
      <c r="AY441" s="8"/>
      <c r="AZ441" s="8"/>
      <c r="BA441" s="8"/>
      <c r="BB441" s="8"/>
      <c r="BC441" s="8"/>
      <c r="BD441" s="8"/>
      <c r="BE441" s="8"/>
      <c r="BF441" s="8" t="s">
        <v>35</v>
      </c>
      <c r="BG441" s="8" t="s">
        <v>35</v>
      </c>
      <c r="BH441" s="8"/>
      <c r="BI441" s="8"/>
      <c r="BJ441" s="8"/>
      <c r="BK441" s="8"/>
      <c r="BL441" s="8"/>
      <c r="BM441" s="8"/>
      <c r="BN441" s="8"/>
      <c r="BO441" s="8"/>
      <c r="BP441" s="8"/>
      <c r="BQ441" s="8" t="s">
        <v>31</v>
      </c>
      <c r="BR441" s="8" t="s">
        <v>36</v>
      </c>
      <c r="BS441" s="10">
        <v>148108595746867</v>
      </c>
      <c r="BT441" s="8" t="s">
        <v>46</v>
      </c>
      <c r="BU441" s="8" t="s">
        <v>42</v>
      </c>
      <c r="BV441" s="8" t="s">
        <v>43</v>
      </c>
      <c r="BW441" s="8"/>
      <c r="BX441" s="8"/>
      <c r="BY441" s="8"/>
      <c r="BZ441" s="8"/>
      <c r="CA441" s="8"/>
      <c r="CB441" s="8"/>
      <c r="CC441" s="8"/>
      <c r="CD441" s="8"/>
      <c r="CE441" s="8"/>
      <c r="CF441" s="8" t="s">
        <v>82</v>
      </c>
      <c r="CG441" s="8" t="s">
        <v>39</v>
      </c>
    </row>
    <row r="442" spans="1:85" ht="15.75" customHeight="1" x14ac:dyDescent="0.35">
      <c r="A442" s="8">
        <v>435</v>
      </c>
      <c r="B442" s="8" t="s">
        <v>632</v>
      </c>
      <c r="C442" s="9">
        <v>0</v>
      </c>
      <c r="D442" s="9">
        <v>0</v>
      </c>
      <c r="E442" s="9">
        <v>2.5999999999999998E-5</v>
      </c>
      <c r="F442" s="9">
        <v>2.0000000000000002E-5</v>
      </c>
      <c r="G442" s="9">
        <v>0</v>
      </c>
      <c r="H442" s="9">
        <v>0</v>
      </c>
      <c r="I442" s="9">
        <v>2.3E-5</v>
      </c>
      <c r="J442" s="8"/>
      <c r="K442" s="8"/>
      <c r="L442" s="8"/>
      <c r="M442" s="8"/>
      <c r="N442" s="10">
        <v>0</v>
      </c>
      <c r="O442" s="10">
        <v>0</v>
      </c>
      <c r="P442" s="10">
        <v>2358000</v>
      </c>
      <c r="Q442" s="10">
        <v>1840000</v>
      </c>
      <c r="R442" s="10">
        <v>0</v>
      </c>
      <c r="S442" s="10">
        <v>0</v>
      </c>
      <c r="T442" s="10">
        <v>2116000</v>
      </c>
      <c r="U442" s="8"/>
      <c r="V442" s="8"/>
      <c r="W442" s="8"/>
      <c r="X442" s="8"/>
      <c r="Y442" s="11">
        <v>0</v>
      </c>
      <c r="Z442" s="12">
        <v>-2358000</v>
      </c>
      <c r="AA442" s="13">
        <v>518000</v>
      </c>
      <c r="AB442" s="13">
        <v>1840000</v>
      </c>
      <c r="AC442" s="11">
        <v>0</v>
      </c>
      <c r="AD442" s="12">
        <v>-2116000</v>
      </c>
      <c r="AE442" s="13">
        <v>2116000</v>
      </c>
      <c r="AF442" s="8"/>
      <c r="AG442" s="8"/>
      <c r="AH442" s="8"/>
      <c r="AI442" s="8"/>
      <c r="AJ442" s="10">
        <v>0</v>
      </c>
      <c r="AK442" s="10">
        <v>0</v>
      </c>
      <c r="AL442" s="10">
        <v>14147430121.5</v>
      </c>
      <c r="AM442" s="10">
        <v>9131000079.8500004</v>
      </c>
      <c r="AN442" s="10">
        <v>0</v>
      </c>
      <c r="AO442" s="10">
        <v>0</v>
      </c>
      <c r="AP442" s="10">
        <v>8096816246.8000002</v>
      </c>
      <c r="AQ442" s="8"/>
      <c r="AR442" s="8"/>
      <c r="AS442" s="8"/>
      <c r="AT442" s="8"/>
      <c r="AU442" s="14">
        <v>45382</v>
      </c>
      <c r="AV442" s="14">
        <v>45382</v>
      </c>
      <c r="AW442" s="14">
        <v>45199</v>
      </c>
      <c r="AX442" s="14">
        <v>44926</v>
      </c>
      <c r="AY442" s="14">
        <v>44196</v>
      </c>
      <c r="AZ442" s="14">
        <v>44196</v>
      </c>
      <c r="BA442" s="14">
        <v>43830</v>
      </c>
      <c r="BB442" s="8"/>
      <c r="BC442" s="8"/>
      <c r="BD442" s="8"/>
      <c r="BE442" s="8"/>
      <c r="BF442" s="8" t="s">
        <v>35</v>
      </c>
      <c r="BG442" s="8" t="s">
        <v>35</v>
      </c>
      <c r="BH442" s="8" t="s">
        <v>35</v>
      </c>
      <c r="BI442" s="8" t="s">
        <v>35</v>
      </c>
      <c r="BJ442" s="8" t="s">
        <v>35</v>
      </c>
      <c r="BK442" s="8" t="s">
        <v>35</v>
      </c>
      <c r="BL442" s="8" t="s">
        <v>35</v>
      </c>
      <c r="BM442" s="8"/>
      <c r="BN442" s="8"/>
      <c r="BO442" s="8"/>
      <c r="BP442" s="8"/>
      <c r="BQ442" s="8" t="s">
        <v>31</v>
      </c>
      <c r="BR442" s="8" t="s">
        <v>36</v>
      </c>
      <c r="BS442" s="10">
        <v>465271230115.20001</v>
      </c>
      <c r="BT442" s="8" t="s">
        <v>101</v>
      </c>
      <c r="BU442" s="8" t="s">
        <v>27</v>
      </c>
      <c r="BV442" s="8" t="s">
        <v>27</v>
      </c>
      <c r="BW442" s="8" t="s">
        <v>42</v>
      </c>
      <c r="BX442" s="8" t="s">
        <v>42</v>
      </c>
      <c r="BY442" s="8" t="s">
        <v>42</v>
      </c>
      <c r="BZ442" s="8" t="s">
        <v>42</v>
      </c>
      <c r="CA442" s="8"/>
      <c r="CB442" s="8"/>
      <c r="CC442" s="8"/>
      <c r="CD442" s="8"/>
      <c r="CE442" s="8"/>
      <c r="CF442" s="8" t="s">
        <v>50</v>
      </c>
      <c r="CG442" s="8" t="s">
        <v>51</v>
      </c>
    </row>
    <row r="443" spans="1:85" ht="15.75" customHeight="1" x14ac:dyDescent="0.35">
      <c r="A443" s="8">
        <v>436</v>
      </c>
      <c r="B443" s="8" t="s">
        <v>633</v>
      </c>
      <c r="C443" s="9">
        <v>0</v>
      </c>
      <c r="D443" s="9">
        <v>0</v>
      </c>
      <c r="E443" s="9">
        <v>0</v>
      </c>
      <c r="F443" s="9">
        <v>0</v>
      </c>
      <c r="G443" s="8"/>
      <c r="H443" s="8"/>
      <c r="I443" s="8"/>
      <c r="J443" s="8"/>
      <c r="K443" s="8"/>
      <c r="L443" s="8"/>
      <c r="M443" s="8"/>
      <c r="N443" s="10">
        <v>0</v>
      </c>
      <c r="O443" s="10">
        <v>0</v>
      </c>
      <c r="P443" s="10">
        <v>20900</v>
      </c>
      <c r="Q443" s="10">
        <v>0</v>
      </c>
      <c r="R443" s="8"/>
      <c r="S443" s="8"/>
      <c r="T443" s="8"/>
      <c r="U443" s="8"/>
      <c r="V443" s="8"/>
      <c r="W443" s="8"/>
      <c r="X443" s="8"/>
      <c r="Y443" s="11">
        <v>0</v>
      </c>
      <c r="Z443" s="12">
        <v>-20900</v>
      </c>
      <c r="AA443" s="13">
        <v>20900</v>
      </c>
      <c r="AB443" s="11">
        <v>0</v>
      </c>
      <c r="AC443" s="8"/>
      <c r="AD443" s="8"/>
      <c r="AE443" s="8"/>
      <c r="AF443" s="8"/>
      <c r="AG443" s="8"/>
      <c r="AH443" s="8"/>
      <c r="AI443" s="8"/>
      <c r="AJ443" s="10">
        <v>0</v>
      </c>
      <c r="AK443" s="10">
        <v>0</v>
      </c>
      <c r="AL443" s="10">
        <v>126444985.09999999</v>
      </c>
      <c r="AM443" s="10">
        <v>0</v>
      </c>
      <c r="AN443" s="8"/>
      <c r="AO443" s="8"/>
      <c r="AP443" s="8"/>
      <c r="AQ443" s="8"/>
      <c r="AR443" s="8"/>
      <c r="AS443" s="8"/>
      <c r="AT443" s="8"/>
      <c r="AU443" s="14">
        <v>45657</v>
      </c>
      <c r="AV443" s="14">
        <v>45657</v>
      </c>
      <c r="AW443" s="14">
        <v>45291</v>
      </c>
      <c r="AX443" s="14">
        <v>44834</v>
      </c>
      <c r="AY443" s="8"/>
      <c r="AZ443" s="8"/>
      <c r="BA443" s="8"/>
      <c r="BB443" s="8"/>
      <c r="BC443" s="8"/>
      <c r="BD443" s="8"/>
      <c r="BE443" s="8"/>
      <c r="BF443" s="8" t="s">
        <v>35</v>
      </c>
      <c r="BG443" s="8" t="s">
        <v>35</v>
      </c>
      <c r="BH443" s="8" t="s">
        <v>35</v>
      </c>
      <c r="BI443" s="8" t="s">
        <v>35</v>
      </c>
      <c r="BJ443" s="8"/>
      <c r="BK443" s="8"/>
      <c r="BL443" s="8"/>
      <c r="BM443" s="8"/>
      <c r="BN443" s="8"/>
      <c r="BO443" s="8"/>
      <c r="BP443" s="8"/>
      <c r="BQ443" s="8" t="s">
        <v>31</v>
      </c>
      <c r="BR443" s="8" t="s">
        <v>36</v>
      </c>
      <c r="BS443" s="10">
        <v>1141168693857.6001</v>
      </c>
      <c r="BT443" s="8"/>
      <c r="BU443" s="8" t="s">
        <v>27</v>
      </c>
      <c r="BV443" s="8" t="s">
        <v>27</v>
      </c>
      <c r="BW443" s="8" t="s">
        <v>27</v>
      </c>
      <c r="BX443" s="8" t="s">
        <v>27</v>
      </c>
      <c r="BY443" s="8"/>
      <c r="BZ443" s="8"/>
      <c r="CA443" s="8"/>
      <c r="CB443" s="8"/>
      <c r="CC443" s="8"/>
      <c r="CD443" s="8"/>
      <c r="CE443" s="8"/>
      <c r="CF443" s="8" t="s">
        <v>58</v>
      </c>
      <c r="CG443" s="8" t="s">
        <v>59</v>
      </c>
    </row>
    <row r="444" spans="1:85" ht="15.75" customHeight="1" x14ac:dyDescent="0.35">
      <c r="A444" s="8">
        <v>437</v>
      </c>
      <c r="B444" s="8" t="s">
        <v>634</v>
      </c>
      <c r="C444" s="9">
        <v>0</v>
      </c>
      <c r="D444" s="9">
        <v>0</v>
      </c>
      <c r="E444" s="8"/>
      <c r="F444" s="8"/>
      <c r="G444" s="8"/>
      <c r="H444" s="9">
        <v>0</v>
      </c>
      <c r="I444" s="9">
        <v>0</v>
      </c>
      <c r="J444" s="9">
        <v>5.0000000000000004E-6</v>
      </c>
      <c r="K444" s="8"/>
      <c r="L444" s="8"/>
      <c r="M444" s="8"/>
      <c r="N444" s="10">
        <v>0</v>
      </c>
      <c r="O444" s="10">
        <v>0</v>
      </c>
      <c r="P444" s="8"/>
      <c r="Q444" s="8"/>
      <c r="R444" s="8"/>
      <c r="S444" s="10">
        <v>0</v>
      </c>
      <c r="T444" s="10">
        <v>0</v>
      </c>
      <c r="U444" s="10">
        <v>418270</v>
      </c>
      <c r="V444" s="8"/>
      <c r="W444" s="8"/>
      <c r="X444" s="8"/>
      <c r="Y444" s="11">
        <v>0</v>
      </c>
      <c r="Z444" s="11">
        <v>0</v>
      </c>
      <c r="AA444" s="8"/>
      <c r="AB444" s="8"/>
      <c r="AC444" s="8"/>
      <c r="AD444" s="11">
        <v>0</v>
      </c>
      <c r="AE444" s="12">
        <v>-418270</v>
      </c>
      <c r="AF444" s="13">
        <v>418270</v>
      </c>
      <c r="AG444" s="8"/>
      <c r="AH444" s="8"/>
      <c r="AI444" s="8"/>
      <c r="AJ444" s="10">
        <v>0</v>
      </c>
      <c r="AK444" s="10">
        <v>0</v>
      </c>
      <c r="AL444" s="8"/>
      <c r="AM444" s="8"/>
      <c r="AN444" s="8"/>
      <c r="AO444" s="10">
        <v>0</v>
      </c>
      <c r="AP444" s="10">
        <v>0</v>
      </c>
      <c r="AQ444" s="10">
        <v>1523296325</v>
      </c>
      <c r="AR444" s="8"/>
      <c r="AS444" s="8"/>
      <c r="AT444" s="8"/>
      <c r="AU444" s="14">
        <v>45657</v>
      </c>
      <c r="AV444" s="14">
        <v>45657</v>
      </c>
      <c r="AW444" s="8"/>
      <c r="AX444" s="8"/>
      <c r="AY444" s="8"/>
      <c r="AZ444" s="14">
        <v>43646</v>
      </c>
      <c r="BA444" s="14">
        <v>43646</v>
      </c>
      <c r="BB444" s="14">
        <v>43465</v>
      </c>
      <c r="BC444" s="8"/>
      <c r="BD444" s="8"/>
      <c r="BE444" s="8"/>
      <c r="BF444" s="8" t="s">
        <v>35</v>
      </c>
      <c r="BG444" s="8" t="s">
        <v>35</v>
      </c>
      <c r="BH444" s="8"/>
      <c r="BI444" s="8"/>
      <c r="BJ444" s="8"/>
      <c r="BK444" s="8" t="s">
        <v>35</v>
      </c>
      <c r="BL444" s="8" t="s">
        <v>35</v>
      </c>
      <c r="BM444" s="8" t="s">
        <v>35</v>
      </c>
      <c r="BN444" s="8"/>
      <c r="BO444" s="8"/>
      <c r="BP444" s="8"/>
      <c r="BQ444" s="8" t="s">
        <v>31</v>
      </c>
      <c r="BR444" s="8" t="s">
        <v>36</v>
      </c>
      <c r="BS444" s="10">
        <v>1600590954704.3999</v>
      </c>
      <c r="BT444" s="8"/>
      <c r="BU444" s="8" t="s">
        <v>42</v>
      </c>
      <c r="BV444" s="8" t="s">
        <v>42</v>
      </c>
      <c r="BW444" s="8"/>
      <c r="BX444" s="8"/>
      <c r="BY444" s="8"/>
      <c r="BZ444" s="8" t="s">
        <v>42</v>
      </c>
      <c r="CA444" s="8" t="s">
        <v>42</v>
      </c>
      <c r="CB444" s="8" t="s">
        <v>42</v>
      </c>
      <c r="CC444" s="8"/>
      <c r="CD444" s="8"/>
      <c r="CE444" s="8"/>
      <c r="CF444" s="8" t="s">
        <v>346</v>
      </c>
      <c r="CG444" s="8" t="s">
        <v>347</v>
      </c>
    </row>
    <row r="445" spans="1:85" ht="15.75" customHeight="1" x14ac:dyDescent="0.35">
      <c r="A445" s="8">
        <v>438</v>
      </c>
      <c r="B445" s="8" t="s">
        <v>635</v>
      </c>
      <c r="C445" s="9">
        <v>0</v>
      </c>
      <c r="D445" s="9">
        <v>3.3000000000000003E-5</v>
      </c>
      <c r="E445" s="8"/>
      <c r="F445" s="8"/>
      <c r="G445" s="8"/>
      <c r="H445" s="8"/>
      <c r="I445" s="8"/>
      <c r="J445" s="8"/>
      <c r="K445" s="9">
        <v>0</v>
      </c>
      <c r="L445" s="9">
        <v>0</v>
      </c>
      <c r="M445" s="9">
        <v>0</v>
      </c>
      <c r="N445" s="10">
        <v>0</v>
      </c>
      <c r="O445" s="10">
        <v>3078600</v>
      </c>
      <c r="P445" s="8"/>
      <c r="Q445" s="8"/>
      <c r="R445" s="8"/>
      <c r="S445" s="8"/>
      <c r="T445" s="8"/>
      <c r="U445" s="8"/>
      <c r="V445" s="10">
        <v>0</v>
      </c>
      <c r="W445" s="10">
        <v>0</v>
      </c>
      <c r="X445" s="10">
        <v>0</v>
      </c>
      <c r="Y445" s="12">
        <v>-3078600</v>
      </c>
      <c r="Z445" s="13">
        <v>3078600</v>
      </c>
      <c r="AA445" s="8"/>
      <c r="AB445" s="8"/>
      <c r="AC445" s="8"/>
      <c r="AD445" s="8"/>
      <c r="AE445" s="8"/>
      <c r="AF445" s="8"/>
      <c r="AG445" s="11">
        <v>0</v>
      </c>
      <c r="AH445" s="11">
        <v>0</v>
      </c>
      <c r="AI445" s="12">
        <v>-15184000</v>
      </c>
      <c r="AJ445" s="10">
        <v>0</v>
      </c>
      <c r="AK445" s="10">
        <v>17504503436.400002</v>
      </c>
      <c r="AL445" s="8"/>
      <c r="AM445" s="8"/>
      <c r="AN445" s="8"/>
      <c r="AO445" s="8"/>
      <c r="AP445" s="8"/>
      <c r="AQ445" s="8"/>
      <c r="AR445" s="10">
        <v>0</v>
      </c>
      <c r="AS445" s="10">
        <v>0</v>
      </c>
      <c r="AT445" s="10">
        <v>0</v>
      </c>
      <c r="AU445" s="14">
        <v>45869</v>
      </c>
      <c r="AV445" s="14">
        <v>45657</v>
      </c>
      <c r="AW445" s="8"/>
      <c r="AX445" s="8"/>
      <c r="AY445" s="8"/>
      <c r="AZ445" s="8"/>
      <c r="BA445" s="8"/>
      <c r="BB445" s="8"/>
      <c r="BC445" s="14">
        <v>42735</v>
      </c>
      <c r="BD445" s="14">
        <v>42735</v>
      </c>
      <c r="BE445" s="14">
        <v>42369</v>
      </c>
      <c r="BF445" s="8" t="s">
        <v>35</v>
      </c>
      <c r="BG445" s="8" t="s">
        <v>35</v>
      </c>
      <c r="BH445" s="8"/>
      <c r="BI445" s="8"/>
      <c r="BJ445" s="8"/>
      <c r="BK445" s="8"/>
      <c r="BL445" s="8"/>
      <c r="BM445" s="8"/>
      <c r="BN445" s="8" t="s">
        <v>35</v>
      </c>
      <c r="BO445" s="8" t="s">
        <v>35</v>
      </c>
      <c r="BP445" s="8" t="s">
        <v>35</v>
      </c>
      <c r="BQ445" s="8" t="s">
        <v>31</v>
      </c>
      <c r="BR445" s="8" t="s">
        <v>36</v>
      </c>
      <c r="BS445" s="10">
        <v>8057985761787.5996</v>
      </c>
      <c r="BT445" s="8" t="s">
        <v>57</v>
      </c>
      <c r="BU445" s="8" t="s">
        <v>42</v>
      </c>
      <c r="BV445" s="8" t="s">
        <v>43</v>
      </c>
      <c r="BW445" s="8"/>
      <c r="BX445" s="8"/>
      <c r="BY445" s="8"/>
      <c r="BZ445" s="8"/>
      <c r="CA445" s="8"/>
      <c r="CB445" s="8"/>
      <c r="CC445" s="8" t="s">
        <v>42</v>
      </c>
      <c r="CD445" s="8" t="s">
        <v>42</v>
      </c>
      <c r="CE445" s="8" t="s">
        <v>42</v>
      </c>
      <c r="CF445" s="8" t="s">
        <v>70</v>
      </c>
      <c r="CG445" s="8" t="s">
        <v>71</v>
      </c>
    </row>
    <row r="446" spans="1:85" ht="15.75" customHeight="1" x14ac:dyDescent="0.35">
      <c r="A446" s="8">
        <v>439</v>
      </c>
      <c r="B446" s="8" t="s">
        <v>636</v>
      </c>
      <c r="C446" s="9">
        <v>0</v>
      </c>
      <c r="D446" s="9">
        <v>0</v>
      </c>
      <c r="E446" s="9">
        <v>8.2999999999999998E-5</v>
      </c>
      <c r="F446" s="9">
        <v>3.0000000000000001E-5</v>
      </c>
      <c r="G446" s="9">
        <v>3.2200000000000002E-4</v>
      </c>
      <c r="H446" s="9">
        <v>0</v>
      </c>
      <c r="I446" s="8"/>
      <c r="J446" s="8"/>
      <c r="K446" s="9">
        <v>0</v>
      </c>
      <c r="L446" s="9">
        <v>0</v>
      </c>
      <c r="M446" s="8"/>
      <c r="N446" s="10">
        <v>0</v>
      </c>
      <c r="O446" s="10">
        <v>0</v>
      </c>
      <c r="P446" s="10">
        <v>7638000</v>
      </c>
      <c r="Q446" s="10">
        <v>2800800</v>
      </c>
      <c r="R446" s="10">
        <v>29785400</v>
      </c>
      <c r="S446" s="10">
        <v>0</v>
      </c>
      <c r="T446" s="8"/>
      <c r="U446" s="8"/>
      <c r="V446" s="10">
        <v>0</v>
      </c>
      <c r="W446" s="10">
        <v>0</v>
      </c>
      <c r="X446" s="8"/>
      <c r="Y446" s="11">
        <v>0</v>
      </c>
      <c r="Z446" s="12">
        <v>-7638000</v>
      </c>
      <c r="AA446" s="13">
        <v>4837200</v>
      </c>
      <c r="AB446" s="12">
        <v>-26984600</v>
      </c>
      <c r="AC446" s="13">
        <v>29785400</v>
      </c>
      <c r="AD446" s="11">
        <v>0</v>
      </c>
      <c r="AE446" s="8"/>
      <c r="AF446" s="8"/>
      <c r="AG446" s="11">
        <v>0</v>
      </c>
      <c r="AH446" s="11">
        <v>0</v>
      </c>
      <c r="AI446" s="8"/>
      <c r="AJ446" s="10">
        <v>0</v>
      </c>
      <c r="AK446" s="10">
        <v>0</v>
      </c>
      <c r="AL446" s="10">
        <v>46209900026.949997</v>
      </c>
      <c r="AM446" s="10">
        <v>13898970028.9</v>
      </c>
      <c r="AN446" s="10">
        <v>104511205725</v>
      </c>
      <c r="AO446" s="10">
        <v>0</v>
      </c>
      <c r="AP446" s="8"/>
      <c r="AQ446" s="8"/>
      <c r="AR446" s="10">
        <v>0</v>
      </c>
      <c r="AS446" s="10">
        <v>0</v>
      </c>
      <c r="AT446" s="8"/>
      <c r="AU446" s="14">
        <v>45473</v>
      </c>
      <c r="AV446" s="14">
        <v>45473</v>
      </c>
      <c r="AW446" s="14">
        <v>45291</v>
      </c>
      <c r="AX446" s="14">
        <v>44926</v>
      </c>
      <c r="AY446" s="14">
        <v>44561</v>
      </c>
      <c r="AZ446" s="14">
        <v>44104</v>
      </c>
      <c r="BA446" s="8"/>
      <c r="BB446" s="8"/>
      <c r="BC446" s="14">
        <v>42674</v>
      </c>
      <c r="BD446" s="14">
        <v>42674</v>
      </c>
      <c r="BE446" s="8"/>
      <c r="BF446" s="8" t="s">
        <v>35</v>
      </c>
      <c r="BG446" s="8" t="s">
        <v>35</v>
      </c>
      <c r="BH446" s="8" t="s">
        <v>35</v>
      </c>
      <c r="BI446" s="8" t="s">
        <v>35</v>
      </c>
      <c r="BJ446" s="8" t="s">
        <v>35</v>
      </c>
      <c r="BK446" s="8" t="s">
        <v>35</v>
      </c>
      <c r="BL446" s="8"/>
      <c r="BM446" s="8"/>
      <c r="BN446" s="8" t="s">
        <v>35</v>
      </c>
      <c r="BO446" s="8" t="s">
        <v>35</v>
      </c>
      <c r="BP446" s="8"/>
      <c r="BQ446" s="8" t="s">
        <v>31</v>
      </c>
      <c r="BR446" s="8" t="s">
        <v>36</v>
      </c>
      <c r="BS446" s="10">
        <v>4310769469929500</v>
      </c>
      <c r="BT446" s="8" t="s">
        <v>41</v>
      </c>
      <c r="BU446" s="8" t="s">
        <v>27</v>
      </c>
      <c r="BV446" s="8" t="s">
        <v>27</v>
      </c>
      <c r="BW446" s="8" t="s">
        <v>27</v>
      </c>
      <c r="BX446" s="8" t="s">
        <v>27</v>
      </c>
      <c r="BY446" s="8" t="s">
        <v>27</v>
      </c>
      <c r="BZ446" s="8" t="s">
        <v>27</v>
      </c>
      <c r="CA446" s="8"/>
      <c r="CB446" s="8"/>
      <c r="CC446" s="8" t="s">
        <v>27</v>
      </c>
      <c r="CD446" s="8" t="s">
        <v>27</v>
      </c>
      <c r="CE446" s="8"/>
      <c r="CF446" s="8" t="s">
        <v>313</v>
      </c>
      <c r="CG446" s="8" t="s">
        <v>39</v>
      </c>
    </row>
    <row r="447" spans="1:85" ht="15.75" customHeight="1" x14ac:dyDescent="0.35">
      <c r="A447" s="8">
        <v>440</v>
      </c>
      <c r="B447" s="8" t="s">
        <v>637</v>
      </c>
      <c r="C447" s="9">
        <v>0</v>
      </c>
      <c r="D447" s="9">
        <v>1.63E-4</v>
      </c>
      <c r="E447" s="9">
        <v>2.1699999999999999E-4</v>
      </c>
      <c r="F447" s="9">
        <v>4.15E-4</v>
      </c>
      <c r="G447" s="8"/>
      <c r="H447" s="8"/>
      <c r="I447" s="8"/>
      <c r="J447" s="8"/>
      <c r="K447" s="8"/>
      <c r="L447" s="8"/>
      <c r="M447" s="9">
        <v>0</v>
      </c>
      <c r="N447" s="10">
        <v>0</v>
      </c>
      <c r="O447" s="10">
        <v>15104200</v>
      </c>
      <c r="P447" s="10">
        <v>20043400</v>
      </c>
      <c r="Q447" s="10">
        <v>38304800</v>
      </c>
      <c r="R447" s="8"/>
      <c r="S447" s="8"/>
      <c r="T447" s="8"/>
      <c r="U447" s="8"/>
      <c r="V447" s="8"/>
      <c r="W447" s="8"/>
      <c r="X447" s="10">
        <v>0</v>
      </c>
      <c r="Y447" s="12">
        <v>-15104200</v>
      </c>
      <c r="Z447" s="12">
        <v>-4939200</v>
      </c>
      <c r="AA447" s="12">
        <v>-18261400</v>
      </c>
      <c r="AB447" s="13">
        <v>38304800</v>
      </c>
      <c r="AC447" s="8"/>
      <c r="AD447" s="8"/>
      <c r="AE447" s="8"/>
      <c r="AF447" s="8"/>
      <c r="AG447" s="8"/>
      <c r="AH447" s="8"/>
      <c r="AI447" s="11">
        <v>0</v>
      </c>
      <c r="AJ447" s="10">
        <v>0</v>
      </c>
      <c r="AK447" s="10">
        <v>85880439842.699997</v>
      </c>
      <c r="AL447" s="10">
        <v>121262569944.8</v>
      </c>
      <c r="AM447" s="10">
        <v>190087570126.85001</v>
      </c>
      <c r="AN447" s="8"/>
      <c r="AO447" s="8"/>
      <c r="AP447" s="8"/>
      <c r="AQ447" s="8"/>
      <c r="AR447" s="8"/>
      <c r="AS447" s="8"/>
      <c r="AT447" s="10">
        <v>0</v>
      </c>
      <c r="AU447" s="14">
        <v>45838</v>
      </c>
      <c r="AV447" s="14">
        <v>45657</v>
      </c>
      <c r="AW447" s="14">
        <v>45291</v>
      </c>
      <c r="AX447" s="14">
        <v>44926</v>
      </c>
      <c r="AY447" s="8"/>
      <c r="AZ447" s="8"/>
      <c r="BA447" s="8"/>
      <c r="BB447" s="8"/>
      <c r="BC447" s="8"/>
      <c r="BD447" s="8"/>
      <c r="BE447" s="14">
        <v>42035</v>
      </c>
      <c r="BF447" s="8" t="s">
        <v>35</v>
      </c>
      <c r="BG447" s="8" t="s">
        <v>35</v>
      </c>
      <c r="BH447" s="8" t="s">
        <v>35</v>
      </c>
      <c r="BI447" s="8" t="s">
        <v>35</v>
      </c>
      <c r="BJ447" s="8"/>
      <c r="BK447" s="8"/>
      <c r="BL447" s="8"/>
      <c r="BM447" s="8"/>
      <c r="BN447" s="8"/>
      <c r="BO447" s="8"/>
      <c r="BP447" s="8" t="s">
        <v>35</v>
      </c>
      <c r="BQ447" s="8" t="s">
        <v>31</v>
      </c>
      <c r="BR447" s="8" t="s">
        <v>49</v>
      </c>
      <c r="BS447" s="10">
        <v>2086730632709450</v>
      </c>
      <c r="BT447" s="8" t="s">
        <v>41</v>
      </c>
      <c r="BU447" s="8" t="s">
        <v>27</v>
      </c>
      <c r="BV447" s="8" t="s">
        <v>27</v>
      </c>
      <c r="BW447" s="8" t="s">
        <v>27</v>
      </c>
      <c r="BX447" s="8" t="s">
        <v>27</v>
      </c>
      <c r="BY447" s="8"/>
      <c r="BZ447" s="8"/>
      <c r="CA447" s="8"/>
      <c r="CB447" s="8"/>
      <c r="CC447" s="8"/>
      <c r="CD447" s="8"/>
      <c r="CE447" s="8" t="s">
        <v>27</v>
      </c>
      <c r="CF447" s="8" t="s">
        <v>85</v>
      </c>
      <c r="CG447" s="8" t="s">
        <v>39</v>
      </c>
    </row>
    <row r="448" spans="1:85" ht="15.75" customHeight="1" x14ac:dyDescent="0.35">
      <c r="A448" s="8">
        <v>441</v>
      </c>
      <c r="B448" s="8" t="s">
        <v>638</v>
      </c>
      <c r="C448" s="9">
        <v>0</v>
      </c>
      <c r="D448" s="9">
        <v>2.03E-4</v>
      </c>
      <c r="E448" s="8"/>
      <c r="F448" s="8"/>
      <c r="G448" s="8"/>
      <c r="H448" s="8"/>
      <c r="I448" s="8"/>
      <c r="J448" s="8"/>
      <c r="K448" s="8"/>
      <c r="L448" s="8"/>
      <c r="M448" s="8"/>
      <c r="N448" s="10">
        <v>0</v>
      </c>
      <c r="O448" s="10">
        <v>18765900</v>
      </c>
      <c r="P448" s="8"/>
      <c r="Q448" s="8"/>
      <c r="R448" s="8"/>
      <c r="S448" s="8"/>
      <c r="T448" s="8"/>
      <c r="U448" s="8"/>
      <c r="V448" s="8"/>
      <c r="W448" s="8"/>
      <c r="X448" s="8"/>
      <c r="Y448" s="12">
        <v>-18765900</v>
      </c>
      <c r="Z448" s="13">
        <v>18765900</v>
      </c>
      <c r="AA448" s="8"/>
      <c r="AB448" s="8"/>
      <c r="AC448" s="8"/>
      <c r="AD448" s="8"/>
      <c r="AE448" s="8"/>
      <c r="AF448" s="8"/>
      <c r="AG448" s="8"/>
      <c r="AH448" s="8"/>
      <c r="AI448" s="8"/>
      <c r="AJ448" s="10">
        <v>0</v>
      </c>
      <c r="AK448" s="10">
        <v>106700371125.3</v>
      </c>
      <c r="AL448" s="8"/>
      <c r="AM448" s="8"/>
      <c r="AN448" s="8"/>
      <c r="AO448" s="8"/>
      <c r="AP448" s="8"/>
      <c r="AQ448" s="8"/>
      <c r="AR448" s="8"/>
      <c r="AS448" s="8"/>
      <c r="AT448" s="8"/>
      <c r="AU448" s="14">
        <v>45838</v>
      </c>
      <c r="AV448" s="14">
        <v>45657</v>
      </c>
      <c r="AW448" s="8"/>
      <c r="AX448" s="8"/>
      <c r="AY448" s="8"/>
      <c r="AZ448" s="8"/>
      <c r="BA448" s="8"/>
      <c r="BB448" s="8"/>
      <c r="BC448" s="8"/>
      <c r="BD448" s="8"/>
      <c r="BE448" s="8"/>
      <c r="BF448" s="8" t="s">
        <v>35</v>
      </c>
      <c r="BG448" s="8" t="s">
        <v>35</v>
      </c>
      <c r="BH448" s="8"/>
      <c r="BI448" s="8"/>
      <c r="BJ448" s="8"/>
      <c r="BK448" s="8"/>
      <c r="BL448" s="8"/>
      <c r="BM448" s="8"/>
      <c r="BN448" s="8"/>
      <c r="BO448" s="8"/>
      <c r="BP448" s="8"/>
      <c r="BQ448" s="8" t="s">
        <v>31</v>
      </c>
      <c r="BR448" s="8" t="s">
        <v>36</v>
      </c>
      <c r="BS448" s="10">
        <v>13664519634739.199</v>
      </c>
      <c r="BT448" s="8"/>
      <c r="BU448" s="8" t="s">
        <v>43</v>
      </c>
      <c r="BV448" s="8" t="s">
        <v>43</v>
      </c>
      <c r="BW448" s="8"/>
      <c r="BX448" s="8"/>
      <c r="BY448" s="8"/>
      <c r="BZ448" s="8"/>
      <c r="CA448" s="8"/>
      <c r="CB448" s="8"/>
      <c r="CC448" s="8"/>
      <c r="CD448" s="8"/>
      <c r="CE448" s="8"/>
      <c r="CF448" s="8" t="s">
        <v>639</v>
      </c>
      <c r="CG448" s="8" t="s">
        <v>115</v>
      </c>
    </row>
    <row r="449" spans="1:85" ht="15.75" customHeight="1" x14ac:dyDescent="0.35">
      <c r="A449" s="8">
        <v>442</v>
      </c>
      <c r="B449" s="8" t="s">
        <v>640</v>
      </c>
      <c r="C449" s="9">
        <v>0</v>
      </c>
      <c r="D449" s="9">
        <v>0</v>
      </c>
      <c r="E449" s="9">
        <v>1.9999999999999999E-6</v>
      </c>
      <c r="F449" s="8"/>
      <c r="G449" s="8"/>
      <c r="H449" s="8"/>
      <c r="I449" s="8"/>
      <c r="J449" s="8"/>
      <c r="K449" s="8"/>
      <c r="L449" s="8"/>
      <c r="M449" s="8"/>
      <c r="N449" s="10">
        <v>0</v>
      </c>
      <c r="O449" s="10">
        <v>0</v>
      </c>
      <c r="P449" s="10">
        <v>220400</v>
      </c>
      <c r="Q449" s="8"/>
      <c r="R449" s="8"/>
      <c r="S449" s="8"/>
      <c r="T449" s="8"/>
      <c r="U449" s="8"/>
      <c r="V449" s="8"/>
      <c r="W449" s="8"/>
      <c r="X449" s="8"/>
      <c r="Y449" s="11">
        <v>0</v>
      </c>
      <c r="Z449" s="12">
        <v>-220400</v>
      </c>
      <c r="AA449" s="13">
        <v>220400</v>
      </c>
      <c r="AB449" s="8"/>
      <c r="AC449" s="8"/>
      <c r="AD449" s="8"/>
      <c r="AE449" s="8"/>
      <c r="AF449" s="8"/>
      <c r="AG449" s="8"/>
      <c r="AH449" s="8"/>
      <c r="AI449" s="8"/>
      <c r="AJ449" s="10">
        <v>0</v>
      </c>
      <c r="AK449" s="10">
        <v>0</v>
      </c>
      <c r="AL449" s="10">
        <v>1333420066.8</v>
      </c>
      <c r="AM449" s="8"/>
      <c r="AN449" s="8"/>
      <c r="AO449" s="8"/>
      <c r="AP449" s="8"/>
      <c r="AQ449" s="8"/>
      <c r="AR449" s="8"/>
      <c r="AS449" s="8"/>
      <c r="AT449" s="8"/>
      <c r="AU449" s="14">
        <v>45473</v>
      </c>
      <c r="AV449" s="14">
        <v>45473</v>
      </c>
      <c r="AW449" s="14">
        <v>45291</v>
      </c>
      <c r="AX449" s="8"/>
      <c r="AY449" s="8"/>
      <c r="AZ449" s="8"/>
      <c r="BA449" s="8"/>
      <c r="BB449" s="8"/>
      <c r="BC449" s="8"/>
      <c r="BD449" s="8"/>
      <c r="BE449" s="8"/>
      <c r="BF449" s="8" t="s">
        <v>35</v>
      </c>
      <c r="BG449" s="8" t="s">
        <v>35</v>
      </c>
      <c r="BH449" s="8" t="s">
        <v>35</v>
      </c>
      <c r="BI449" s="8"/>
      <c r="BJ449" s="8"/>
      <c r="BK449" s="8"/>
      <c r="BL449" s="8"/>
      <c r="BM449" s="8"/>
      <c r="BN449" s="8"/>
      <c r="BO449" s="8"/>
      <c r="BP449" s="8"/>
      <c r="BQ449" s="8" t="s">
        <v>31</v>
      </c>
      <c r="BR449" s="8" t="s">
        <v>36</v>
      </c>
      <c r="BS449" s="10">
        <v>3265310341478.3999</v>
      </c>
      <c r="BT449" s="8"/>
      <c r="BU449" s="8" t="s">
        <v>43</v>
      </c>
      <c r="BV449" s="8" t="s">
        <v>43</v>
      </c>
      <c r="BW449" s="8" t="s">
        <v>43</v>
      </c>
      <c r="BX449" s="8"/>
      <c r="BY449" s="8"/>
      <c r="BZ449" s="8"/>
      <c r="CA449" s="8"/>
      <c r="CB449" s="8"/>
      <c r="CC449" s="8"/>
      <c r="CD449" s="8"/>
      <c r="CE449" s="8"/>
      <c r="CF449" s="8" t="s">
        <v>70</v>
      </c>
      <c r="CG449" s="8" t="s">
        <v>71</v>
      </c>
    </row>
    <row r="450" spans="1:85" ht="15.75" customHeight="1" x14ac:dyDescent="0.35">
      <c r="A450" s="8">
        <v>443</v>
      </c>
      <c r="B450" s="8" t="s">
        <v>641</v>
      </c>
      <c r="C450" s="9">
        <v>0</v>
      </c>
      <c r="D450" s="9">
        <v>3.4999999999999997E-5</v>
      </c>
      <c r="E450" s="9">
        <v>2.8499999999999999E-4</v>
      </c>
      <c r="F450" s="9">
        <v>2.6200000000000003E-4</v>
      </c>
      <c r="G450" s="9">
        <v>0</v>
      </c>
      <c r="H450" s="9">
        <v>6.3999999999999997E-5</v>
      </c>
      <c r="I450" s="9">
        <v>1.0900000000000001E-4</v>
      </c>
      <c r="J450" s="9">
        <v>8.5000000000000006E-5</v>
      </c>
      <c r="K450" s="9">
        <v>7.7000000000000001E-5</v>
      </c>
      <c r="L450" s="9">
        <v>7.7999999999999999E-5</v>
      </c>
      <c r="M450" s="9">
        <v>1.4E-5</v>
      </c>
      <c r="N450" s="10">
        <v>0</v>
      </c>
      <c r="O450" s="10">
        <v>3273900</v>
      </c>
      <c r="P450" s="10">
        <v>26356000</v>
      </c>
      <c r="Q450" s="10">
        <v>24225600</v>
      </c>
      <c r="R450" s="10">
        <v>0</v>
      </c>
      <c r="S450" s="10">
        <v>5951800</v>
      </c>
      <c r="T450" s="10">
        <v>10048800</v>
      </c>
      <c r="U450" s="10">
        <v>7856400</v>
      </c>
      <c r="V450" s="10">
        <v>7080000</v>
      </c>
      <c r="W450" s="10">
        <v>7164400</v>
      </c>
      <c r="X450" s="10">
        <v>1252400</v>
      </c>
      <c r="Y450" s="12">
        <v>-3273900</v>
      </c>
      <c r="Z450" s="12">
        <v>-23082100</v>
      </c>
      <c r="AA450" s="13">
        <v>2130400</v>
      </c>
      <c r="AB450" s="13">
        <v>24225600</v>
      </c>
      <c r="AC450" s="12">
        <v>-5951800</v>
      </c>
      <c r="AD450" s="12">
        <v>-4097000</v>
      </c>
      <c r="AE450" s="13">
        <v>2192400</v>
      </c>
      <c r="AF450" s="13">
        <v>776400</v>
      </c>
      <c r="AG450" s="12">
        <v>-84400</v>
      </c>
      <c r="AH450" s="13">
        <v>5912000</v>
      </c>
      <c r="AI450" s="12">
        <v>-502000</v>
      </c>
      <c r="AJ450" s="10">
        <v>0</v>
      </c>
      <c r="AK450" s="10">
        <v>18614952855.599998</v>
      </c>
      <c r="AL450" s="10">
        <v>159453799943.60001</v>
      </c>
      <c r="AM450" s="10">
        <v>120219540079.64999</v>
      </c>
      <c r="AN450" s="10">
        <v>0</v>
      </c>
      <c r="AO450" s="10">
        <v>18822567488.400002</v>
      </c>
      <c r="AP450" s="10">
        <v>38451458917.599998</v>
      </c>
      <c r="AQ450" s="10">
        <v>28612200531.25</v>
      </c>
      <c r="AR450" s="10">
        <v>28320000070.049999</v>
      </c>
      <c r="AS450" s="10">
        <v>20731982499.599998</v>
      </c>
      <c r="AT450" s="10">
        <v>2897225844.75</v>
      </c>
      <c r="AU450" s="14">
        <v>45747</v>
      </c>
      <c r="AV450" s="14">
        <v>45657</v>
      </c>
      <c r="AW450" s="14">
        <v>45291</v>
      </c>
      <c r="AX450" s="14">
        <v>44926</v>
      </c>
      <c r="AY450" s="14">
        <v>44286</v>
      </c>
      <c r="AZ450" s="14">
        <v>44196</v>
      </c>
      <c r="BA450" s="14">
        <v>43830</v>
      </c>
      <c r="BB450" s="14">
        <v>43465</v>
      </c>
      <c r="BC450" s="14">
        <v>43100</v>
      </c>
      <c r="BD450" s="14">
        <v>42735</v>
      </c>
      <c r="BE450" s="14">
        <v>42369</v>
      </c>
      <c r="BF450" s="8" t="s">
        <v>35</v>
      </c>
      <c r="BG450" s="8" t="s">
        <v>35</v>
      </c>
      <c r="BH450" s="8" t="s">
        <v>35</v>
      </c>
      <c r="BI450" s="8" t="s">
        <v>35</v>
      </c>
      <c r="BJ450" s="8" t="s">
        <v>35</v>
      </c>
      <c r="BK450" s="8" t="s">
        <v>35</v>
      </c>
      <c r="BL450" s="8" t="s">
        <v>35</v>
      </c>
      <c r="BM450" s="8" t="s">
        <v>35</v>
      </c>
      <c r="BN450" s="8" t="s">
        <v>35</v>
      </c>
      <c r="BO450" s="8" t="s">
        <v>35</v>
      </c>
      <c r="BP450" s="8" t="s">
        <v>35</v>
      </c>
      <c r="BQ450" s="8" t="s">
        <v>31</v>
      </c>
      <c r="BR450" s="8" t="s">
        <v>49</v>
      </c>
      <c r="BS450" s="10">
        <v>244535210781359</v>
      </c>
      <c r="BT450" s="8" t="s">
        <v>316</v>
      </c>
      <c r="BU450" s="8" t="s">
        <v>27</v>
      </c>
      <c r="BV450" s="8" t="s">
        <v>27</v>
      </c>
      <c r="BW450" s="8" t="s">
        <v>42</v>
      </c>
      <c r="BX450" s="8" t="s">
        <v>42</v>
      </c>
      <c r="BY450" s="8" t="s">
        <v>42</v>
      </c>
      <c r="BZ450" s="8" t="s">
        <v>42</v>
      </c>
      <c r="CA450" s="8" t="s">
        <v>27</v>
      </c>
      <c r="CB450" s="8" t="s">
        <v>27</v>
      </c>
      <c r="CC450" s="8" t="s">
        <v>27</v>
      </c>
      <c r="CD450" s="8" t="s">
        <v>27</v>
      </c>
      <c r="CE450" s="8" t="s">
        <v>42</v>
      </c>
      <c r="CF450" s="8" t="s">
        <v>291</v>
      </c>
      <c r="CG450" s="8" t="s">
        <v>39</v>
      </c>
    </row>
    <row r="451" spans="1:85" ht="15.75" customHeight="1" x14ac:dyDescent="0.35">
      <c r="A451" s="8">
        <v>444</v>
      </c>
      <c r="B451" s="8" t="s">
        <v>642</v>
      </c>
      <c r="C451" s="9">
        <v>0</v>
      </c>
      <c r="D451" s="9">
        <v>0</v>
      </c>
      <c r="E451" s="9">
        <v>6.0000000000000002E-6</v>
      </c>
      <c r="F451" s="9">
        <v>3.0000000000000001E-6</v>
      </c>
      <c r="G451" s="9">
        <v>3.9999999999999998E-6</v>
      </c>
      <c r="H451" s="9">
        <v>9.9999999999999995E-7</v>
      </c>
      <c r="I451" s="9">
        <v>1.9999999999999999E-6</v>
      </c>
      <c r="J451" s="9">
        <v>6.9999999999999999E-6</v>
      </c>
      <c r="K451" s="9">
        <v>6.0000000000000002E-6</v>
      </c>
      <c r="L451" s="9">
        <v>6.9999999999999999E-6</v>
      </c>
      <c r="M451" s="9">
        <v>3.9999999999999998E-6</v>
      </c>
      <c r="N451" s="10">
        <v>0</v>
      </c>
      <c r="O451" s="10">
        <v>0</v>
      </c>
      <c r="P451" s="10">
        <v>583800</v>
      </c>
      <c r="Q451" s="10">
        <v>243000</v>
      </c>
      <c r="R451" s="10">
        <v>346600</v>
      </c>
      <c r="S451" s="10">
        <v>68800</v>
      </c>
      <c r="T451" s="10">
        <v>184000</v>
      </c>
      <c r="U451" s="10">
        <v>644000</v>
      </c>
      <c r="V451" s="10">
        <v>576000</v>
      </c>
      <c r="W451" s="10">
        <v>648000</v>
      </c>
      <c r="X451" s="10">
        <v>376000</v>
      </c>
      <c r="Y451" s="11">
        <v>0</v>
      </c>
      <c r="Z451" s="12">
        <v>-583800</v>
      </c>
      <c r="AA451" s="13">
        <v>340800</v>
      </c>
      <c r="AB451" s="12">
        <v>-103600</v>
      </c>
      <c r="AC451" s="13">
        <v>277800</v>
      </c>
      <c r="AD451" s="12">
        <v>-115200</v>
      </c>
      <c r="AE451" s="12">
        <v>-460000</v>
      </c>
      <c r="AF451" s="13">
        <v>68000</v>
      </c>
      <c r="AG451" s="12">
        <v>-72000</v>
      </c>
      <c r="AH451" s="13">
        <v>272000</v>
      </c>
      <c r="AI451" s="11">
        <v>0</v>
      </c>
      <c r="AJ451" s="10">
        <v>0</v>
      </c>
      <c r="AK451" s="10">
        <v>0</v>
      </c>
      <c r="AL451" s="10">
        <v>3531990023.5500002</v>
      </c>
      <c r="AM451" s="10">
        <v>1278787495.7</v>
      </c>
      <c r="AN451" s="10">
        <v>1243427497.2</v>
      </c>
      <c r="AO451" s="10">
        <v>198660068.80000001</v>
      </c>
      <c r="AP451" s="10">
        <v>646300028.32000005</v>
      </c>
      <c r="AQ451" s="10">
        <v>2382799991</v>
      </c>
      <c r="AR451" s="10">
        <v>2131199961.24</v>
      </c>
      <c r="AS451" s="10">
        <v>1701000063</v>
      </c>
      <c r="AT451" s="10">
        <v>799000036.79999995</v>
      </c>
      <c r="AU451" s="14">
        <v>45657</v>
      </c>
      <c r="AV451" s="14">
        <v>45657</v>
      </c>
      <c r="AW451" s="14">
        <v>45291</v>
      </c>
      <c r="AX451" s="14">
        <v>44895</v>
      </c>
      <c r="AY451" s="14">
        <v>44500</v>
      </c>
      <c r="AZ451" s="14">
        <v>44135</v>
      </c>
      <c r="BA451" s="14">
        <v>43769</v>
      </c>
      <c r="BB451" s="14">
        <v>43434</v>
      </c>
      <c r="BC451" s="14">
        <v>43069</v>
      </c>
      <c r="BD451" s="14">
        <v>42704</v>
      </c>
      <c r="BE451" s="14">
        <v>42338</v>
      </c>
      <c r="BF451" s="8" t="s">
        <v>35</v>
      </c>
      <c r="BG451" s="8" t="s">
        <v>35</v>
      </c>
      <c r="BH451" s="8" t="s">
        <v>35</v>
      </c>
      <c r="BI451" s="8" t="s">
        <v>35</v>
      </c>
      <c r="BJ451" s="8" t="s">
        <v>35</v>
      </c>
      <c r="BK451" s="8" t="s">
        <v>35</v>
      </c>
      <c r="BL451" s="8" t="s">
        <v>35</v>
      </c>
      <c r="BM451" s="8" t="s">
        <v>35</v>
      </c>
      <c r="BN451" s="8" t="s">
        <v>35</v>
      </c>
      <c r="BO451" s="8" t="s">
        <v>35</v>
      </c>
      <c r="BP451" s="8" t="s">
        <v>35</v>
      </c>
      <c r="BQ451" s="8" t="s">
        <v>31</v>
      </c>
      <c r="BR451" s="8" t="s">
        <v>36</v>
      </c>
      <c r="BS451" s="10">
        <v>18706784853277.199</v>
      </c>
      <c r="BT451" s="8"/>
      <c r="BU451" s="8"/>
      <c r="BV451" s="8" t="s">
        <v>27</v>
      </c>
      <c r="BW451" s="8" t="s">
        <v>27</v>
      </c>
      <c r="BX451" s="8" t="s">
        <v>27</v>
      </c>
      <c r="BY451" s="8" t="s">
        <v>27</v>
      </c>
      <c r="BZ451" s="8" t="s">
        <v>43</v>
      </c>
      <c r="CA451" s="8" t="s">
        <v>27</v>
      </c>
      <c r="CB451" s="8" t="s">
        <v>27</v>
      </c>
      <c r="CC451" s="8" t="s">
        <v>27</v>
      </c>
      <c r="CD451" s="8" t="s">
        <v>27</v>
      </c>
      <c r="CE451" s="8" t="s">
        <v>42</v>
      </c>
      <c r="CF451" s="8" t="s">
        <v>58</v>
      </c>
      <c r="CG451" s="8" t="s">
        <v>59</v>
      </c>
    </row>
    <row r="452" spans="1:85" ht="15.75" customHeight="1" x14ac:dyDescent="0.35">
      <c r="A452" s="8">
        <v>445</v>
      </c>
      <c r="B452" s="8" t="s">
        <v>643</v>
      </c>
      <c r="C452" s="9">
        <v>0</v>
      </c>
      <c r="D452" s="9">
        <v>9.4399999999999996E-4</v>
      </c>
      <c r="E452" s="9">
        <v>1.3320000000000001E-3</v>
      </c>
      <c r="F452" s="9">
        <v>1.9239999999999999E-3</v>
      </c>
      <c r="G452" s="8"/>
      <c r="H452" s="8"/>
      <c r="I452" s="8"/>
      <c r="J452" s="8"/>
      <c r="K452" s="8"/>
      <c r="L452" s="8"/>
      <c r="M452" s="8"/>
      <c r="N452" s="10">
        <v>0</v>
      </c>
      <c r="O452" s="10">
        <v>87179936</v>
      </c>
      <c r="P452" s="10">
        <v>123092230</v>
      </c>
      <c r="Q452" s="10">
        <v>177767200</v>
      </c>
      <c r="R452" s="8"/>
      <c r="S452" s="8"/>
      <c r="T452" s="8"/>
      <c r="U452" s="8"/>
      <c r="V452" s="8"/>
      <c r="W452" s="8"/>
      <c r="X452" s="8"/>
      <c r="Y452" s="12">
        <v>-87179936</v>
      </c>
      <c r="Z452" s="12">
        <v>-35912294</v>
      </c>
      <c r="AA452" s="12">
        <v>-54674970</v>
      </c>
      <c r="AB452" s="13">
        <v>177767200</v>
      </c>
      <c r="AC452" s="8"/>
      <c r="AD452" s="8"/>
      <c r="AE452" s="8"/>
      <c r="AF452" s="8"/>
      <c r="AG452" s="8"/>
      <c r="AH452" s="8"/>
      <c r="AI452" s="8"/>
      <c r="AJ452" s="10">
        <v>0</v>
      </c>
      <c r="AK452" s="10">
        <v>495693333241.90002</v>
      </c>
      <c r="AL452" s="10">
        <v>744707990969.05005</v>
      </c>
      <c r="AM452" s="10">
        <v>882169730749.44995</v>
      </c>
      <c r="AN452" s="8"/>
      <c r="AO452" s="8"/>
      <c r="AP452" s="8"/>
      <c r="AQ452" s="8"/>
      <c r="AR452" s="8"/>
      <c r="AS452" s="8"/>
      <c r="AT452" s="8"/>
      <c r="AU452" s="14">
        <v>45838</v>
      </c>
      <c r="AV452" s="14">
        <v>45657</v>
      </c>
      <c r="AW452" s="14">
        <v>45291</v>
      </c>
      <c r="AX452" s="14">
        <v>44926</v>
      </c>
      <c r="AY452" s="8"/>
      <c r="AZ452" s="8"/>
      <c r="BA452" s="8"/>
      <c r="BB452" s="8"/>
      <c r="BC452" s="8"/>
      <c r="BD452" s="8"/>
      <c r="BE452" s="8"/>
      <c r="BF452" s="8" t="s">
        <v>35</v>
      </c>
      <c r="BG452" s="8" t="s">
        <v>35</v>
      </c>
      <c r="BH452" s="8" t="s">
        <v>35</v>
      </c>
      <c r="BI452" s="8" t="s">
        <v>35</v>
      </c>
      <c r="BJ452" s="8"/>
      <c r="BK452" s="8"/>
      <c r="BL452" s="8"/>
      <c r="BM452" s="8"/>
      <c r="BN452" s="8"/>
      <c r="BO452" s="8"/>
      <c r="BP452" s="8"/>
      <c r="BQ452" s="8" t="s">
        <v>31</v>
      </c>
      <c r="BR452" s="8" t="s">
        <v>49</v>
      </c>
      <c r="BS452" s="10">
        <v>39750125539186.797</v>
      </c>
      <c r="BT452" s="8"/>
      <c r="BU452" s="8" t="s">
        <v>43</v>
      </c>
      <c r="BV452" s="8" t="s">
        <v>43</v>
      </c>
      <c r="BW452" s="8" t="s">
        <v>42</v>
      </c>
      <c r="BX452" s="8" t="s">
        <v>43</v>
      </c>
      <c r="BY452" s="8"/>
      <c r="BZ452" s="8"/>
      <c r="CA452" s="8"/>
      <c r="CB452" s="8"/>
      <c r="CC452" s="8"/>
      <c r="CD452" s="8"/>
      <c r="CE452" s="8"/>
      <c r="CF452" s="8" t="s">
        <v>644</v>
      </c>
      <c r="CG452" s="8" t="s">
        <v>39</v>
      </c>
    </row>
    <row r="453" spans="1:85" ht="15.75" customHeight="1" x14ac:dyDescent="0.35">
      <c r="A453" s="8">
        <v>446</v>
      </c>
      <c r="B453" s="8" t="s">
        <v>645</v>
      </c>
      <c r="C453" s="9">
        <v>0</v>
      </c>
      <c r="D453" s="9">
        <v>0</v>
      </c>
      <c r="E453" s="9">
        <v>2.5099999999999998E-4</v>
      </c>
      <c r="F453" s="9">
        <v>1.6200000000000001E-4</v>
      </c>
      <c r="G453" s="9">
        <v>1.8900000000000001E-4</v>
      </c>
      <c r="H453" s="9">
        <v>3.2699999999999998E-4</v>
      </c>
      <c r="I453" s="9">
        <v>2.6800000000000001E-4</v>
      </c>
      <c r="J453" s="8"/>
      <c r="K453" s="8"/>
      <c r="L453" s="8"/>
      <c r="M453" s="8"/>
      <c r="N453" s="10">
        <v>0</v>
      </c>
      <c r="O453" s="10">
        <v>476</v>
      </c>
      <c r="P453" s="10">
        <v>23233899</v>
      </c>
      <c r="Q453" s="10">
        <v>14945000</v>
      </c>
      <c r="R453" s="10">
        <v>17418800</v>
      </c>
      <c r="S453" s="10">
        <v>30210512</v>
      </c>
      <c r="T453" s="10">
        <v>24789738</v>
      </c>
      <c r="U453" s="8"/>
      <c r="V453" s="8"/>
      <c r="W453" s="8"/>
      <c r="X453" s="8"/>
      <c r="Y453" s="12">
        <v>-476</v>
      </c>
      <c r="Z453" s="12">
        <v>-23233423</v>
      </c>
      <c r="AA453" s="13">
        <v>8288899</v>
      </c>
      <c r="AB453" s="12">
        <v>-2473800</v>
      </c>
      <c r="AC453" s="12">
        <v>-12791712</v>
      </c>
      <c r="AD453" s="13">
        <v>5420774</v>
      </c>
      <c r="AE453" s="13">
        <v>24789738</v>
      </c>
      <c r="AF453" s="8"/>
      <c r="AG453" s="8"/>
      <c r="AH453" s="8"/>
      <c r="AI453" s="8"/>
      <c r="AJ453" s="10">
        <v>0</v>
      </c>
      <c r="AK453" s="10">
        <v>2706498.9</v>
      </c>
      <c r="AL453" s="10">
        <v>140565088817.79999</v>
      </c>
      <c r="AM453" s="10">
        <v>74164562606.75</v>
      </c>
      <c r="AN453" s="10">
        <v>61119199050</v>
      </c>
      <c r="AO453" s="10">
        <v>95540744052</v>
      </c>
      <c r="AP453" s="10">
        <v>94857255811.199997</v>
      </c>
      <c r="AQ453" s="8"/>
      <c r="AR453" s="8"/>
      <c r="AS453" s="8"/>
      <c r="AT453" s="8"/>
      <c r="AU453" s="14">
        <v>45777</v>
      </c>
      <c r="AV453" s="14">
        <v>45657</v>
      </c>
      <c r="AW453" s="14">
        <v>45291</v>
      </c>
      <c r="AX453" s="14">
        <v>44926</v>
      </c>
      <c r="AY453" s="14">
        <v>44561</v>
      </c>
      <c r="AZ453" s="14">
        <v>44196</v>
      </c>
      <c r="BA453" s="14">
        <v>43830</v>
      </c>
      <c r="BB453" s="8"/>
      <c r="BC453" s="8"/>
      <c r="BD453" s="8"/>
      <c r="BE453" s="8"/>
      <c r="BF453" s="8" t="s">
        <v>35</v>
      </c>
      <c r="BG453" s="8" t="s">
        <v>35</v>
      </c>
      <c r="BH453" s="8" t="s">
        <v>35</v>
      </c>
      <c r="BI453" s="8" t="s">
        <v>35</v>
      </c>
      <c r="BJ453" s="8" t="s">
        <v>35</v>
      </c>
      <c r="BK453" s="8" t="s">
        <v>35</v>
      </c>
      <c r="BL453" s="8" t="s">
        <v>35</v>
      </c>
      <c r="BM453" s="8"/>
      <c r="BN453" s="8"/>
      <c r="BO453" s="8"/>
      <c r="BP453" s="8"/>
      <c r="BQ453" s="8" t="s">
        <v>31</v>
      </c>
      <c r="BR453" s="8" t="s">
        <v>36</v>
      </c>
      <c r="BS453" s="10">
        <v>47741576765394</v>
      </c>
      <c r="BT453" s="8"/>
      <c r="BU453" s="8" t="s">
        <v>43</v>
      </c>
      <c r="BV453" s="8" t="s">
        <v>42</v>
      </c>
      <c r="BW453" s="8" t="s">
        <v>27</v>
      </c>
      <c r="BX453" s="8" t="s">
        <v>27</v>
      </c>
      <c r="BY453" s="8" t="s">
        <v>42</v>
      </c>
      <c r="BZ453" s="8" t="s">
        <v>27</v>
      </c>
      <c r="CA453" s="8" t="s">
        <v>42</v>
      </c>
      <c r="CB453" s="8"/>
      <c r="CC453" s="8"/>
      <c r="CD453" s="8"/>
      <c r="CE453" s="8"/>
      <c r="CF453" s="8" t="s">
        <v>120</v>
      </c>
      <c r="CG453" s="8" t="s">
        <v>51</v>
      </c>
    </row>
    <row r="454" spans="1:85" ht="15.75" customHeight="1" x14ac:dyDescent="0.35">
      <c r="A454" s="8">
        <v>447</v>
      </c>
      <c r="B454" s="8" t="s">
        <v>646</v>
      </c>
      <c r="C454" s="9">
        <v>0</v>
      </c>
      <c r="D454" s="9">
        <v>0</v>
      </c>
      <c r="E454" s="9">
        <v>1.9999999999999999E-6</v>
      </c>
      <c r="F454" s="9">
        <v>3.0000000000000001E-6</v>
      </c>
      <c r="G454" s="9">
        <v>3.9999999999999998E-6</v>
      </c>
      <c r="H454" s="9">
        <v>0</v>
      </c>
      <c r="I454" s="9">
        <v>0</v>
      </c>
      <c r="J454" s="8"/>
      <c r="K454" s="8"/>
      <c r="L454" s="8"/>
      <c r="M454" s="8"/>
      <c r="N454" s="10">
        <v>0</v>
      </c>
      <c r="O454" s="10">
        <v>0</v>
      </c>
      <c r="P454" s="10">
        <v>150400</v>
      </c>
      <c r="Q454" s="10">
        <v>233600</v>
      </c>
      <c r="R454" s="10">
        <v>324400</v>
      </c>
      <c r="S454" s="10">
        <v>0</v>
      </c>
      <c r="T454" s="10">
        <v>0</v>
      </c>
      <c r="U454" s="8"/>
      <c r="V454" s="8"/>
      <c r="W454" s="8"/>
      <c r="X454" s="8"/>
      <c r="Y454" s="11">
        <v>0</v>
      </c>
      <c r="Z454" s="12">
        <v>-150400</v>
      </c>
      <c r="AA454" s="12">
        <v>-83200</v>
      </c>
      <c r="AB454" s="12">
        <v>-90800</v>
      </c>
      <c r="AC454" s="13">
        <v>324400</v>
      </c>
      <c r="AD454" s="11">
        <v>0</v>
      </c>
      <c r="AE454" s="11">
        <v>0</v>
      </c>
      <c r="AF454" s="8"/>
      <c r="AG454" s="8"/>
      <c r="AH454" s="8"/>
      <c r="AI454" s="8"/>
      <c r="AJ454" s="10">
        <v>0</v>
      </c>
      <c r="AK454" s="10">
        <v>0</v>
      </c>
      <c r="AL454" s="10">
        <v>909919935.5</v>
      </c>
      <c r="AM454" s="10">
        <v>1159239952.75</v>
      </c>
      <c r="AN454" s="10">
        <v>1138256797.5</v>
      </c>
      <c r="AO454" s="10">
        <v>0</v>
      </c>
      <c r="AP454" s="10">
        <v>0</v>
      </c>
      <c r="AQ454" s="8"/>
      <c r="AR454" s="8"/>
      <c r="AS454" s="8"/>
      <c r="AT454" s="8"/>
      <c r="AU454" s="14">
        <v>45443</v>
      </c>
      <c r="AV454" s="14">
        <v>45443</v>
      </c>
      <c r="AW454" s="14">
        <v>45291</v>
      </c>
      <c r="AX454" s="14">
        <v>44926</v>
      </c>
      <c r="AY454" s="14">
        <v>44561</v>
      </c>
      <c r="AZ454" s="14">
        <v>43769</v>
      </c>
      <c r="BA454" s="14">
        <v>43769</v>
      </c>
      <c r="BB454" s="8"/>
      <c r="BC454" s="8"/>
      <c r="BD454" s="8"/>
      <c r="BE454" s="8"/>
      <c r="BF454" s="8" t="s">
        <v>35</v>
      </c>
      <c r="BG454" s="8" t="s">
        <v>35</v>
      </c>
      <c r="BH454" s="8" t="s">
        <v>35</v>
      </c>
      <c r="BI454" s="8" t="s">
        <v>35</v>
      </c>
      <c r="BJ454" s="8" t="s">
        <v>35</v>
      </c>
      <c r="BK454" s="8" t="s">
        <v>35</v>
      </c>
      <c r="BL454" s="8" t="s">
        <v>35</v>
      </c>
      <c r="BM454" s="8"/>
      <c r="BN454" s="8"/>
      <c r="BO454" s="8"/>
      <c r="BP454" s="8"/>
      <c r="BQ454" s="8" t="s">
        <v>31</v>
      </c>
      <c r="BR454" s="8" t="s">
        <v>49</v>
      </c>
      <c r="BS454" s="10">
        <v>124568043479297</v>
      </c>
      <c r="BT454" s="8" t="s">
        <v>41</v>
      </c>
      <c r="BU454" s="8" t="s">
        <v>27</v>
      </c>
      <c r="BV454" s="8" t="s">
        <v>42</v>
      </c>
      <c r="BW454" s="8" t="s">
        <v>42</v>
      </c>
      <c r="BX454" s="8" t="s">
        <v>27</v>
      </c>
      <c r="BY454" s="8" t="s">
        <v>27</v>
      </c>
      <c r="BZ454" s="8" t="s">
        <v>27</v>
      </c>
      <c r="CA454" s="8" t="s">
        <v>27</v>
      </c>
      <c r="CB454" s="8"/>
      <c r="CC454" s="8"/>
      <c r="CD454" s="8"/>
      <c r="CE454" s="8"/>
      <c r="CF454" s="8" t="s">
        <v>80</v>
      </c>
      <c r="CG454" s="8" t="s">
        <v>39</v>
      </c>
    </row>
    <row r="455" spans="1:85" ht="15.75" customHeight="1" x14ac:dyDescent="0.35">
      <c r="A455" s="8">
        <v>448</v>
      </c>
      <c r="B455" s="8" t="s">
        <v>647</v>
      </c>
      <c r="C455" s="9">
        <v>0</v>
      </c>
      <c r="D455" s="9">
        <v>9.0000000000000002E-6</v>
      </c>
      <c r="E455" s="9">
        <v>5.0000000000000004E-6</v>
      </c>
      <c r="F455" s="8"/>
      <c r="G455" s="8"/>
      <c r="H455" s="8"/>
      <c r="I455" s="8"/>
      <c r="J455" s="8"/>
      <c r="K455" s="8"/>
      <c r="L455" s="8"/>
      <c r="M455" s="8"/>
      <c r="N455" s="10">
        <v>0</v>
      </c>
      <c r="O455" s="10">
        <v>865774</v>
      </c>
      <c r="P455" s="10">
        <v>473708</v>
      </c>
      <c r="Q455" s="8"/>
      <c r="R455" s="8"/>
      <c r="S455" s="8"/>
      <c r="T455" s="8"/>
      <c r="U455" s="8"/>
      <c r="V455" s="8"/>
      <c r="W455" s="8"/>
      <c r="X455" s="8"/>
      <c r="Y455" s="12">
        <v>-865774</v>
      </c>
      <c r="Z455" s="13">
        <v>392066</v>
      </c>
      <c r="AA455" s="13">
        <v>473708</v>
      </c>
      <c r="AB455" s="8"/>
      <c r="AC455" s="8"/>
      <c r="AD455" s="8"/>
      <c r="AE455" s="8"/>
      <c r="AF455" s="8"/>
      <c r="AG455" s="8"/>
      <c r="AH455" s="8"/>
      <c r="AI455" s="8"/>
      <c r="AJ455" s="10">
        <v>0</v>
      </c>
      <c r="AK455" s="10">
        <v>4922673875.3000002</v>
      </c>
      <c r="AL455" s="10">
        <v>2865933353.9499998</v>
      </c>
      <c r="AM455" s="8"/>
      <c r="AN455" s="8"/>
      <c r="AO455" s="8"/>
      <c r="AP455" s="8"/>
      <c r="AQ455" s="8"/>
      <c r="AR455" s="8"/>
      <c r="AS455" s="8"/>
      <c r="AT455" s="8"/>
      <c r="AU455" s="14">
        <v>45930</v>
      </c>
      <c r="AV455" s="14">
        <v>45657</v>
      </c>
      <c r="AW455" s="14">
        <v>45291</v>
      </c>
      <c r="AX455" s="8"/>
      <c r="AY455" s="8"/>
      <c r="AZ455" s="8"/>
      <c r="BA455" s="8"/>
      <c r="BB455" s="8"/>
      <c r="BC455" s="8"/>
      <c r="BD455" s="8"/>
      <c r="BE455" s="8"/>
      <c r="BF455" s="8" t="s">
        <v>35</v>
      </c>
      <c r="BG455" s="8" t="s">
        <v>35</v>
      </c>
      <c r="BH455" s="8" t="s">
        <v>35</v>
      </c>
      <c r="BI455" s="8"/>
      <c r="BJ455" s="8"/>
      <c r="BK455" s="8"/>
      <c r="BL455" s="8"/>
      <c r="BM455" s="8"/>
      <c r="BN455" s="8"/>
      <c r="BO455" s="8"/>
      <c r="BP455" s="8"/>
      <c r="BQ455" s="8" t="s">
        <v>31</v>
      </c>
      <c r="BR455" s="8" t="s">
        <v>36</v>
      </c>
      <c r="BS455" s="10">
        <v>19439476423986</v>
      </c>
      <c r="BT455" s="8"/>
      <c r="BU455" s="8" t="s">
        <v>42</v>
      </c>
      <c r="BV455" s="8" t="s">
        <v>42</v>
      </c>
      <c r="BW455" s="8" t="s">
        <v>42</v>
      </c>
      <c r="BX455" s="8"/>
      <c r="BY455" s="8"/>
      <c r="BZ455" s="8"/>
      <c r="CA455" s="8"/>
      <c r="CB455" s="8"/>
      <c r="CC455" s="8"/>
      <c r="CD455" s="8"/>
      <c r="CE455" s="8"/>
      <c r="CF455" s="8" t="s">
        <v>194</v>
      </c>
      <c r="CG455" s="8" t="s">
        <v>39</v>
      </c>
    </row>
    <row r="456" spans="1:85" ht="15.75" customHeight="1" x14ac:dyDescent="0.35">
      <c r="A456" s="8">
        <v>449</v>
      </c>
      <c r="B456" s="8" t="s">
        <v>648</v>
      </c>
      <c r="C456" s="9">
        <v>0</v>
      </c>
      <c r="D456" s="9">
        <v>0</v>
      </c>
      <c r="E456" s="9">
        <v>2.1999999999999999E-5</v>
      </c>
      <c r="F456" s="9">
        <v>1.0000000000000001E-5</v>
      </c>
      <c r="G456" s="9">
        <v>5.0000000000000004E-6</v>
      </c>
      <c r="H456" s="9">
        <v>1.4E-5</v>
      </c>
      <c r="I456" s="9">
        <v>3.0000000000000001E-6</v>
      </c>
      <c r="J456" s="9">
        <v>0</v>
      </c>
      <c r="K456" s="8"/>
      <c r="L456" s="8"/>
      <c r="M456" s="8"/>
      <c r="N456" s="10">
        <v>0</v>
      </c>
      <c r="O456" s="10">
        <v>0</v>
      </c>
      <c r="P456" s="10">
        <v>2047000</v>
      </c>
      <c r="Q456" s="10">
        <v>922400</v>
      </c>
      <c r="R456" s="10">
        <v>419200</v>
      </c>
      <c r="S456" s="10">
        <v>1322200</v>
      </c>
      <c r="T456" s="10">
        <v>253600</v>
      </c>
      <c r="U456" s="10">
        <v>0</v>
      </c>
      <c r="V456" s="8"/>
      <c r="W456" s="8"/>
      <c r="X456" s="8"/>
      <c r="Y456" s="11">
        <v>0</v>
      </c>
      <c r="Z456" s="12">
        <v>-2047000</v>
      </c>
      <c r="AA456" s="13">
        <v>1124600</v>
      </c>
      <c r="AB456" s="13">
        <v>503200</v>
      </c>
      <c r="AC456" s="12">
        <v>-903000</v>
      </c>
      <c r="AD456" s="13">
        <v>1068600</v>
      </c>
      <c r="AE456" s="13">
        <v>253600</v>
      </c>
      <c r="AF456" s="11">
        <v>0</v>
      </c>
      <c r="AG456" s="8"/>
      <c r="AH456" s="8"/>
      <c r="AI456" s="8"/>
      <c r="AJ456" s="10">
        <v>0</v>
      </c>
      <c r="AK456" s="10">
        <v>0</v>
      </c>
      <c r="AL456" s="10">
        <v>11616724984</v>
      </c>
      <c r="AM456" s="10">
        <v>4577409988.8000002</v>
      </c>
      <c r="AN456" s="10">
        <v>1470891697.5</v>
      </c>
      <c r="AO456" s="10">
        <v>4181457524.4000001</v>
      </c>
      <c r="AP456" s="10">
        <v>970393411.60000002</v>
      </c>
      <c r="AQ456" s="10">
        <v>0</v>
      </c>
      <c r="AR456" s="8"/>
      <c r="AS456" s="8"/>
      <c r="AT456" s="8"/>
      <c r="AU456" s="14">
        <v>45504</v>
      </c>
      <c r="AV456" s="14">
        <v>45504</v>
      </c>
      <c r="AW456" s="14">
        <v>45230</v>
      </c>
      <c r="AX456" s="14">
        <v>44926</v>
      </c>
      <c r="AY456" s="14">
        <v>44561</v>
      </c>
      <c r="AZ456" s="14">
        <v>44196</v>
      </c>
      <c r="BA456" s="14">
        <v>43830</v>
      </c>
      <c r="BB456" s="14">
        <v>43404</v>
      </c>
      <c r="BC456" s="8"/>
      <c r="BD456" s="8"/>
      <c r="BE456" s="8"/>
      <c r="BF456" s="8" t="s">
        <v>35</v>
      </c>
      <c r="BG456" s="8" t="s">
        <v>35</v>
      </c>
      <c r="BH456" s="8" t="s">
        <v>35</v>
      </c>
      <c r="BI456" s="8" t="s">
        <v>35</v>
      </c>
      <c r="BJ456" s="8" t="s">
        <v>35</v>
      </c>
      <c r="BK456" s="8" t="s">
        <v>35</v>
      </c>
      <c r="BL456" s="8" t="s">
        <v>35</v>
      </c>
      <c r="BM456" s="8" t="s">
        <v>35</v>
      </c>
      <c r="BN456" s="8"/>
      <c r="BO456" s="8"/>
      <c r="BP456" s="8"/>
      <c r="BQ456" s="8" t="s">
        <v>31</v>
      </c>
      <c r="BR456" s="8" t="s">
        <v>36</v>
      </c>
      <c r="BS456" s="10">
        <v>26033974454305.199</v>
      </c>
      <c r="BT456" s="8" t="s">
        <v>91</v>
      </c>
      <c r="BU456" s="8" t="s">
        <v>27</v>
      </c>
      <c r="BV456" s="8" t="s">
        <v>27</v>
      </c>
      <c r="BW456" s="8" t="s">
        <v>42</v>
      </c>
      <c r="BX456" s="8" t="s">
        <v>27</v>
      </c>
      <c r="BY456" s="8" t="s">
        <v>42</v>
      </c>
      <c r="BZ456" s="8" t="s">
        <v>42</v>
      </c>
      <c r="CA456" s="8" t="s">
        <v>42</v>
      </c>
      <c r="CB456" s="8" t="s">
        <v>27</v>
      </c>
      <c r="CC456" s="8"/>
      <c r="CD456" s="8"/>
      <c r="CE456" s="8"/>
      <c r="CF456" s="8" t="s">
        <v>98</v>
      </c>
      <c r="CG456" s="8" t="s">
        <v>99</v>
      </c>
    </row>
    <row r="457" spans="1:85" ht="15.75" customHeight="1" x14ac:dyDescent="0.35">
      <c r="A457" s="8">
        <v>450</v>
      </c>
      <c r="B457" s="8" t="s">
        <v>649</v>
      </c>
      <c r="C457" s="9">
        <v>0</v>
      </c>
      <c r="D457" s="9">
        <v>5.3000000000000001E-5</v>
      </c>
      <c r="E457" s="9">
        <v>8.7000000000000001E-5</v>
      </c>
      <c r="F457" s="8"/>
      <c r="G457" s="8"/>
      <c r="H457" s="8"/>
      <c r="I457" s="8"/>
      <c r="J457" s="8"/>
      <c r="K457" s="8"/>
      <c r="L457" s="9">
        <v>5.7600000000000001E-4</v>
      </c>
      <c r="M457" s="9">
        <v>5.7600000000000001E-4</v>
      </c>
      <c r="N457" s="10">
        <v>0</v>
      </c>
      <c r="O457" s="10">
        <v>4898400</v>
      </c>
      <c r="P457" s="10">
        <v>8012800</v>
      </c>
      <c r="Q457" s="8"/>
      <c r="R457" s="8"/>
      <c r="S457" s="8"/>
      <c r="T457" s="8"/>
      <c r="U457" s="8"/>
      <c r="V457" s="8"/>
      <c r="W457" s="10">
        <v>53249132</v>
      </c>
      <c r="X457" s="10">
        <v>53249132</v>
      </c>
      <c r="Y457" s="12">
        <v>-4898400</v>
      </c>
      <c r="Z457" s="12">
        <v>-3114400</v>
      </c>
      <c r="AA457" s="13">
        <v>8012800</v>
      </c>
      <c r="AB457" s="8"/>
      <c r="AC457" s="8"/>
      <c r="AD457" s="8"/>
      <c r="AE457" s="8"/>
      <c r="AF457" s="8"/>
      <c r="AG457" s="8"/>
      <c r="AH457" s="11">
        <v>0</v>
      </c>
      <c r="AI457" s="12">
        <v>-155693020</v>
      </c>
      <c r="AJ457" s="10">
        <v>0</v>
      </c>
      <c r="AK457" s="10">
        <v>27851640363</v>
      </c>
      <c r="AL457" s="10">
        <v>48477439891.599998</v>
      </c>
      <c r="AM457" s="8"/>
      <c r="AN457" s="8"/>
      <c r="AO457" s="8"/>
      <c r="AP457" s="8"/>
      <c r="AQ457" s="8"/>
      <c r="AR457" s="8"/>
      <c r="AS457" s="10">
        <v>123183298028.55</v>
      </c>
      <c r="AT457" s="10">
        <v>123183298028.55</v>
      </c>
      <c r="AU457" s="14">
        <v>45838</v>
      </c>
      <c r="AV457" s="14">
        <v>45657</v>
      </c>
      <c r="AW457" s="14">
        <v>45291</v>
      </c>
      <c r="AX457" s="8"/>
      <c r="AY457" s="8"/>
      <c r="AZ457" s="8"/>
      <c r="BA457" s="8"/>
      <c r="BB457" s="8"/>
      <c r="BC457" s="8"/>
      <c r="BD457" s="14">
        <v>42369</v>
      </c>
      <c r="BE457" s="14">
        <v>42369</v>
      </c>
      <c r="BF457" s="8" t="s">
        <v>35</v>
      </c>
      <c r="BG457" s="8" t="s">
        <v>35</v>
      </c>
      <c r="BH457" s="8" t="s">
        <v>35</v>
      </c>
      <c r="BI457" s="8"/>
      <c r="BJ457" s="8"/>
      <c r="BK457" s="8"/>
      <c r="BL457" s="8"/>
      <c r="BM457" s="8"/>
      <c r="BN457" s="8"/>
      <c r="BO457" s="8" t="s">
        <v>35</v>
      </c>
      <c r="BP457" s="8" t="s">
        <v>35</v>
      </c>
      <c r="BQ457" s="8" t="s">
        <v>31</v>
      </c>
      <c r="BR457" s="8" t="s">
        <v>49</v>
      </c>
      <c r="BS457" s="10">
        <v>2641795932487610</v>
      </c>
      <c r="BT457" s="8" t="s">
        <v>57</v>
      </c>
      <c r="BU457" s="8" t="s">
        <v>27</v>
      </c>
      <c r="BV457" s="8" t="s">
        <v>27</v>
      </c>
      <c r="BW457" s="8" t="s">
        <v>27</v>
      </c>
      <c r="BX457" s="8"/>
      <c r="BY457" s="8"/>
      <c r="BZ457" s="8"/>
      <c r="CA457" s="8"/>
      <c r="CB457" s="8"/>
      <c r="CC457" s="8"/>
      <c r="CD457" s="8" t="s">
        <v>42</v>
      </c>
      <c r="CE457" s="8" t="s">
        <v>27</v>
      </c>
      <c r="CF457" s="8" t="s">
        <v>50</v>
      </c>
      <c r="CG457" s="8" t="s">
        <v>51</v>
      </c>
    </row>
    <row r="458" spans="1:85" ht="15.75" customHeight="1" x14ac:dyDescent="0.35">
      <c r="A458" s="8">
        <v>451</v>
      </c>
      <c r="B458" s="8" t="s">
        <v>650</v>
      </c>
      <c r="C458" s="9">
        <v>0</v>
      </c>
      <c r="D458" s="9">
        <v>1.4580000000000001E-3</v>
      </c>
      <c r="E458" s="9">
        <v>1.018E-3</v>
      </c>
      <c r="F458" s="8"/>
      <c r="G458" s="8"/>
      <c r="H458" s="8"/>
      <c r="I458" s="8"/>
      <c r="J458" s="8"/>
      <c r="K458" s="8"/>
      <c r="L458" s="8"/>
      <c r="M458" s="8"/>
      <c r="N458" s="10">
        <v>0</v>
      </c>
      <c r="O458" s="10">
        <v>134679600</v>
      </c>
      <c r="P458" s="10">
        <v>94065400</v>
      </c>
      <c r="Q458" s="8"/>
      <c r="R458" s="8"/>
      <c r="S458" s="8"/>
      <c r="T458" s="8"/>
      <c r="U458" s="8"/>
      <c r="V458" s="8"/>
      <c r="W458" s="8"/>
      <c r="X458" s="8"/>
      <c r="Y458" s="12">
        <v>-134679600</v>
      </c>
      <c r="Z458" s="13">
        <v>40614200</v>
      </c>
      <c r="AA458" s="13">
        <v>94065400</v>
      </c>
      <c r="AB458" s="8"/>
      <c r="AC458" s="8"/>
      <c r="AD458" s="8"/>
      <c r="AE458" s="8"/>
      <c r="AF458" s="8"/>
      <c r="AG458" s="8"/>
      <c r="AH458" s="8"/>
      <c r="AI458" s="8"/>
      <c r="AJ458" s="10">
        <v>0</v>
      </c>
      <c r="AK458" s="10">
        <v>765770002832.69995</v>
      </c>
      <c r="AL458" s="10">
        <v>569095669534.55005</v>
      </c>
      <c r="AM458" s="8"/>
      <c r="AN458" s="8"/>
      <c r="AO458" s="8"/>
      <c r="AP458" s="8"/>
      <c r="AQ458" s="8"/>
      <c r="AR458" s="8"/>
      <c r="AS458" s="8"/>
      <c r="AT458" s="8"/>
      <c r="AU458" s="14">
        <v>45838</v>
      </c>
      <c r="AV458" s="14">
        <v>45657</v>
      </c>
      <c r="AW458" s="14">
        <v>45291</v>
      </c>
      <c r="AX458" s="8"/>
      <c r="AY458" s="8"/>
      <c r="AZ458" s="8"/>
      <c r="BA458" s="8"/>
      <c r="BB458" s="8"/>
      <c r="BC458" s="8"/>
      <c r="BD458" s="8"/>
      <c r="BE458" s="8"/>
      <c r="BF458" s="8" t="s">
        <v>35</v>
      </c>
      <c r="BG458" s="8" t="s">
        <v>35</v>
      </c>
      <c r="BH458" s="8" t="s">
        <v>35</v>
      </c>
      <c r="BI458" s="8"/>
      <c r="BJ458" s="8"/>
      <c r="BK458" s="8"/>
      <c r="BL458" s="8"/>
      <c r="BM458" s="8"/>
      <c r="BN458" s="8"/>
      <c r="BO458" s="8"/>
      <c r="BP458" s="8"/>
      <c r="BQ458" s="8" t="s">
        <v>31</v>
      </c>
      <c r="BR458" s="8" t="s">
        <v>36</v>
      </c>
      <c r="BS458" s="10">
        <v>10963190357953.199</v>
      </c>
      <c r="BT458" s="8" t="s">
        <v>41</v>
      </c>
      <c r="BU458" s="8" t="s">
        <v>43</v>
      </c>
      <c r="BV458" s="8" t="s">
        <v>42</v>
      </c>
      <c r="BW458" s="8" t="s">
        <v>43</v>
      </c>
      <c r="BX458" s="8"/>
      <c r="BY458" s="8"/>
      <c r="BZ458" s="8"/>
      <c r="CA458" s="8"/>
      <c r="CB458" s="8"/>
      <c r="CC458" s="8"/>
      <c r="CD458" s="8"/>
      <c r="CE458" s="8"/>
      <c r="CF458" s="8" t="s">
        <v>65</v>
      </c>
      <c r="CG458" s="8" t="s">
        <v>65</v>
      </c>
    </row>
    <row r="459" spans="1:85" ht="15.75" customHeight="1" x14ac:dyDescent="0.35">
      <c r="A459" s="8">
        <v>452</v>
      </c>
      <c r="B459" s="8" t="s">
        <v>651</v>
      </c>
      <c r="C459" s="9">
        <v>0</v>
      </c>
      <c r="D459" s="9">
        <v>0</v>
      </c>
      <c r="E459" s="9">
        <v>7.8999999999999996E-5</v>
      </c>
      <c r="F459" s="9">
        <v>7.2000000000000002E-5</v>
      </c>
      <c r="G459" s="8"/>
      <c r="H459" s="8"/>
      <c r="I459" s="8"/>
      <c r="J459" s="8"/>
      <c r="K459" s="8"/>
      <c r="L459" s="8"/>
      <c r="M459" s="9">
        <v>0</v>
      </c>
      <c r="N459" s="10">
        <v>0</v>
      </c>
      <c r="O459" s="10">
        <v>0</v>
      </c>
      <c r="P459" s="10">
        <v>7340300</v>
      </c>
      <c r="Q459" s="10">
        <v>6624200</v>
      </c>
      <c r="R459" s="8"/>
      <c r="S459" s="8"/>
      <c r="T459" s="8"/>
      <c r="U459" s="8"/>
      <c r="V459" s="8"/>
      <c r="W459" s="8"/>
      <c r="X459" s="10">
        <v>0</v>
      </c>
      <c r="Y459" s="11">
        <v>0</v>
      </c>
      <c r="Z459" s="12">
        <v>-7340300</v>
      </c>
      <c r="AA459" s="13">
        <v>716100</v>
      </c>
      <c r="AB459" s="13">
        <v>6624200</v>
      </c>
      <c r="AC459" s="8"/>
      <c r="AD459" s="8"/>
      <c r="AE459" s="8"/>
      <c r="AF459" s="8"/>
      <c r="AG459" s="8"/>
      <c r="AH459" s="8"/>
      <c r="AI459" s="11">
        <v>0</v>
      </c>
      <c r="AJ459" s="10">
        <v>0</v>
      </c>
      <c r="AK459" s="10">
        <v>0</v>
      </c>
      <c r="AL459" s="10">
        <v>44408814960.75</v>
      </c>
      <c r="AM459" s="10">
        <v>32872592493.950001</v>
      </c>
      <c r="AN459" s="8"/>
      <c r="AO459" s="8"/>
      <c r="AP459" s="8"/>
      <c r="AQ459" s="8"/>
      <c r="AR459" s="8"/>
      <c r="AS459" s="8"/>
      <c r="AT459" s="10">
        <v>0</v>
      </c>
      <c r="AU459" s="14">
        <v>45504</v>
      </c>
      <c r="AV459" s="14">
        <v>45504</v>
      </c>
      <c r="AW459" s="14">
        <v>45291</v>
      </c>
      <c r="AX459" s="14">
        <v>44926</v>
      </c>
      <c r="AY459" s="8"/>
      <c r="AZ459" s="8"/>
      <c r="BA459" s="8"/>
      <c r="BB459" s="8"/>
      <c r="BC459" s="8"/>
      <c r="BD459" s="8"/>
      <c r="BE459" s="14">
        <v>41943</v>
      </c>
      <c r="BF459" s="8" t="s">
        <v>35</v>
      </c>
      <c r="BG459" s="8" t="s">
        <v>35</v>
      </c>
      <c r="BH459" s="8" t="s">
        <v>35</v>
      </c>
      <c r="BI459" s="8" t="s">
        <v>35</v>
      </c>
      <c r="BJ459" s="8"/>
      <c r="BK459" s="8"/>
      <c r="BL459" s="8"/>
      <c r="BM459" s="8"/>
      <c r="BN459" s="8"/>
      <c r="BO459" s="8"/>
      <c r="BP459" s="8" t="s">
        <v>35</v>
      </c>
      <c r="BQ459" s="8" t="s">
        <v>31</v>
      </c>
      <c r="BR459" s="8" t="s">
        <v>36</v>
      </c>
      <c r="BS459" s="10">
        <v>1038118754120890</v>
      </c>
      <c r="BT459" s="8" t="s">
        <v>57</v>
      </c>
      <c r="BU459" s="8" t="s">
        <v>27</v>
      </c>
      <c r="BV459" s="8" t="s">
        <v>27</v>
      </c>
      <c r="BW459" s="8" t="s">
        <v>27</v>
      </c>
      <c r="BX459" s="8" t="s">
        <v>27</v>
      </c>
      <c r="BY459" s="8"/>
      <c r="BZ459" s="8"/>
      <c r="CA459" s="8"/>
      <c r="CB459" s="8"/>
      <c r="CC459" s="8"/>
      <c r="CD459" s="8"/>
      <c r="CE459" s="8" t="s">
        <v>42</v>
      </c>
      <c r="CF459" s="8" t="s">
        <v>652</v>
      </c>
      <c r="CG459" s="8" t="s">
        <v>39</v>
      </c>
    </row>
    <row r="460" spans="1:85" ht="15.75" customHeight="1" x14ac:dyDescent="0.35">
      <c r="A460" s="8">
        <v>453</v>
      </c>
      <c r="B460" s="8" t="s">
        <v>653</v>
      </c>
      <c r="C460" s="9">
        <v>0</v>
      </c>
      <c r="D460" s="9">
        <v>8.0000000000000007E-5</v>
      </c>
      <c r="E460" s="9">
        <v>1.157E-3</v>
      </c>
      <c r="F460" s="9">
        <v>1.7899999999999999E-3</v>
      </c>
      <c r="G460" s="9">
        <v>4.0369999999999998E-3</v>
      </c>
      <c r="H460" s="9">
        <v>2.264E-3</v>
      </c>
      <c r="I460" s="9">
        <v>1.057E-3</v>
      </c>
      <c r="J460" s="9">
        <v>5.0000000000000002E-5</v>
      </c>
      <c r="K460" s="9">
        <v>1.2999999999999999E-5</v>
      </c>
      <c r="L460" s="8"/>
      <c r="M460" s="9">
        <v>2.5000000000000001E-5</v>
      </c>
      <c r="N460" s="10">
        <v>0</v>
      </c>
      <c r="O460" s="10">
        <v>7354392</v>
      </c>
      <c r="P460" s="10">
        <v>106908892</v>
      </c>
      <c r="Q460" s="10">
        <v>165421192</v>
      </c>
      <c r="R460" s="10">
        <v>372997400</v>
      </c>
      <c r="S460" s="10">
        <v>209160400</v>
      </c>
      <c r="T460" s="10">
        <v>97692600</v>
      </c>
      <c r="U460" s="10">
        <v>4647200</v>
      </c>
      <c r="V460" s="10">
        <v>1210000</v>
      </c>
      <c r="W460" s="8"/>
      <c r="X460" s="10">
        <v>2278000</v>
      </c>
      <c r="Y460" s="12">
        <v>-7354392</v>
      </c>
      <c r="Z460" s="12">
        <v>-99554500</v>
      </c>
      <c r="AA460" s="12">
        <v>-58512300</v>
      </c>
      <c r="AB460" s="12">
        <v>-207576208</v>
      </c>
      <c r="AC460" s="13">
        <v>163837000</v>
      </c>
      <c r="AD460" s="13">
        <v>111467800</v>
      </c>
      <c r="AE460" s="13">
        <v>93045400</v>
      </c>
      <c r="AF460" s="13">
        <v>3437200</v>
      </c>
      <c r="AG460" s="13">
        <v>1210000</v>
      </c>
      <c r="AH460" s="8"/>
      <c r="AI460" s="11">
        <v>0</v>
      </c>
      <c r="AJ460" s="10">
        <v>0</v>
      </c>
      <c r="AK460" s="10">
        <v>41816078958</v>
      </c>
      <c r="AL460" s="10">
        <v>646798796073.05005</v>
      </c>
      <c r="AM460" s="10">
        <v>820902665992.75</v>
      </c>
      <c r="AN460" s="10">
        <v>1308775709092.5</v>
      </c>
      <c r="AO460" s="10">
        <v>661469764222.80005</v>
      </c>
      <c r="AP460" s="10">
        <v>373818067389.59998</v>
      </c>
      <c r="AQ460" s="10">
        <v>16924624318.75</v>
      </c>
      <c r="AR460" s="10">
        <v>4840000003.3500004</v>
      </c>
      <c r="AS460" s="8"/>
      <c r="AT460" s="10">
        <v>6264499968.5500002</v>
      </c>
      <c r="AU460" s="14">
        <v>45838</v>
      </c>
      <c r="AV460" s="14">
        <v>45657</v>
      </c>
      <c r="AW460" s="14">
        <v>45291</v>
      </c>
      <c r="AX460" s="14">
        <v>44926</v>
      </c>
      <c r="AY460" s="14">
        <v>44561</v>
      </c>
      <c r="AZ460" s="14">
        <v>44196</v>
      </c>
      <c r="BA460" s="14">
        <v>43830</v>
      </c>
      <c r="BB460" s="14">
        <v>43465</v>
      </c>
      <c r="BC460" s="14">
        <v>43100</v>
      </c>
      <c r="BD460" s="8"/>
      <c r="BE460" s="14">
        <v>42035</v>
      </c>
      <c r="BF460" s="8" t="s">
        <v>35</v>
      </c>
      <c r="BG460" s="8" t="s">
        <v>35</v>
      </c>
      <c r="BH460" s="8" t="s">
        <v>35</v>
      </c>
      <c r="BI460" s="8" t="s">
        <v>35</v>
      </c>
      <c r="BJ460" s="8" t="s">
        <v>35</v>
      </c>
      <c r="BK460" s="8" t="s">
        <v>35</v>
      </c>
      <c r="BL460" s="8" t="s">
        <v>35</v>
      </c>
      <c r="BM460" s="8" t="s">
        <v>35</v>
      </c>
      <c r="BN460" s="8" t="s">
        <v>35</v>
      </c>
      <c r="BO460" s="8"/>
      <c r="BP460" s="8" t="s">
        <v>35</v>
      </c>
      <c r="BQ460" s="8" t="s">
        <v>31</v>
      </c>
      <c r="BR460" s="8" t="s">
        <v>36</v>
      </c>
      <c r="BS460" s="10">
        <v>2126138395260510</v>
      </c>
      <c r="BT460" s="8" t="s">
        <v>61</v>
      </c>
      <c r="BU460" s="8" t="s">
        <v>27</v>
      </c>
      <c r="BV460" s="8" t="s">
        <v>42</v>
      </c>
      <c r="BW460" s="8" t="s">
        <v>27</v>
      </c>
      <c r="BX460" s="8" t="s">
        <v>27</v>
      </c>
      <c r="BY460" s="8" t="s">
        <v>42</v>
      </c>
      <c r="BZ460" s="8" t="s">
        <v>27</v>
      </c>
      <c r="CA460" s="8" t="s">
        <v>27</v>
      </c>
      <c r="CB460" s="8" t="s">
        <v>27</v>
      </c>
      <c r="CC460" s="8" t="s">
        <v>27</v>
      </c>
      <c r="CD460" s="8"/>
      <c r="CE460" s="8" t="s">
        <v>42</v>
      </c>
      <c r="CF460" s="8" t="s">
        <v>80</v>
      </c>
      <c r="CG460" s="8" t="s">
        <v>39</v>
      </c>
    </row>
    <row r="461" spans="1:85" ht="15.75" customHeight="1" x14ac:dyDescent="0.35">
      <c r="A461" s="8">
        <v>454</v>
      </c>
      <c r="B461" s="8" t="s">
        <v>654</v>
      </c>
      <c r="C461" s="9">
        <v>0</v>
      </c>
      <c r="D461" s="9">
        <v>0</v>
      </c>
      <c r="E461" s="9">
        <v>6.0000000000000002E-6</v>
      </c>
      <c r="F461" s="9">
        <v>5.0000000000000004E-6</v>
      </c>
      <c r="G461" s="9">
        <v>2.9E-5</v>
      </c>
      <c r="H461" s="8"/>
      <c r="I461" s="8"/>
      <c r="J461" s="8"/>
      <c r="K461" s="8"/>
      <c r="L461" s="8"/>
      <c r="M461" s="8"/>
      <c r="N461" s="10">
        <v>0</v>
      </c>
      <c r="O461" s="10">
        <v>0</v>
      </c>
      <c r="P461" s="10">
        <v>521200</v>
      </c>
      <c r="Q461" s="10">
        <v>481600</v>
      </c>
      <c r="R461" s="10">
        <v>2669000</v>
      </c>
      <c r="S461" s="8"/>
      <c r="T461" s="8"/>
      <c r="U461" s="8"/>
      <c r="V461" s="8"/>
      <c r="W461" s="8"/>
      <c r="X461" s="8"/>
      <c r="Y461" s="11">
        <v>0</v>
      </c>
      <c r="Z461" s="12">
        <v>-521200</v>
      </c>
      <c r="AA461" s="13">
        <v>39600</v>
      </c>
      <c r="AB461" s="12">
        <v>-2187400</v>
      </c>
      <c r="AC461" s="13">
        <v>2669000</v>
      </c>
      <c r="AD461" s="8"/>
      <c r="AE461" s="8"/>
      <c r="AF461" s="8"/>
      <c r="AG461" s="8"/>
      <c r="AH461" s="8"/>
      <c r="AI461" s="8"/>
      <c r="AJ461" s="10">
        <v>0</v>
      </c>
      <c r="AK461" s="10">
        <v>0</v>
      </c>
      <c r="AL461" s="10">
        <v>3153259937.8000002</v>
      </c>
      <c r="AM461" s="10">
        <v>2389940065.6999998</v>
      </c>
      <c r="AN461" s="10">
        <v>9365004667.5</v>
      </c>
      <c r="AO461" s="8"/>
      <c r="AP461" s="8"/>
      <c r="AQ461" s="8"/>
      <c r="AR461" s="8"/>
      <c r="AS461" s="8"/>
      <c r="AT461" s="8"/>
      <c r="AU461" s="14">
        <v>45473</v>
      </c>
      <c r="AV461" s="14">
        <v>45473</v>
      </c>
      <c r="AW461" s="14">
        <v>45291</v>
      </c>
      <c r="AX461" s="14">
        <v>44926</v>
      </c>
      <c r="AY461" s="14">
        <v>44561</v>
      </c>
      <c r="AZ461" s="8"/>
      <c r="BA461" s="8"/>
      <c r="BB461" s="8"/>
      <c r="BC461" s="8"/>
      <c r="BD461" s="8"/>
      <c r="BE461" s="8"/>
      <c r="BF461" s="8" t="s">
        <v>35</v>
      </c>
      <c r="BG461" s="8" t="s">
        <v>35</v>
      </c>
      <c r="BH461" s="8" t="s">
        <v>35</v>
      </c>
      <c r="BI461" s="8" t="s">
        <v>35</v>
      </c>
      <c r="BJ461" s="8" t="s">
        <v>35</v>
      </c>
      <c r="BK461" s="8"/>
      <c r="BL461" s="8"/>
      <c r="BM461" s="8"/>
      <c r="BN461" s="8"/>
      <c r="BO461" s="8"/>
      <c r="BP461" s="8"/>
      <c r="BQ461" s="8" t="s">
        <v>31</v>
      </c>
      <c r="BR461" s="8" t="s">
        <v>36</v>
      </c>
      <c r="BS461" s="10">
        <v>120487630451918</v>
      </c>
      <c r="BT461" s="8" t="s">
        <v>61</v>
      </c>
      <c r="BU461" s="8" t="s">
        <v>27</v>
      </c>
      <c r="BV461" s="8" t="s">
        <v>27</v>
      </c>
      <c r="BW461" s="8" t="s">
        <v>27</v>
      </c>
      <c r="BX461" s="8" t="s">
        <v>27</v>
      </c>
      <c r="BY461" s="8" t="s">
        <v>42</v>
      </c>
      <c r="BZ461" s="8"/>
      <c r="CA461" s="8"/>
      <c r="CB461" s="8"/>
      <c r="CC461" s="8"/>
      <c r="CD461" s="8"/>
      <c r="CE461" s="8"/>
      <c r="CF461" s="8" t="s">
        <v>70</v>
      </c>
      <c r="CG461" s="8" t="s">
        <v>71</v>
      </c>
    </row>
    <row r="462" spans="1:85" ht="15.75" customHeight="1" x14ac:dyDescent="0.35">
      <c r="A462" s="8">
        <v>455</v>
      </c>
      <c r="B462" s="8" t="s">
        <v>655</v>
      </c>
      <c r="C462" s="9">
        <v>0</v>
      </c>
      <c r="D462" s="9">
        <v>0</v>
      </c>
      <c r="E462" s="9">
        <v>1.9999999999999999E-6</v>
      </c>
      <c r="F462" s="9">
        <v>6.0000000000000002E-6</v>
      </c>
      <c r="G462" s="8"/>
      <c r="H462" s="8"/>
      <c r="I462" s="8"/>
      <c r="J462" s="8"/>
      <c r="K462" s="8"/>
      <c r="L462" s="8"/>
      <c r="M462" s="8"/>
      <c r="N462" s="10">
        <v>0</v>
      </c>
      <c r="O462" s="10">
        <v>0</v>
      </c>
      <c r="P462" s="10">
        <v>209475</v>
      </c>
      <c r="Q462" s="10">
        <v>552634</v>
      </c>
      <c r="R462" s="8"/>
      <c r="S462" s="8"/>
      <c r="T462" s="8"/>
      <c r="U462" s="8"/>
      <c r="V462" s="8"/>
      <c r="W462" s="8"/>
      <c r="X462" s="8"/>
      <c r="Y462" s="11">
        <v>0</v>
      </c>
      <c r="Z462" s="12">
        <v>-209475</v>
      </c>
      <c r="AA462" s="12">
        <v>-343159</v>
      </c>
      <c r="AB462" s="13">
        <v>552634</v>
      </c>
      <c r="AC462" s="8"/>
      <c r="AD462" s="8"/>
      <c r="AE462" s="8"/>
      <c r="AF462" s="8"/>
      <c r="AG462" s="8"/>
      <c r="AH462" s="8"/>
      <c r="AI462" s="8"/>
      <c r="AJ462" s="10">
        <v>0</v>
      </c>
      <c r="AK462" s="10">
        <v>0</v>
      </c>
      <c r="AL462" s="10">
        <v>1225428682.0999999</v>
      </c>
      <c r="AM462" s="10">
        <v>2908236488.3000002</v>
      </c>
      <c r="AN462" s="8"/>
      <c r="AO462" s="8"/>
      <c r="AP462" s="8"/>
      <c r="AQ462" s="8"/>
      <c r="AR462" s="8"/>
      <c r="AS462" s="8"/>
      <c r="AT462" s="8"/>
      <c r="AU462" s="14">
        <v>45626</v>
      </c>
      <c r="AV462" s="14">
        <v>45626</v>
      </c>
      <c r="AW462" s="14">
        <v>45260</v>
      </c>
      <c r="AX462" s="14">
        <v>44895</v>
      </c>
      <c r="AY462" s="8"/>
      <c r="AZ462" s="8"/>
      <c r="BA462" s="8"/>
      <c r="BB462" s="8"/>
      <c r="BC462" s="8"/>
      <c r="BD462" s="8"/>
      <c r="BE462" s="8"/>
      <c r="BF462" s="8" t="s">
        <v>35</v>
      </c>
      <c r="BG462" s="8" t="s">
        <v>35</v>
      </c>
      <c r="BH462" s="8" t="s">
        <v>35</v>
      </c>
      <c r="BI462" s="8" t="s">
        <v>35</v>
      </c>
      <c r="BJ462" s="8"/>
      <c r="BK462" s="8"/>
      <c r="BL462" s="8"/>
      <c r="BM462" s="8"/>
      <c r="BN462" s="8"/>
      <c r="BO462" s="8"/>
      <c r="BP462" s="8"/>
      <c r="BQ462" s="8" t="s">
        <v>31</v>
      </c>
      <c r="BR462" s="8" t="s">
        <v>36</v>
      </c>
      <c r="BS462" s="10">
        <v>1520951687886</v>
      </c>
      <c r="BT462" s="8" t="s">
        <v>37</v>
      </c>
      <c r="BU462" s="8" t="s">
        <v>27</v>
      </c>
      <c r="BV462" s="8" t="s">
        <v>27</v>
      </c>
      <c r="BW462" s="8" t="s">
        <v>42</v>
      </c>
      <c r="BX462" s="8" t="s">
        <v>42</v>
      </c>
      <c r="BY462" s="8"/>
      <c r="BZ462" s="8"/>
      <c r="CA462" s="8"/>
      <c r="CB462" s="8"/>
      <c r="CC462" s="8"/>
      <c r="CD462" s="8"/>
      <c r="CE462" s="8"/>
      <c r="CF462" s="8" t="s">
        <v>180</v>
      </c>
      <c r="CG462" s="8" t="s">
        <v>181</v>
      </c>
    </row>
    <row r="463" spans="1:85" ht="15.75" customHeight="1" x14ac:dyDescent="0.35">
      <c r="A463" s="8">
        <v>456</v>
      </c>
      <c r="B463" s="8" t="s">
        <v>656</v>
      </c>
      <c r="C463" s="9">
        <v>0</v>
      </c>
      <c r="D463" s="9">
        <v>0</v>
      </c>
      <c r="E463" s="9">
        <v>1.552E-3</v>
      </c>
      <c r="F463" s="9">
        <v>6.2290000000000002E-3</v>
      </c>
      <c r="G463" s="9">
        <v>7.9699999999999997E-3</v>
      </c>
      <c r="H463" s="9">
        <v>3.274E-3</v>
      </c>
      <c r="I463" s="9">
        <v>1.9729999999999999E-3</v>
      </c>
      <c r="J463" s="9">
        <v>1.5219999999999999E-3</v>
      </c>
      <c r="K463" s="9">
        <v>4.55E-4</v>
      </c>
      <c r="L463" s="9">
        <v>6.1899999999999998E-4</v>
      </c>
      <c r="M463" s="8"/>
      <c r="N463" s="10">
        <v>0</v>
      </c>
      <c r="O463" s="10">
        <v>0</v>
      </c>
      <c r="P463" s="10">
        <v>143445840</v>
      </c>
      <c r="Q463" s="10">
        <v>575590540</v>
      </c>
      <c r="R463" s="10">
        <v>736391600</v>
      </c>
      <c r="S463" s="10">
        <v>302558200</v>
      </c>
      <c r="T463" s="10">
        <v>182280400</v>
      </c>
      <c r="U463" s="10">
        <v>140621000</v>
      </c>
      <c r="V463" s="10">
        <v>42021200</v>
      </c>
      <c r="W463" s="10">
        <v>57226400</v>
      </c>
      <c r="X463" s="8"/>
      <c r="Y463" s="11">
        <v>0</v>
      </c>
      <c r="Z463" s="12">
        <v>-143445840</v>
      </c>
      <c r="AA463" s="12">
        <v>-432144700</v>
      </c>
      <c r="AB463" s="12">
        <v>-160801060</v>
      </c>
      <c r="AC463" s="13">
        <v>433833400</v>
      </c>
      <c r="AD463" s="13">
        <v>120277800</v>
      </c>
      <c r="AE463" s="13">
        <v>41659400</v>
      </c>
      <c r="AF463" s="13">
        <v>98599800</v>
      </c>
      <c r="AG463" s="12">
        <v>-15205200</v>
      </c>
      <c r="AH463" s="13">
        <v>57226400</v>
      </c>
      <c r="AI463" s="8"/>
      <c r="AJ463" s="10">
        <v>0</v>
      </c>
      <c r="AK463" s="10">
        <v>0</v>
      </c>
      <c r="AL463" s="10">
        <v>867847331340.90002</v>
      </c>
      <c r="AM463" s="10">
        <v>2856368057002.8999</v>
      </c>
      <c r="AN463" s="10">
        <v>2583855647452.5</v>
      </c>
      <c r="AO463" s="10">
        <v>956840306479.19995</v>
      </c>
      <c r="AP463" s="10">
        <v>697490975178.40002</v>
      </c>
      <c r="AQ463" s="10">
        <v>512127214231.25</v>
      </c>
      <c r="AR463" s="10">
        <v>168084799980.60001</v>
      </c>
      <c r="AS463" s="10">
        <v>165598895096.70001</v>
      </c>
      <c r="AT463" s="8"/>
      <c r="AU463" s="14">
        <v>45657</v>
      </c>
      <c r="AV463" s="14">
        <v>45657</v>
      </c>
      <c r="AW463" s="14">
        <v>45291</v>
      </c>
      <c r="AX463" s="14">
        <v>44926</v>
      </c>
      <c r="AY463" s="14">
        <v>44561</v>
      </c>
      <c r="AZ463" s="14">
        <v>44196</v>
      </c>
      <c r="BA463" s="14">
        <v>43830</v>
      </c>
      <c r="BB463" s="14">
        <v>43465</v>
      </c>
      <c r="BC463" s="14">
        <v>43100</v>
      </c>
      <c r="BD463" s="14">
        <v>42735</v>
      </c>
      <c r="BE463" s="8"/>
      <c r="BF463" s="8" t="s">
        <v>35</v>
      </c>
      <c r="BG463" s="8" t="s">
        <v>35</v>
      </c>
      <c r="BH463" s="8" t="s">
        <v>35</v>
      </c>
      <c r="BI463" s="8" t="s">
        <v>35</v>
      </c>
      <c r="BJ463" s="8" t="s">
        <v>35</v>
      </c>
      <c r="BK463" s="8" t="s">
        <v>35</v>
      </c>
      <c r="BL463" s="8" t="s">
        <v>35</v>
      </c>
      <c r="BM463" s="8" t="s">
        <v>35</v>
      </c>
      <c r="BN463" s="8" t="s">
        <v>35</v>
      </c>
      <c r="BO463" s="8" t="s">
        <v>35</v>
      </c>
      <c r="BP463" s="8"/>
      <c r="BQ463" s="8" t="s">
        <v>31</v>
      </c>
      <c r="BR463" s="8" t="s">
        <v>36</v>
      </c>
      <c r="BS463" s="10">
        <v>82412759996325.594</v>
      </c>
      <c r="BT463" s="8" t="s">
        <v>61</v>
      </c>
      <c r="BU463" s="8" t="s">
        <v>27</v>
      </c>
      <c r="BV463" s="8" t="s">
        <v>27</v>
      </c>
      <c r="BW463" s="8" t="s">
        <v>43</v>
      </c>
      <c r="BX463" s="8" t="s">
        <v>42</v>
      </c>
      <c r="BY463" s="8" t="s">
        <v>42</v>
      </c>
      <c r="BZ463" s="8" t="s">
        <v>43</v>
      </c>
      <c r="CA463" s="8" t="s">
        <v>42</v>
      </c>
      <c r="CB463" s="8" t="s">
        <v>42</v>
      </c>
      <c r="CC463" s="8" t="s">
        <v>42</v>
      </c>
      <c r="CD463" s="8" t="s">
        <v>43</v>
      </c>
      <c r="CE463" s="8"/>
      <c r="CF463" s="8" t="s">
        <v>65</v>
      </c>
      <c r="CG463" s="8" t="s">
        <v>65</v>
      </c>
    </row>
    <row r="464" spans="1:85" ht="15.75" customHeight="1" x14ac:dyDescent="0.35">
      <c r="A464" s="8">
        <v>457</v>
      </c>
      <c r="B464" s="8" t="s">
        <v>657</v>
      </c>
      <c r="C464" s="9">
        <v>0</v>
      </c>
      <c r="D464" s="9">
        <v>3.9999999999999998E-6</v>
      </c>
      <c r="E464" s="9">
        <v>5.0000000000000004E-6</v>
      </c>
      <c r="F464" s="8"/>
      <c r="G464" s="8"/>
      <c r="H464" s="8"/>
      <c r="I464" s="8"/>
      <c r="J464" s="8"/>
      <c r="K464" s="8"/>
      <c r="L464" s="8"/>
      <c r="M464" s="8"/>
      <c r="N464" s="10">
        <v>0</v>
      </c>
      <c r="O464" s="10">
        <v>392200</v>
      </c>
      <c r="P464" s="10">
        <v>485100</v>
      </c>
      <c r="Q464" s="8"/>
      <c r="R464" s="8"/>
      <c r="S464" s="8"/>
      <c r="T464" s="8"/>
      <c r="U464" s="8"/>
      <c r="V464" s="8"/>
      <c r="W464" s="8"/>
      <c r="X464" s="8"/>
      <c r="Y464" s="12">
        <v>-392200</v>
      </c>
      <c r="Z464" s="12">
        <v>-92900</v>
      </c>
      <c r="AA464" s="13">
        <v>485100</v>
      </c>
      <c r="AB464" s="8"/>
      <c r="AC464" s="8"/>
      <c r="AD464" s="8"/>
      <c r="AE464" s="8"/>
      <c r="AF464" s="8"/>
      <c r="AG464" s="8"/>
      <c r="AH464" s="8"/>
      <c r="AI464" s="8"/>
      <c r="AJ464" s="10">
        <v>0</v>
      </c>
      <c r="AK464" s="10">
        <v>2229996124.4000001</v>
      </c>
      <c r="AL464" s="10">
        <v>2934854921.5500002</v>
      </c>
      <c r="AM464" s="8"/>
      <c r="AN464" s="8"/>
      <c r="AO464" s="8"/>
      <c r="AP464" s="8"/>
      <c r="AQ464" s="8"/>
      <c r="AR464" s="8"/>
      <c r="AS464" s="8"/>
      <c r="AT464" s="8"/>
      <c r="AU464" s="14">
        <v>45716</v>
      </c>
      <c r="AV464" s="14">
        <v>45657</v>
      </c>
      <c r="AW464" s="14">
        <v>45291</v>
      </c>
      <c r="AX464" s="8"/>
      <c r="AY464" s="8"/>
      <c r="AZ464" s="8"/>
      <c r="BA464" s="8"/>
      <c r="BB464" s="8"/>
      <c r="BC464" s="8"/>
      <c r="BD464" s="8"/>
      <c r="BE464" s="8"/>
      <c r="BF464" s="8" t="s">
        <v>35</v>
      </c>
      <c r="BG464" s="8" t="s">
        <v>35</v>
      </c>
      <c r="BH464" s="8" t="s">
        <v>35</v>
      </c>
      <c r="BI464" s="8"/>
      <c r="BJ464" s="8"/>
      <c r="BK464" s="8"/>
      <c r="BL464" s="8"/>
      <c r="BM464" s="8"/>
      <c r="BN464" s="8"/>
      <c r="BO464" s="8"/>
      <c r="BP464" s="8"/>
      <c r="BQ464" s="8" t="s">
        <v>31</v>
      </c>
      <c r="BR464" s="8" t="s">
        <v>49</v>
      </c>
      <c r="BS464" s="10">
        <v>36152078017746</v>
      </c>
      <c r="BT464" s="8" t="s">
        <v>61</v>
      </c>
      <c r="BU464" s="8" t="s">
        <v>27</v>
      </c>
      <c r="BV464" s="8" t="s">
        <v>42</v>
      </c>
      <c r="BW464" s="8" t="s">
        <v>42</v>
      </c>
      <c r="BX464" s="8"/>
      <c r="BY464" s="8"/>
      <c r="BZ464" s="8"/>
      <c r="CA464" s="8"/>
      <c r="CB464" s="8"/>
      <c r="CC464" s="8"/>
      <c r="CD464" s="8"/>
      <c r="CE464" s="8"/>
      <c r="CF464" s="8" t="s">
        <v>391</v>
      </c>
      <c r="CG464" s="8" t="s">
        <v>99</v>
      </c>
    </row>
    <row r="465" spans="1:85" ht="15.75" customHeight="1" x14ac:dyDescent="0.35">
      <c r="A465" s="8">
        <v>458</v>
      </c>
      <c r="B465" s="8" t="s">
        <v>658</v>
      </c>
      <c r="C465" s="9">
        <v>0</v>
      </c>
      <c r="D465" s="9">
        <v>0</v>
      </c>
      <c r="E465" s="8"/>
      <c r="F465" s="8"/>
      <c r="G465" s="8"/>
      <c r="H465" s="9">
        <v>0</v>
      </c>
      <c r="I465" s="9">
        <v>0</v>
      </c>
      <c r="J465" s="9">
        <v>2.0599999999999999E-4</v>
      </c>
      <c r="K465" s="9">
        <v>0</v>
      </c>
      <c r="L465" s="9">
        <v>0</v>
      </c>
      <c r="M465" s="8"/>
      <c r="N465" s="10">
        <v>0</v>
      </c>
      <c r="O465" s="10">
        <v>0</v>
      </c>
      <c r="P465" s="8"/>
      <c r="Q465" s="8"/>
      <c r="R465" s="8"/>
      <c r="S465" s="10">
        <v>0</v>
      </c>
      <c r="T465" s="10">
        <v>0</v>
      </c>
      <c r="U465" s="10">
        <v>19000000</v>
      </c>
      <c r="V465" s="10">
        <v>0</v>
      </c>
      <c r="W465" s="10">
        <v>0</v>
      </c>
      <c r="X465" s="8"/>
      <c r="Y465" s="11">
        <v>0</v>
      </c>
      <c r="Z465" s="11">
        <v>0</v>
      </c>
      <c r="AA465" s="8"/>
      <c r="AB465" s="8"/>
      <c r="AC465" s="8"/>
      <c r="AD465" s="11">
        <v>0</v>
      </c>
      <c r="AE465" s="12">
        <v>-19000000</v>
      </c>
      <c r="AF465" s="13">
        <v>19000000</v>
      </c>
      <c r="AG465" s="11">
        <v>0</v>
      </c>
      <c r="AH465" s="11">
        <v>0</v>
      </c>
      <c r="AI465" s="8"/>
      <c r="AJ465" s="10">
        <v>0</v>
      </c>
      <c r="AK465" s="10">
        <v>0</v>
      </c>
      <c r="AL465" s="8"/>
      <c r="AM465" s="8"/>
      <c r="AN465" s="8"/>
      <c r="AO465" s="10">
        <v>0</v>
      </c>
      <c r="AP465" s="10">
        <v>0</v>
      </c>
      <c r="AQ465" s="10">
        <v>69196045243.75</v>
      </c>
      <c r="AR465" s="10">
        <v>0</v>
      </c>
      <c r="AS465" s="10">
        <v>0</v>
      </c>
      <c r="AT465" s="8"/>
      <c r="AU465" s="14">
        <v>45473</v>
      </c>
      <c r="AV465" s="14">
        <v>45473</v>
      </c>
      <c r="AW465" s="8"/>
      <c r="AX465" s="8"/>
      <c r="AY465" s="8"/>
      <c r="AZ465" s="14">
        <v>43555</v>
      </c>
      <c r="BA465" s="14">
        <v>43555</v>
      </c>
      <c r="BB465" s="14">
        <v>43465</v>
      </c>
      <c r="BC465" s="14">
        <v>42551</v>
      </c>
      <c r="BD465" s="14">
        <v>42551</v>
      </c>
      <c r="BE465" s="8"/>
      <c r="BF465" s="8" t="s">
        <v>35</v>
      </c>
      <c r="BG465" s="8" t="s">
        <v>35</v>
      </c>
      <c r="BH465" s="8"/>
      <c r="BI465" s="8"/>
      <c r="BJ465" s="8"/>
      <c r="BK465" s="8" t="s">
        <v>35</v>
      </c>
      <c r="BL465" s="8" t="s">
        <v>35</v>
      </c>
      <c r="BM465" s="8" t="s">
        <v>35</v>
      </c>
      <c r="BN465" s="8" t="s">
        <v>35</v>
      </c>
      <c r="BO465" s="8" t="s">
        <v>35</v>
      </c>
      <c r="BP465" s="8"/>
      <c r="BQ465" s="8" t="s">
        <v>31</v>
      </c>
      <c r="BR465" s="8" t="s">
        <v>49</v>
      </c>
      <c r="BS465" s="10">
        <v>956376221105710</v>
      </c>
      <c r="BT465" s="8"/>
      <c r="BU465" s="8" t="s">
        <v>43</v>
      </c>
      <c r="BV465" s="8" t="s">
        <v>43</v>
      </c>
      <c r="BW465" s="8"/>
      <c r="BX465" s="8"/>
      <c r="BY465" s="8"/>
      <c r="BZ465" s="8" t="s">
        <v>42</v>
      </c>
      <c r="CA465" s="8" t="s">
        <v>42</v>
      </c>
      <c r="CB465" s="8" t="s">
        <v>42</v>
      </c>
      <c r="CC465" s="8" t="s">
        <v>27</v>
      </c>
      <c r="CD465" s="8" t="s">
        <v>42</v>
      </c>
      <c r="CE465" s="8"/>
      <c r="CF465" s="8" t="s">
        <v>95</v>
      </c>
      <c r="CG465" s="8" t="s">
        <v>96</v>
      </c>
    </row>
    <row r="466" spans="1:85" ht="15.75" customHeight="1" x14ac:dyDescent="0.35">
      <c r="A466" s="8">
        <v>459</v>
      </c>
      <c r="B466" s="8" t="s">
        <v>659</v>
      </c>
      <c r="C466" s="9">
        <v>0</v>
      </c>
      <c r="D466" s="9">
        <v>0</v>
      </c>
      <c r="E466" s="8"/>
      <c r="F466" s="9">
        <v>0</v>
      </c>
      <c r="G466" s="9">
        <v>0</v>
      </c>
      <c r="H466" s="9">
        <v>1.05E-4</v>
      </c>
      <c r="I466" s="9">
        <v>0</v>
      </c>
      <c r="J466" s="9">
        <v>2.8E-5</v>
      </c>
      <c r="K466" s="9">
        <v>1.2400000000000001E-4</v>
      </c>
      <c r="L466" s="9">
        <v>0</v>
      </c>
      <c r="M466" s="9">
        <v>1E-4</v>
      </c>
      <c r="N466" s="10">
        <v>0</v>
      </c>
      <c r="O466" s="10">
        <v>0</v>
      </c>
      <c r="P466" s="8"/>
      <c r="Q466" s="10">
        <v>0</v>
      </c>
      <c r="R466" s="10">
        <v>0</v>
      </c>
      <c r="S466" s="10">
        <v>9692400</v>
      </c>
      <c r="T466" s="10">
        <v>0</v>
      </c>
      <c r="U466" s="10">
        <v>2546200</v>
      </c>
      <c r="V466" s="10">
        <v>11418800</v>
      </c>
      <c r="W466" s="10">
        <v>0</v>
      </c>
      <c r="X466" s="10">
        <v>9209200</v>
      </c>
      <c r="Y466" s="11">
        <v>0</v>
      </c>
      <c r="Z466" s="11">
        <v>0</v>
      </c>
      <c r="AA466" s="8"/>
      <c r="AB466" s="11">
        <v>0</v>
      </c>
      <c r="AC466" s="12">
        <v>-9692400</v>
      </c>
      <c r="AD466" s="13">
        <v>9692400</v>
      </c>
      <c r="AE466" s="12">
        <v>-2546200</v>
      </c>
      <c r="AF466" s="12">
        <v>-8872600</v>
      </c>
      <c r="AG466" s="13">
        <v>11418800</v>
      </c>
      <c r="AH466" s="12">
        <v>-9209200</v>
      </c>
      <c r="AI466" s="12">
        <v>-1019200</v>
      </c>
      <c r="AJ466" s="10">
        <v>0</v>
      </c>
      <c r="AK466" s="10">
        <v>0</v>
      </c>
      <c r="AL466" s="8"/>
      <c r="AM466" s="10">
        <v>0</v>
      </c>
      <c r="AN466" s="10">
        <v>0</v>
      </c>
      <c r="AO466" s="10">
        <v>30652214907.599998</v>
      </c>
      <c r="AP466" s="10">
        <v>0</v>
      </c>
      <c r="AQ466" s="10">
        <v>9272998406.25</v>
      </c>
      <c r="AR466" s="10">
        <v>45675199975.650002</v>
      </c>
      <c r="AS466" s="10">
        <v>0</v>
      </c>
      <c r="AT466" s="10">
        <v>21304002196.349998</v>
      </c>
      <c r="AU466" s="14">
        <v>45535</v>
      </c>
      <c r="AV466" s="14">
        <v>45535</v>
      </c>
      <c r="AW466" s="8"/>
      <c r="AX466" s="14">
        <v>44439</v>
      </c>
      <c r="AY466" s="14">
        <v>44439</v>
      </c>
      <c r="AZ466" s="14">
        <v>44196</v>
      </c>
      <c r="BA466" s="14">
        <v>43496</v>
      </c>
      <c r="BB466" s="14">
        <v>43465</v>
      </c>
      <c r="BC466" s="14">
        <v>43100</v>
      </c>
      <c r="BD466" s="14">
        <v>42400</v>
      </c>
      <c r="BE466" s="14">
        <v>42369</v>
      </c>
      <c r="BF466" s="8" t="s">
        <v>35</v>
      </c>
      <c r="BG466" s="8" t="s">
        <v>35</v>
      </c>
      <c r="BH466" s="8"/>
      <c r="BI466" s="8" t="s">
        <v>35</v>
      </c>
      <c r="BJ466" s="8" t="s">
        <v>35</v>
      </c>
      <c r="BK466" s="8" t="s">
        <v>35</v>
      </c>
      <c r="BL466" s="8" t="s">
        <v>35</v>
      </c>
      <c r="BM466" s="8" t="s">
        <v>35</v>
      </c>
      <c r="BN466" s="8" t="s">
        <v>35</v>
      </c>
      <c r="BO466" s="8" t="s">
        <v>35</v>
      </c>
      <c r="BP466" s="8" t="s">
        <v>35</v>
      </c>
      <c r="BQ466" s="8" t="s">
        <v>31</v>
      </c>
      <c r="BR466" s="8" t="s">
        <v>36</v>
      </c>
      <c r="BS466" s="10">
        <v>70129708597575.602</v>
      </c>
      <c r="BT466" s="8"/>
      <c r="BU466" s="8" t="s">
        <v>43</v>
      </c>
      <c r="BV466" s="8" t="s">
        <v>27</v>
      </c>
      <c r="BW466" s="8"/>
      <c r="BX466" s="8" t="s">
        <v>42</v>
      </c>
      <c r="BY466" s="8" t="s">
        <v>42</v>
      </c>
      <c r="BZ466" s="8" t="s">
        <v>42</v>
      </c>
      <c r="CA466" s="8" t="s">
        <v>42</v>
      </c>
      <c r="CB466" s="8" t="s">
        <v>42</v>
      </c>
      <c r="CC466" s="8" t="s">
        <v>43</v>
      </c>
      <c r="CD466" s="8" t="s">
        <v>42</v>
      </c>
      <c r="CE466" s="8" t="s">
        <v>43</v>
      </c>
      <c r="CF466" s="8" t="s">
        <v>660</v>
      </c>
      <c r="CG466" s="8" t="s">
        <v>39</v>
      </c>
    </row>
    <row r="467" spans="1:85" ht="15.75" customHeight="1" x14ac:dyDescent="0.35">
      <c r="A467" s="8">
        <v>460</v>
      </c>
      <c r="B467" s="8" t="s">
        <v>661</v>
      </c>
      <c r="C467" s="9">
        <v>0</v>
      </c>
      <c r="D467" s="9">
        <v>1.9999999999999999E-6</v>
      </c>
      <c r="E467" s="9">
        <v>7.4999999999999993E-5</v>
      </c>
      <c r="F467" s="9">
        <v>1.18E-4</v>
      </c>
      <c r="G467" s="8"/>
      <c r="H467" s="8"/>
      <c r="I467" s="8"/>
      <c r="J467" s="8"/>
      <c r="K467" s="8"/>
      <c r="L467" s="8"/>
      <c r="M467" s="8"/>
      <c r="N467" s="10">
        <v>0</v>
      </c>
      <c r="O467" s="10">
        <v>182900</v>
      </c>
      <c r="P467" s="10">
        <v>6886700</v>
      </c>
      <c r="Q467" s="10">
        <v>10865000</v>
      </c>
      <c r="R467" s="8"/>
      <c r="S467" s="8"/>
      <c r="T467" s="8"/>
      <c r="U467" s="8"/>
      <c r="V467" s="8"/>
      <c r="W467" s="8"/>
      <c r="X467" s="8"/>
      <c r="Y467" s="12">
        <v>-182900</v>
      </c>
      <c r="Z467" s="12">
        <v>-6703800</v>
      </c>
      <c r="AA467" s="12">
        <v>-3978300</v>
      </c>
      <c r="AB467" s="13">
        <v>10865000</v>
      </c>
      <c r="AC467" s="8"/>
      <c r="AD467" s="8"/>
      <c r="AE467" s="8"/>
      <c r="AF467" s="8"/>
      <c r="AG467" s="8"/>
      <c r="AH467" s="8"/>
      <c r="AI467" s="8"/>
      <c r="AJ467" s="10">
        <v>0</v>
      </c>
      <c r="AK467" s="10">
        <v>1039944648.2</v>
      </c>
      <c r="AL467" s="10">
        <v>41664534898.150002</v>
      </c>
      <c r="AM467" s="10">
        <v>53917562510.900002</v>
      </c>
      <c r="AN467" s="8"/>
      <c r="AO467" s="8"/>
      <c r="AP467" s="8"/>
      <c r="AQ467" s="8"/>
      <c r="AR467" s="8"/>
      <c r="AS467" s="8"/>
      <c r="AT467" s="8"/>
      <c r="AU467" s="14">
        <v>45747</v>
      </c>
      <c r="AV467" s="14">
        <v>45657</v>
      </c>
      <c r="AW467" s="14">
        <v>45291</v>
      </c>
      <c r="AX467" s="14">
        <v>44926</v>
      </c>
      <c r="AY467" s="8"/>
      <c r="AZ467" s="8"/>
      <c r="BA467" s="8"/>
      <c r="BB467" s="8"/>
      <c r="BC467" s="8"/>
      <c r="BD467" s="8"/>
      <c r="BE467" s="8"/>
      <c r="BF467" s="8" t="s">
        <v>35</v>
      </c>
      <c r="BG467" s="8" t="s">
        <v>35</v>
      </c>
      <c r="BH467" s="8" t="s">
        <v>35</v>
      </c>
      <c r="BI467" s="8" t="s">
        <v>35</v>
      </c>
      <c r="BJ467" s="8"/>
      <c r="BK467" s="8"/>
      <c r="BL467" s="8"/>
      <c r="BM467" s="8"/>
      <c r="BN467" s="8"/>
      <c r="BO467" s="8"/>
      <c r="BP467" s="8"/>
      <c r="BQ467" s="8" t="s">
        <v>31</v>
      </c>
      <c r="BR467" s="8" t="s">
        <v>36</v>
      </c>
      <c r="BS467" s="10">
        <v>22226699385124.801</v>
      </c>
      <c r="BT467" s="8" t="s">
        <v>57</v>
      </c>
      <c r="BU467" s="8" t="s">
        <v>27</v>
      </c>
      <c r="BV467" s="8" t="s">
        <v>42</v>
      </c>
      <c r="BW467" s="8" t="s">
        <v>43</v>
      </c>
      <c r="BX467" s="8" t="s">
        <v>27</v>
      </c>
      <c r="BY467" s="8"/>
      <c r="BZ467" s="8"/>
      <c r="CA467" s="8"/>
      <c r="CB467" s="8"/>
      <c r="CC467" s="8"/>
      <c r="CD467" s="8"/>
      <c r="CE467" s="8"/>
      <c r="CF467" s="8" t="s">
        <v>662</v>
      </c>
      <c r="CG467" s="8" t="s">
        <v>39</v>
      </c>
    </row>
    <row r="468" spans="1:85" ht="15.75" customHeight="1" x14ac:dyDescent="0.35">
      <c r="A468" s="8">
        <v>461</v>
      </c>
      <c r="B468" s="8" t="s">
        <v>663</v>
      </c>
      <c r="C468" s="9">
        <v>0</v>
      </c>
      <c r="D468" s="9">
        <v>0</v>
      </c>
      <c r="E468" s="8"/>
      <c r="F468" s="8"/>
      <c r="G468" s="8"/>
      <c r="H468" s="8"/>
      <c r="I468" s="8"/>
      <c r="J468" s="8"/>
      <c r="K468" s="8"/>
      <c r="L468" s="8"/>
      <c r="M468" s="8"/>
      <c r="N468" s="10">
        <v>0</v>
      </c>
      <c r="O468" s="10">
        <v>0</v>
      </c>
      <c r="P468" s="8"/>
      <c r="Q468" s="8"/>
      <c r="R468" s="8"/>
      <c r="S468" s="8"/>
      <c r="T468" s="8"/>
      <c r="U468" s="8"/>
      <c r="V468" s="8"/>
      <c r="W468" s="8"/>
      <c r="X468" s="8"/>
      <c r="Y468" s="11">
        <v>0</v>
      </c>
      <c r="Z468" s="11">
        <v>0</v>
      </c>
      <c r="AA468" s="8"/>
      <c r="AB468" s="8"/>
      <c r="AC468" s="8"/>
      <c r="AD468" s="8"/>
      <c r="AE468" s="8"/>
      <c r="AF468" s="8"/>
      <c r="AG468" s="8"/>
      <c r="AH468" s="8"/>
      <c r="AI468" s="8"/>
      <c r="AJ468" s="10">
        <v>0</v>
      </c>
      <c r="AK468" s="10">
        <v>0</v>
      </c>
      <c r="AL468" s="8"/>
      <c r="AM468" s="8"/>
      <c r="AN468" s="8"/>
      <c r="AO468" s="8"/>
      <c r="AP468" s="8"/>
      <c r="AQ468" s="8"/>
      <c r="AR468" s="8"/>
      <c r="AS468" s="8"/>
      <c r="AT468" s="8"/>
      <c r="AU468" s="14">
        <v>45565</v>
      </c>
      <c r="AV468" s="14">
        <v>45565</v>
      </c>
      <c r="AW468" s="8"/>
      <c r="AX468" s="8"/>
      <c r="AY468" s="8"/>
      <c r="AZ468" s="8"/>
      <c r="BA468" s="8"/>
      <c r="BB468" s="8"/>
      <c r="BC468" s="8"/>
      <c r="BD468" s="8"/>
      <c r="BE468" s="8"/>
      <c r="BF468" s="8" t="s">
        <v>35</v>
      </c>
      <c r="BG468" s="8" t="s">
        <v>35</v>
      </c>
      <c r="BH468" s="8"/>
      <c r="BI468" s="8"/>
      <c r="BJ468" s="8"/>
      <c r="BK468" s="8"/>
      <c r="BL468" s="8"/>
      <c r="BM468" s="8"/>
      <c r="BN468" s="8"/>
      <c r="BO468" s="8"/>
      <c r="BP468" s="8"/>
      <c r="BQ468" s="8" t="s">
        <v>31</v>
      </c>
      <c r="BR468" s="8" t="s">
        <v>36</v>
      </c>
      <c r="BS468" s="10">
        <v>34185704576132.398</v>
      </c>
      <c r="BT468" s="8"/>
      <c r="BU468" s="8" t="s">
        <v>27</v>
      </c>
      <c r="BV468" s="8" t="s">
        <v>42</v>
      </c>
      <c r="BW468" s="8"/>
      <c r="BX468" s="8"/>
      <c r="BY468" s="8"/>
      <c r="BZ468" s="8"/>
      <c r="CA468" s="8"/>
      <c r="CB468" s="8"/>
      <c r="CC468" s="8"/>
      <c r="CD468" s="8"/>
      <c r="CE468" s="8"/>
      <c r="CF468" s="8" t="s">
        <v>232</v>
      </c>
      <c r="CG468" s="8" t="s">
        <v>232</v>
      </c>
    </row>
    <row r="469" spans="1:85" ht="15.75" customHeight="1" x14ac:dyDescent="0.35">
      <c r="A469" s="8">
        <v>462</v>
      </c>
      <c r="B469" s="8" t="s">
        <v>664</v>
      </c>
      <c r="C469" s="9">
        <v>0</v>
      </c>
      <c r="D469" s="9">
        <v>3.0800000000000001E-4</v>
      </c>
      <c r="E469" s="8"/>
      <c r="F469" s="8"/>
      <c r="G469" s="8"/>
      <c r="H469" s="8"/>
      <c r="I469" s="8"/>
      <c r="J469" s="8"/>
      <c r="K469" s="8"/>
      <c r="L469" s="8"/>
      <c r="M469" s="8"/>
      <c r="N469" s="10">
        <v>0</v>
      </c>
      <c r="O469" s="10">
        <v>28439700</v>
      </c>
      <c r="P469" s="8"/>
      <c r="Q469" s="8"/>
      <c r="R469" s="8"/>
      <c r="S469" s="8"/>
      <c r="T469" s="8"/>
      <c r="U469" s="8"/>
      <c r="V469" s="8"/>
      <c r="W469" s="8"/>
      <c r="X469" s="8"/>
      <c r="Y469" s="12">
        <v>-28439700</v>
      </c>
      <c r="Z469" s="13">
        <v>28439700</v>
      </c>
      <c r="AA469" s="8"/>
      <c r="AB469" s="8"/>
      <c r="AC469" s="8"/>
      <c r="AD469" s="8"/>
      <c r="AE469" s="8"/>
      <c r="AF469" s="8"/>
      <c r="AG469" s="8"/>
      <c r="AH469" s="8"/>
      <c r="AI469" s="8"/>
      <c r="AJ469" s="10">
        <v>0</v>
      </c>
      <c r="AK469" s="10">
        <v>161704290347.29999</v>
      </c>
      <c r="AL469" s="8"/>
      <c r="AM469" s="8"/>
      <c r="AN469" s="8"/>
      <c r="AO469" s="8"/>
      <c r="AP469" s="8"/>
      <c r="AQ469" s="8"/>
      <c r="AR469" s="8"/>
      <c r="AS469" s="8"/>
      <c r="AT469" s="8"/>
      <c r="AU469" s="14">
        <v>45808</v>
      </c>
      <c r="AV469" s="14">
        <v>45657</v>
      </c>
      <c r="AW469" s="8"/>
      <c r="AX469" s="8"/>
      <c r="AY469" s="8"/>
      <c r="AZ469" s="8"/>
      <c r="BA469" s="8"/>
      <c r="BB469" s="8"/>
      <c r="BC469" s="8"/>
      <c r="BD469" s="8"/>
      <c r="BE469" s="8"/>
      <c r="BF469" s="8" t="s">
        <v>35</v>
      </c>
      <c r="BG469" s="8" t="s">
        <v>35</v>
      </c>
      <c r="BH469" s="8"/>
      <c r="BI469" s="8"/>
      <c r="BJ469" s="8"/>
      <c r="BK469" s="8"/>
      <c r="BL469" s="8"/>
      <c r="BM469" s="8"/>
      <c r="BN469" s="8"/>
      <c r="BO469" s="8"/>
      <c r="BP469" s="8"/>
      <c r="BQ469" s="8" t="s">
        <v>31</v>
      </c>
      <c r="BR469" s="8" t="s">
        <v>49</v>
      </c>
      <c r="BS469" s="10">
        <v>761021252800970</v>
      </c>
      <c r="BT469" s="8" t="s">
        <v>57</v>
      </c>
      <c r="BU469" s="8" t="s">
        <v>27</v>
      </c>
      <c r="BV469" s="8" t="s">
        <v>27</v>
      </c>
      <c r="BW469" s="8"/>
      <c r="BX469" s="8"/>
      <c r="BY469" s="8"/>
      <c r="BZ469" s="8"/>
      <c r="CA469" s="8"/>
      <c r="CB469" s="8"/>
      <c r="CC469" s="8"/>
      <c r="CD469" s="8"/>
      <c r="CE469" s="8"/>
      <c r="CF469" s="8" t="s">
        <v>80</v>
      </c>
      <c r="CG469" s="8" t="s">
        <v>39</v>
      </c>
    </row>
    <row r="470" spans="1:85" ht="15.75" customHeight="1" x14ac:dyDescent="0.35">
      <c r="A470" s="8">
        <v>463</v>
      </c>
      <c r="B470" s="8" t="s">
        <v>665</v>
      </c>
      <c r="C470" s="9">
        <v>0</v>
      </c>
      <c r="D470" s="9">
        <v>2.4000000000000001E-5</v>
      </c>
      <c r="E470" s="9">
        <v>2.6999999999999999E-5</v>
      </c>
      <c r="F470" s="8"/>
      <c r="G470" s="8"/>
      <c r="H470" s="8"/>
      <c r="I470" s="8"/>
      <c r="J470" s="8"/>
      <c r="K470" s="8"/>
      <c r="L470" s="9">
        <v>5.0000000000000004E-6</v>
      </c>
      <c r="M470" s="9">
        <v>5.0000000000000004E-6</v>
      </c>
      <c r="N470" s="10">
        <v>0</v>
      </c>
      <c r="O470" s="10">
        <v>2236200</v>
      </c>
      <c r="P470" s="10">
        <v>2480900</v>
      </c>
      <c r="Q470" s="8"/>
      <c r="R470" s="8"/>
      <c r="S470" s="8"/>
      <c r="T470" s="8"/>
      <c r="U470" s="8"/>
      <c r="V470" s="8"/>
      <c r="W470" s="10">
        <v>471600</v>
      </c>
      <c r="X470" s="10">
        <v>471600</v>
      </c>
      <c r="Y470" s="12">
        <v>-2236200</v>
      </c>
      <c r="Z470" s="12">
        <v>-244700</v>
      </c>
      <c r="AA470" s="13">
        <v>2480900</v>
      </c>
      <c r="AB470" s="8"/>
      <c r="AC470" s="8"/>
      <c r="AD470" s="8"/>
      <c r="AE470" s="8"/>
      <c r="AF470" s="8"/>
      <c r="AG470" s="8"/>
      <c r="AH470" s="11">
        <v>0</v>
      </c>
      <c r="AI470" s="11">
        <v>0</v>
      </c>
      <c r="AJ470" s="10">
        <v>0</v>
      </c>
      <c r="AK470" s="10">
        <v>12714731030.299999</v>
      </c>
      <c r="AL470" s="10">
        <v>15009445002.85</v>
      </c>
      <c r="AM470" s="8"/>
      <c r="AN470" s="8"/>
      <c r="AO470" s="8"/>
      <c r="AP470" s="8"/>
      <c r="AQ470" s="8"/>
      <c r="AR470" s="8"/>
      <c r="AS470" s="10">
        <v>1184895035.5</v>
      </c>
      <c r="AT470" s="10">
        <v>1184895035.5</v>
      </c>
      <c r="AU470" s="14">
        <v>45747</v>
      </c>
      <c r="AV470" s="14">
        <v>45657</v>
      </c>
      <c r="AW470" s="14">
        <v>45291</v>
      </c>
      <c r="AX470" s="8"/>
      <c r="AY470" s="8"/>
      <c r="AZ470" s="8"/>
      <c r="BA470" s="8"/>
      <c r="BB470" s="8"/>
      <c r="BC470" s="8"/>
      <c r="BD470" s="14">
        <v>42185</v>
      </c>
      <c r="BE470" s="14">
        <v>42185</v>
      </c>
      <c r="BF470" s="8" t="s">
        <v>35</v>
      </c>
      <c r="BG470" s="8" t="s">
        <v>35</v>
      </c>
      <c r="BH470" s="8" t="s">
        <v>35</v>
      </c>
      <c r="BI470" s="8"/>
      <c r="BJ470" s="8"/>
      <c r="BK470" s="8"/>
      <c r="BL470" s="8"/>
      <c r="BM470" s="8"/>
      <c r="BN470" s="8"/>
      <c r="BO470" s="8" t="s">
        <v>35</v>
      </c>
      <c r="BP470" s="8" t="s">
        <v>35</v>
      </c>
      <c r="BQ470" s="8" t="s">
        <v>31</v>
      </c>
      <c r="BR470" s="8" t="s">
        <v>160</v>
      </c>
      <c r="BS470" s="10">
        <v>194243177382646</v>
      </c>
      <c r="BT470" s="8" t="s">
        <v>61</v>
      </c>
      <c r="BU470" s="8" t="s">
        <v>27</v>
      </c>
      <c r="BV470" s="8" t="s">
        <v>27</v>
      </c>
      <c r="BW470" s="8" t="s">
        <v>27</v>
      </c>
      <c r="BX470" s="8"/>
      <c r="BY470" s="8"/>
      <c r="BZ470" s="8"/>
      <c r="CA470" s="8"/>
      <c r="CB470" s="8"/>
      <c r="CC470" s="8"/>
      <c r="CD470" s="8" t="s">
        <v>27</v>
      </c>
      <c r="CE470" s="8" t="s">
        <v>27</v>
      </c>
      <c r="CF470" s="8" t="s">
        <v>266</v>
      </c>
      <c r="CG470" s="8" t="s">
        <v>39</v>
      </c>
    </row>
    <row r="471" spans="1:85" ht="15.75" customHeight="1" x14ac:dyDescent="0.35">
      <c r="A471" s="8">
        <v>464</v>
      </c>
      <c r="B471" s="8" t="s">
        <v>666</v>
      </c>
      <c r="C471" s="8"/>
      <c r="D471" s="8"/>
      <c r="E471" s="8"/>
      <c r="F471" s="8"/>
      <c r="G471" s="8"/>
      <c r="H471" s="8"/>
      <c r="I471" s="8"/>
      <c r="J471" s="8"/>
      <c r="K471" s="9">
        <v>0</v>
      </c>
      <c r="L471" s="9">
        <v>0</v>
      </c>
      <c r="M471" s="9">
        <v>1.7799999999999999E-4</v>
      </c>
      <c r="N471" s="8"/>
      <c r="O471" s="8"/>
      <c r="P471" s="8"/>
      <c r="Q471" s="8"/>
      <c r="R471" s="8"/>
      <c r="S471" s="8"/>
      <c r="T471" s="8"/>
      <c r="U471" s="8"/>
      <c r="V471" s="10">
        <v>0</v>
      </c>
      <c r="W471" s="10">
        <v>0</v>
      </c>
      <c r="X471" s="10">
        <v>16410400</v>
      </c>
      <c r="Y471" s="8"/>
      <c r="Z471" s="8"/>
      <c r="AA471" s="8"/>
      <c r="AB471" s="8"/>
      <c r="AC471" s="8"/>
      <c r="AD471" s="8"/>
      <c r="AE471" s="8"/>
      <c r="AF471" s="8"/>
      <c r="AG471" s="11">
        <v>0</v>
      </c>
      <c r="AH471" s="12">
        <v>-16410400</v>
      </c>
      <c r="AI471" s="12">
        <v>-165600</v>
      </c>
      <c r="AJ471" s="8"/>
      <c r="AK471" s="8"/>
      <c r="AL471" s="8"/>
      <c r="AM471" s="8"/>
      <c r="AN471" s="8"/>
      <c r="AO471" s="8"/>
      <c r="AP471" s="8"/>
      <c r="AQ471" s="8"/>
      <c r="AR471" s="10">
        <v>0</v>
      </c>
      <c r="AS471" s="10">
        <v>0</v>
      </c>
      <c r="AT471" s="10">
        <v>37962819594.75</v>
      </c>
      <c r="AU471" s="8"/>
      <c r="AV471" s="8"/>
      <c r="AW471" s="8"/>
      <c r="AX471" s="8"/>
      <c r="AY471" s="8"/>
      <c r="AZ471" s="8"/>
      <c r="BA471" s="8"/>
      <c r="BB471" s="8"/>
      <c r="BC471" s="14">
        <v>42460</v>
      </c>
      <c r="BD471" s="14">
        <v>42460</v>
      </c>
      <c r="BE471" s="14">
        <v>42369</v>
      </c>
      <c r="BF471" s="8"/>
      <c r="BG471" s="8"/>
      <c r="BH471" s="8"/>
      <c r="BI471" s="8"/>
      <c r="BJ471" s="8"/>
      <c r="BK471" s="8"/>
      <c r="BL471" s="8"/>
      <c r="BM471" s="8"/>
      <c r="BN471" s="8" t="s">
        <v>35</v>
      </c>
      <c r="BO471" s="8" t="s">
        <v>35</v>
      </c>
      <c r="BP471" s="8" t="s">
        <v>35</v>
      </c>
      <c r="BQ471" s="8" t="s">
        <v>31</v>
      </c>
      <c r="BR471" s="8" t="s">
        <v>36</v>
      </c>
      <c r="BS471" s="10">
        <v>1356873806618560</v>
      </c>
      <c r="BT471" s="8" t="s">
        <v>57</v>
      </c>
      <c r="BU471" s="8"/>
      <c r="BV471" s="8"/>
      <c r="BW471" s="8"/>
      <c r="BX471" s="8"/>
      <c r="BY471" s="8"/>
      <c r="BZ471" s="8"/>
      <c r="CA471" s="8"/>
      <c r="CB471" s="8"/>
      <c r="CC471" s="8" t="s">
        <v>42</v>
      </c>
      <c r="CD471" s="8" t="s">
        <v>42</v>
      </c>
      <c r="CE471" s="8" t="s">
        <v>42</v>
      </c>
      <c r="CF471" s="8" t="s">
        <v>114</v>
      </c>
      <c r="CG471" s="8" t="s">
        <v>115</v>
      </c>
    </row>
    <row r="472" spans="1:85" ht="15.75" customHeight="1" x14ac:dyDescent="0.35">
      <c r="A472" s="8">
        <v>465</v>
      </c>
      <c r="B472" s="8" t="s">
        <v>667</v>
      </c>
      <c r="C472" s="8"/>
      <c r="D472" s="9">
        <v>0</v>
      </c>
      <c r="E472" s="9">
        <v>0</v>
      </c>
      <c r="F472" s="9">
        <v>2.4000000000000001E-5</v>
      </c>
      <c r="G472" s="9">
        <v>8.7999999999999998E-5</v>
      </c>
      <c r="H472" s="9">
        <v>1.5200000000000001E-4</v>
      </c>
      <c r="I472" s="9">
        <v>5.0000000000000002E-5</v>
      </c>
      <c r="J472" s="9">
        <v>4.3999999999999999E-5</v>
      </c>
      <c r="K472" s="9">
        <v>9.2E-5</v>
      </c>
      <c r="L472" s="9">
        <v>0</v>
      </c>
      <c r="M472" s="9">
        <v>5.1999999999999997E-5</v>
      </c>
      <c r="N472" s="8"/>
      <c r="O472" s="10">
        <v>0</v>
      </c>
      <c r="P472" s="10">
        <v>0</v>
      </c>
      <c r="Q472" s="10">
        <v>2255416</v>
      </c>
      <c r="R472" s="10">
        <v>8148204</v>
      </c>
      <c r="S472" s="10">
        <v>14061052</v>
      </c>
      <c r="T472" s="10">
        <v>4612354</v>
      </c>
      <c r="U472" s="10">
        <v>4027602</v>
      </c>
      <c r="V472" s="10">
        <v>8472554</v>
      </c>
      <c r="W472" s="10">
        <v>0</v>
      </c>
      <c r="X472" s="10">
        <v>4798708</v>
      </c>
      <c r="Y472" s="8"/>
      <c r="Z472" s="11">
        <v>0</v>
      </c>
      <c r="AA472" s="12">
        <v>-2255416</v>
      </c>
      <c r="AB472" s="12">
        <v>-5892788</v>
      </c>
      <c r="AC472" s="12">
        <v>-5912848</v>
      </c>
      <c r="AD472" s="13">
        <v>9448698</v>
      </c>
      <c r="AE472" s="13">
        <v>584752</v>
      </c>
      <c r="AF472" s="12">
        <v>-4444952</v>
      </c>
      <c r="AG472" s="13">
        <v>8472554</v>
      </c>
      <c r="AH472" s="12">
        <v>-4798708</v>
      </c>
      <c r="AI472" s="11">
        <v>0</v>
      </c>
      <c r="AJ472" s="8"/>
      <c r="AK472" s="10">
        <v>0</v>
      </c>
      <c r="AL472" s="10">
        <v>0</v>
      </c>
      <c r="AM472" s="10">
        <v>11192501835.35</v>
      </c>
      <c r="AN472" s="10">
        <v>28590471255</v>
      </c>
      <c r="AO472" s="10">
        <v>44468076837.599998</v>
      </c>
      <c r="AP472" s="10">
        <v>17649046682</v>
      </c>
      <c r="AQ472" s="10">
        <v>14668112143.75</v>
      </c>
      <c r="AR472" s="10">
        <v>33890215960.599998</v>
      </c>
      <c r="AS472" s="10">
        <v>0</v>
      </c>
      <c r="AT472" s="10">
        <v>10197254538</v>
      </c>
      <c r="AU472" s="8"/>
      <c r="AV472" s="14">
        <v>45016</v>
      </c>
      <c r="AW472" s="14">
        <v>45016</v>
      </c>
      <c r="AX472" s="14">
        <v>44926</v>
      </c>
      <c r="AY472" s="14">
        <v>44561</v>
      </c>
      <c r="AZ472" s="14">
        <v>44196</v>
      </c>
      <c r="BA472" s="14">
        <v>43830</v>
      </c>
      <c r="BB472" s="14">
        <v>43465</v>
      </c>
      <c r="BC472" s="14">
        <v>43100</v>
      </c>
      <c r="BD472" s="14">
        <v>42490</v>
      </c>
      <c r="BE472" s="14">
        <v>42338</v>
      </c>
      <c r="BF472" s="8"/>
      <c r="BG472" s="8" t="s">
        <v>35</v>
      </c>
      <c r="BH472" s="8" t="s">
        <v>35</v>
      </c>
      <c r="BI472" s="8" t="s">
        <v>35</v>
      </c>
      <c r="BJ472" s="8" t="s">
        <v>35</v>
      </c>
      <c r="BK472" s="8" t="s">
        <v>35</v>
      </c>
      <c r="BL472" s="8" t="s">
        <v>35</v>
      </c>
      <c r="BM472" s="8" t="s">
        <v>35</v>
      </c>
      <c r="BN472" s="8" t="s">
        <v>35</v>
      </c>
      <c r="BO472" s="8" t="s">
        <v>35</v>
      </c>
      <c r="BP472" s="8" t="s">
        <v>35</v>
      </c>
      <c r="BQ472" s="8" t="s">
        <v>31</v>
      </c>
      <c r="BR472" s="8" t="s">
        <v>36</v>
      </c>
      <c r="BS472" s="10">
        <v>112557743974140</v>
      </c>
      <c r="BT472" s="8" t="s">
        <v>37</v>
      </c>
      <c r="BU472" s="8"/>
      <c r="BV472" s="8" t="s">
        <v>27</v>
      </c>
      <c r="BW472" s="8" t="s">
        <v>27</v>
      </c>
      <c r="BX472" s="8" t="s">
        <v>42</v>
      </c>
      <c r="BY472" s="8" t="s">
        <v>27</v>
      </c>
      <c r="BZ472" s="8" t="s">
        <v>42</v>
      </c>
      <c r="CA472" s="8" t="s">
        <v>42</v>
      </c>
      <c r="CB472" s="8" t="s">
        <v>42</v>
      </c>
      <c r="CC472" s="8" t="s">
        <v>42</v>
      </c>
      <c r="CD472" s="8" t="s">
        <v>42</v>
      </c>
      <c r="CE472" s="8" t="s">
        <v>42</v>
      </c>
      <c r="CF472" s="8" t="s">
        <v>145</v>
      </c>
      <c r="CG472" s="8" t="s">
        <v>146</v>
      </c>
    </row>
    <row r="473" spans="1:85" ht="15.75" customHeight="1" x14ac:dyDescent="0.35">
      <c r="A473" s="8">
        <v>466</v>
      </c>
      <c r="B473" s="8" t="s">
        <v>668</v>
      </c>
      <c r="C473" s="8"/>
      <c r="D473" s="8"/>
      <c r="E473" s="9">
        <v>0</v>
      </c>
      <c r="F473" s="9">
        <v>0</v>
      </c>
      <c r="G473" s="9">
        <v>3.9999999999999998E-6</v>
      </c>
      <c r="H473" s="8"/>
      <c r="I473" s="8"/>
      <c r="J473" s="8"/>
      <c r="K473" s="8"/>
      <c r="L473" s="8"/>
      <c r="M473" s="8"/>
      <c r="N473" s="8"/>
      <c r="O473" s="8"/>
      <c r="P473" s="10">
        <v>0</v>
      </c>
      <c r="Q473" s="10">
        <v>0</v>
      </c>
      <c r="R473" s="10">
        <v>399524</v>
      </c>
      <c r="S473" s="8"/>
      <c r="T473" s="8"/>
      <c r="U473" s="8"/>
      <c r="V473" s="8"/>
      <c r="W473" s="8"/>
      <c r="X473" s="8"/>
      <c r="Y473" s="8"/>
      <c r="Z473" s="8"/>
      <c r="AA473" s="11">
        <v>0</v>
      </c>
      <c r="AB473" s="12">
        <v>-399524</v>
      </c>
      <c r="AC473" s="13">
        <v>399524</v>
      </c>
      <c r="AD473" s="8"/>
      <c r="AE473" s="8"/>
      <c r="AF473" s="8"/>
      <c r="AG473" s="8"/>
      <c r="AH473" s="8"/>
      <c r="AI473" s="8"/>
      <c r="AJ473" s="8"/>
      <c r="AK473" s="8"/>
      <c r="AL473" s="10">
        <v>0</v>
      </c>
      <c r="AM473" s="10">
        <v>0</v>
      </c>
      <c r="AN473" s="10">
        <v>1401852442.5</v>
      </c>
      <c r="AO473" s="8"/>
      <c r="AP473" s="8"/>
      <c r="AQ473" s="8"/>
      <c r="AR473" s="8"/>
      <c r="AS473" s="8"/>
      <c r="AT473" s="8"/>
      <c r="AU473" s="8"/>
      <c r="AV473" s="8"/>
      <c r="AW473" s="14">
        <v>44926</v>
      </c>
      <c r="AX473" s="14">
        <v>44926</v>
      </c>
      <c r="AY473" s="14">
        <v>44561</v>
      </c>
      <c r="AZ473" s="8"/>
      <c r="BA473" s="8"/>
      <c r="BB473" s="8"/>
      <c r="BC473" s="8"/>
      <c r="BD473" s="8"/>
      <c r="BE473" s="8"/>
      <c r="BF473" s="8"/>
      <c r="BG473" s="8"/>
      <c r="BH473" s="8" t="s">
        <v>35</v>
      </c>
      <c r="BI473" s="8" t="s">
        <v>35</v>
      </c>
      <c r="BJ473" s="8" t="s">
        <v>35</v>
      </c>
      <c r="BK473" s="8"/>
      <c r="BL473" s="8"/>
      <c r="BM473" s="8"/>
      <c r="BN473" s="8"/>
      <c r="BO473" s="8"/>
      <c r="BP473" s="8"/>
      <c r="BQ473" s="8" t="s">
        <v>31</v>
      </c>
      <c r="BR473" s="8" t="s">
        <v>36</v>
      </c>
      <c r="BS473" s="10">
        <v>4076096992644</v>
      </c>
      <c r="BT473" s="8"/>
      <c r="BU473" s="8"/>
      <c r="BV473" s="8"/>
      <c r="BW473" s="8" t="s">
        <v>43</v>
      </c>
      <c r="BX473" s="8" t="s">
        <v>43</v>
      </c>
      <c r="BY473" s="8" t="s">
        <v>43</v>
      </c>
      <c r="BZ473" s="8"/>
      <c r="CA473" s="8"/>
      <c r="CB473" s="8"/>
      <c r="CC473" s="8"/>
      <c r="CD473" s="8"/>
      <c r="CE473" s="8"/>
      <c r="CF473" s="8" t="s">
        <v>73</v>
      </c>
      <c r="CG473" s="8" t="s">
        <v>39</v>
      </c>
    </row>
    <row r="474" spans="1:85" ht="15.75" hidden="1" customHeight="1" x14ac:dyDescent="0.35">
      <c r="A474" s="8">
        <v>467</v>
      </c>
      <c r="B474" s="8" t="s">
        <v>669</v>
      </c>
      <c r="C474" s="8"/>
      <c r="D474" s="8"/>
      <c r="E474" s="8"/>
      <c r="F474" s="8"/>
      <c r="G474" s="8"/>
      <c r="H474" s="9">
        <v>1.5E-5</v>
      </c>
      <c r="I474" s="9">
        <v>6.9999999999999999E-6</v>
      </c>
      <c r="J474" s="9">
        <v>1.9999999999999999E-6</v>
      </c>
      <c r="K474" s="8"/>
      <c r="L474" s="8"/>
      <c r="M474" s="8"/>
      <c r="N474" s="8"/>
      <c r="O474" s="8"/>
      <c r="P474" s="8"/>
      <c r="Q474" s="8"/>
      <c r="R474" s="8"/>
      <c r="S474" s="10">
        <v>1391800</v>
      </c>
      <c r="T474" s="10">
        <v>639000</v>
      </c>
      <c r="U474" s="10">
        <v>218000</v>
      </c>
      <c r="V474" s="8"/>
      <c r="W474" s="8"/>
      <c r="X474" s="8"/>
      <c r="Y474" s="8"/>
      <c r="Z474" s="8"/>
      <c r="AA474" s="8"/>
      <c r="AB474" s="8"/>
      <c r="AC474" s="8"/>
      <c r="AD474" s="13">
        <v>752800</v>
      </c>
      <c r="AE474" s="13">
        <v>421000</v>
      </c>
      <c r="AF474" s="13">
        <v>218000</v>
      </c>
      <c r="AG474" s="8"/>
      <c r="AH474" s="8"/>
      <c r="AI474" s="8"/>
      <c r="AJ474" s="8"/>
      <c r="AK474" s="8"/>
      <c r="AL474" s="8"/>
      <c r="AM474" s="8"/>
      <c r="AN474" s="8"/>
      <c r="AO474" s="10">
        <v>4401567518.3999996</v>
      </c>
      <c r="AP474" s="10">
        <v>2445116068</v>
      </c>
      <c r="AQ474" s="10">
        <v>793933550</v>
      </c>
      <c r="AR474" s="8"/>
      <c r="AS474" s="8"/>
      <c r="AT474" s="8"/>
      <c r="AU474" s="8"/>
      <c r="AV474" s="8"/>
      <c r="AW474" s="8"/>
      <c r="AX474" s="8"/>
      <c r="AY474" s="8"/>
      <c r="AZ474" s="14">
        <v>44196</v>
      </c>
      <c r="BA474" s="14">
        <v>43830</v>
      </c>
      <c r="BB474" s="14">
        <v>43465</v>
      </c>
      <c r="BC474" s="8"/>
      <c r="BD474" s="8"/>
      <c r="BE474" s="8"/>
      <c r="BF474" s="8"/>
      <c r="BG474" s="8"/>
      <c r="BH474" s="8"/>
      <c r="BI474" s="8"/>
      <c r="BJ474" s="8"/>
      <c r="BK474" s="8" t="s">
        <v>201</v>
      </c>
      <c r="BL474" s="8" t="s">
        <v>201</v>
      </c>
      <c r="BM474" s="8" t="s">
        <v>201</v>
      </c>
      <c r="BN474" s="8"/>
      <c r="BO474" s="8"/>
      <c r="BP474" s="8"/>
      <c r="BQ474" s="8" t="s">
        <v>25</v>
      </c>
      <c r="BR474" s="8" t="s">
        <v>202</v>
      </c>
      <c r="BS474" s="10">
        <v>5229212692.8000002</v>
      </c>
      <c r="BT474" s="8"/>
      <c r="BU474" s="8"/>
      <c r="BV474" s="8"/>
      <c r="BW474" s="8"/>
      <c r="BX474" s="8"/>
      <c r="BY474" s="8"/>
      <c r="BZ474" s="8" t="s">
        <v>27</v>
      </c>
      <c r="CA474" s="8" t="s">
        <v>42</v>
      </c>
      <c r="CB474" s="8" t="s">
        <v>27</v>
      </c>
      <c r="CC474" s="8"/>
      <c r="CD474" s="8"/>
      <c r="CE474" s="8"/>
      <c r="CF474" s="8"/>
      <c r="CG474" s="8" t="s">
        <v>29</v>
      </c>
    </row>
    <row r="475" spans="1:85" ht="15.75" customHeight="1" x14ac:dyDescent="0.35">
      <c r="A475" s="8">
        <v>468</v>
      </c>
      <c r="B475" s="8" t="s">
        <v>670</v>
      </c>
      <c r="C475" s="8"/>
      <c r="D475" s="8"/>
      <c r="E475" s="8"/>
      <c r="F475" s="8"/>
      <c r="G475" s="8"/>
      <c r="H475" s="9">
        <v>1.4E-5</v>
      </c>
      <c r="I475" s="9">
        <v>1.4E-5</v>
      </c>
      <c r="J475" s="9">
        <v>1.4E-5</v>
      </c>
      <c r="K475" s="9">
        <v>6.9999999999999999E-6</v>
      </c>
      <c r="L475" s="8"/>
      <c r="M475" s="8"/>
      <c r="N475" s="8"/>
      <c r="O475" s="8"/>
      <c r="P475" s="8"/>
      <c r="Q475" s="8"/>
      <c r="R475" s="8"/>
      <c r="S475" s="10">
        <v>1293800</v>
      </c>
      <c r="T475" s="10">
        <v>1293800</v>
      </c>
      <c r="U475" s="10">
        <v>1293800</v>
      </c>
      <c r="V475" s="10">
        <v>658400</v>
      </c>
      <c r="W475" s="8"/>
      <c r="X475" s="8"/>
      <c r="Y475" s="8"/>
      <c r="Z475" s="8"/>
      <c r="AA475" s="8"/>
      <c r="AB475" s="8"/>
      <c r="AC475" s="8"/>
      <c r="AD475" s="11">
        <v>0</v>
      </c>
      <c r="AE475" s="11">
        <v>0</v>
      </c>
      <c r="AF475" s="13">
        <v>635400</v>
      </c>
      <c r="AG475" s="13">
        <v>658400</v>
      </c>
      <c r="AH475" s="8"/>
      <c r="AI475" s="8"/>
      <c r="AJ475" s="8"/>
      <c r="AK475" s="8"/>
      <c r="AL475" s="8"/>
      <c r="AM475" s="8"/>
      <c r="AN475" s="8"/>
      <c r="AO475" s="10">
        <v>5159027556.5600004</v>
      </c>
      <c r="AP475" s="10">
        <v>5159027556.5600004</v>
      </c>
      <c r="AQ475" s="10">
        <v>4431264968</v>
      </c>
      <c r="AR475" s="10">
        <v>2320860037.1999998</v>
      </c>
      <c r="AS475" s="8"/>
      <c r="AT475" s="8"/>
      <c r="AU475" s="8"/>
      <c r="AV475" s="8"/>
      <c r="AW475" s="8"/>
      <c r="AX475" s="8"/>
      <c r="AY475" s="8"/>
      <c r="AZ475" s="14">
        <v>43677</v>
      </c>
      <c r="BA475" s="14">
        <v>43677</v>
      </c>
      <c r="BB475" s="14">
        <v>43404</v>
      </c>
      <c r="BC475" s="14">
        <v>43039</v>
      </c>
      <c r="BD475" s="8"/>
      <c r="BE475" s="8"/>
      <c r="BF475" s="8"/>
      <c r="BG475" s="8"/>
      <c r="BH475" s="8"/>
      <c r="BI475" s="8"/>
      <c r="BJ475" s="8"/>
      <c r="BK475" s="8" t="s">
        <v>35</v>
      </c>
      <c r="BL475" s="8" t="s">
        <v>35</v>
      </c>
      <c r="BM475" s="8" t="s">
        <v>35</v>
      </c>
      <c r="BN475" s="8" t="s">
        <v>35</v>
      </c>
      <c r="BO475" s="8"/>
      <c r="BP475" s="8"/>
      <c r="BQ475" s="8" t="s">
        <v>31</v>
      </c>
      <c r="BR475" s="8" t="s">
        <v>49</v>
      </c>
      <c r="BS475" s="10">
        <v>9465321109924.8008</v>
      </c>
      <c r="BT475" s="8" t="s">
        <v>61</v>
      </c>
      <c r="BU475" s="8"/>
      <c r="BV475" s="8"/>
      <c r="BW475" s="8"/>
      <c r="BX475" s="8"/>
      <c r="BY475" s="8"/>
      <c r="BZ475" s="8" t="s">
        <v>43</v>
      </c>
      <c r="CA475" s="8" t="s">
        <v>42</v>
      </c>
      <c r="CB475" s="8" t="s">
        <v>42</v>
      </c>
      <c r="CC475" s="8" t="s">
        <v>27</v>
      </c>
      <c r="CD475" s="8"/>
      <c r="CE475" s="8"/>
      <c r="CF475" s="8" t="s">
        <v>80</v>
      </c>
      <c r="CG475" s="8" t="s">
        <v>39</v>
      </c>
    </row>
    <row r="476" spans="1:85" ht="15.75" customHeight="1" x14ac:dyDescent="0.35">
      <c r="A476" s="8">
        <v>469</v>
      </c>
      <c r="B476" s="8" t="s">
        <v>671</v>
      </c>
      <c r="C476" s="8"/>
      <c r="D476" s="9">
        <v>0</v>
      </c>
      <c r="E476" s="9">
        <v>0</v>
      </c>
      <c r="F476" s="9">
        <v>3.9899999999999999E-4</v>
      </c>
      <c r="G476" s="9">
        <v>7.6300000000000001E-4</v>
      </c>
      <c r="H476" s="9">
        <v>6.5899999999999997E-4</v>
      </c>
      <c r="I476" s="9">
        <v>7.2099999999999996E-4</v>
      </c>
      <c r="J476" s="9">
        <v>5.3899999999999998E-4</v>
      </c>
      <c r="K476" s="9">
        <v>4.5800000000000002E-4</v>
      </c>
      <c r="L476" s="9">
        <v>5.2300000000000003E-4</v>
      </c>
      <c r="M476" s="9">
        <v>4.4999999999999999E-4</v>
      </c>
      <c r="N476" s="8"/>
      <c r="O476" s="10">
        <v>30696</v>
      </c>
      <c r="P476" s="10">
        <v>30696</v>
      </c>
      <c r="Q476" s="10">
        <v>36881198</v>
      </c>
      <c r="R476" s="10">
        <v>70522550</v>
      </c>
      <c r="S476" s="10">
        <v>60881484</v>
      </c>
      <c r="T476" s="10">
        <v>66655788</v>
      </c>
      <c r="U476" s="10">
        <v>49763188</v>
      </c>
      <c r="V476" s="10">
        <v>42329388</v>
      </c>
      <c r="W476" s="10">
        <v>48369812</v>
      </c>
      <c r="X476" s="10">
        <v>41567500</v>
      </c>
      <c r="Y476" s="8"/>
      <c r="Z476" s="11">
        <v>0</v>
      </c>
      <c r="AA476" s="12">
        <v>-36850502</v>
      </c>
      <c r="AB476" s="12">
        <v>-33641352</v>
      </c>
      <c r="AC476" s="13">
        <v>9641066</v>
      </c>
      <c r="AD476" s="12">
        <v>-5774304</v>
      </c>
      <c r="AE476" s="13">
        <v>16892600</v>
      </c>
      <c r="AF476" s="13">
        <v>7433800</v>
      </c>
      <c r="AG476" s="12">
        <v>-6040424</v>
      </c>
      <c r="AH476" s="13">
        <v>6802312</v>
      </c>
      <c r="AI476" s="13">
        <v>41567500</v>
      </c>
      <c r="AJ476" s="8"/>
      <c r="AK476" s="10">
        <v>185710808.69999999</v>
      </c>
      <c r="AL476" s="10">
        <v>185710808.69999999</v>
      </c>
      <c r="AM476" s="10">
        <v>183022945204</v>
      </c>
      <c r="AN476" s="10">
        <v>247449983317.5</v>
      </c>
      <c r="AO476" s="10">
        <v>192537692895.60001</v>
      </c>
      <c r="AP476" s="10">
        <v>255056553434.39999</v>
      </c>
      <c r="AQ476" s="10">
        <v>181232410862.5</v>
      </c>
      <c r="AR476" s="10">
        <v>169317552047.25</v>
      </c>
      <c r="AS476" s="10">
        <v>139970143561.5</v>
      </c>
      <c r="AT476" s="10">
        <v>96159722194.949997</v>
      </c>
      <c r="AU476" s="8"/>
      <c r="AV476" s="14">
        <v>45291</v>
      </c>
      <c r="AW476" s="14">
        <v>45291</v>
      </c>
      <c r="AX476" s="14">
        <v>44926</v>
      </c>
      <c r="AY476" s="14">
        <v>44561</v>
      </c>
      <c r="AZ476" s="14">
        <v>44196</v>
      </c>
      <c r="BA476" s="14">
        <v>43830</v>
      </c>
      <c r="BB476" s="14">
        <v>43465</v>
      </c>
      <c r="BC476" s="14">
        <v>43100</v>
      </c>
      <c r="BD476" s="14">
        <v>42735</v>
      </c>
      <c r="BE476" s="14">
        <v>42369</v>
      </c>
      <c r="BF476" s="8"/>
      <c r="BG476" s="8" t="s">
        <v>35</v>
      </c>
      <c r="BH476" s="8" t="s">
        <v>35</v>
      </c>
      <c r="BI476" s="8" t="s">
        <v>35</v>
      </c>
      <c r="BJ476" s="8" t="s">
        <v>35</v>
      </c>
      <c r="BK476" s="8" t="s">
        <v>35</v>
      </c>
      <c r="BL476" s="8" t="s">
        <v>35</v>
      </c>
      <c r="BM476" s="8" t="s">
        <v>35</v>
      </c>
      <c r="BN476" s="8" t="s">
        <v>35</v>
      </c>
      <c r="BO476" s="8" t="s">
        <v>35</v>
      </c>
      <c r="BP476" s="8" t="s">
        <v>35</v>
      </c>
      <c r="BQ476" s="8" t="s">
        <v>31</v>
      </c>
      <c r="BR476" s="8" t="s">
        <v>36</v>
      </c>
      <c r="BS476" s="10">
        <v>1107019358560.8</v>
      </c>
      <c r="BT476" s="8" t="s">
        <v>61</v>
      </c>
      <c r="BU476" s="8"/>
      <c r="BV476" s="8" t="s">
        <v>27</v>
      </c>
      <c r="BW476" s="8" t="s">
        <v>42</v>
      </c>
      <c r="BX476" s="8" t="s">
        <v>27</v>
      </c>
      <c r="BY476" s="8" t="s">
        <v>27</v>
      </c>
      <c r="BZ476" s="8" t="s">
        <v>27</v>
      </c>
      <c r="CA476" s="8" t="s">
        <v>27</v>
      </c>
      <c r="CB476" s="8" t="s">
        <v>27</v>
      </c>
      <c r="CC476" s="8" t="s">
        <v>27</v>
      </c>
      <c r="CD476" s="8" t="s">
        <v>27</v>
      </c>
      <c r="CE476" s="8" t="s">
        <v>42</v>
      </c>
      <c r="CF476" s="8" t="s">
        <v>194</v>
      </c>
      <c r="CG476" s="8" t="s">
        <v>195</v>
      </c>
    </row>
    <row r="477" spans="1:85" ht="15.75" customHeight="1" x14ac:dyDescent="0.35">
      <c r="A477" s="8">
        <v>470</v>
      </c>
      <c r="B477" s="8" t="s">
        <v>672</v>
      </c>
      <c r="C477" s="8"/>
      <c r="D477" s="8"/>
      <c r="E477" s="8"/>
      <c r="F477" s="8"/>
      <c r="G477" s="8"/>
      <c r="H477" s="8"/>
      <c r="I477" s="8"/>
      <c r="J477" s="8"/>
      <c r="K477" s="9">
        <v>1.9000000000000001E-5</v>
      </c>
      <c r="L477" s="9">
        <v>1.9000000000000001E-5</v>
      </c>
      <c r="M477" s="9">
        <v>1.4E-5</v>
      </c>
      <c r="N477" s="8"/>
      <c r="O477" s="8"/>
      <c r="P477" s="8"/>
      <c r="Q477" s="8"/>
      <c r="R477" s="8"/>
      <c r="S477" s="8"/>
      <c r="T477" s="8"/>
      <c r="U477" s="8"/>
      <c r="V477" s="10">
        <v>1738000</v>
      </c>
      <c r="W477" s="10">
        <v>1738000</v>
      </c>
      <c r="X477" s="10">
        <v>1338800</v>
      </c>
      <c r="Y477" s="8"/>
      <c r="Z477" s="8"/>
      <c r="AA477" s="8"/>
      <c r="AB477" s="8"/>
      <c r="AC477" s="8"/>
      <c r="AD477" s="8"/>
      <c r="AE477" s="8"/>
      <c r="AF477" s="8"/>
      <c r="AG477" s="11">
        <v>0</v>
      </c>
      <c r="AH477" s="13">
        <v>399200</v>
      </c>
      <c r="AI477" s="11">
        <v>0</v>
      </c>
      <c r="AJ477" s="8"/>
      <c r="AK477" s="8"/>
      <c r="AL477" s="8"/>
      <c r="AM477" s="8"/>
      <c r="AN477" s="8"/>
      <c r="AO477" s="8"/>
      <c r="AP477" s="8"/>
      <c r="AQ477" s="8"/>
      <c r="AR477" s="10">
        <v>4877262465.6000004</v>
      </c>
      <c r="AS477" s="10">
        <v>4877262465.6000004</v>
      </c>
      <c r="AT477" s="10">
        <v>3188017513.5</v>
      </c>
      <c r="AU477" s="8"/>
      <c r="AV477" s="8"/>
      <c r="AW477" s="8"/>
      <c r="AX477" s="8"/>
      <c r="AY477" s="8"/>
      <c r="AZ477" s="8"/>
      <c r="BA477" s="8"/>
      <c r="BB477" s="8"/>
      <c r="BC477" s="14">
        <v>42613</v>
      </c>
      <c r="BD477" s="14">
        <v>42613</v>
      </c>
      <c r="BE477" s="14">
        <v>42216</v>
      </c>
      <c r="BF477" s="8"/>
      <c r="BG477" s="8"/>
      <c r="BH477" s="8"/>
      <c r="BI477" s="8"/>
      <c r="BJ477" s="8"/>
      <c r="BK477" s="8"/>
      <c r="BL477" s="8"/>
      <c r="BM477" s="8"/>
      <c r="BN477" s="8" t="s">
        <v>35</v>
      </c>
      <c r="BO477" s="8" t="s">
        <v>35</v>
      </c>
      <c r="BP477" s="8" t="s">
        <v>35</v>
      </c>
      <c r="BQ477" s="8" t="s">
        <v>31</v>
      </c>
      <c r="BR477" s="8" t="s">
        <v>49</v>
      </c>
      <c r="BS477" s="10">
        <v>2175192001758</v>
      </c>
      <c r="BT477" s="8" t="s">
        <v>91</v>
      </c>
      <c r="BU477" s="8"/>
      <c r="BV477" s="8"/>
      <c r="BW477" s="8"/>
      <c r="BX477" s="8"/>
      <c r="BY477" s="8"/>
      <c r="BZ477" s="8"/>
      <c r="CA477" s="8"/>
      <c r="CB477" s="8"/>
      <c r="CC477" s="8" t="s">
        <v>42</v>
      </c>
      <c r="CD477" s="8" t="s">
        <v>42</v>
      </c>
      <c r="CE477" s="8" t="s">
        <v>42</v>
      </c>
      <c r="CF477" s="8" t="s">
        <v>615</v>
      </c>
      <c r="CG477" s="8" t="s">
        <v>39</v>
      </c>
    </row>
    <row r="478" spans="1:85" ht="15.75" customHeight="1" x14ac:dyDescent="0.35">
      <c r="A478" s="8">
        <v>471</v>
      </c>
      <c r="B478" s="8" t="s">
        <v>673</v>
      </c>
      <c r="C478" s="8"/>
      <c r="D478" s="8"/>
      <c r="E478" s="8"/>
      <c r="F478" s="8"/>
      <c r="G478" s="8"/>
      <c r="H478" s="8"/>
      <c r="I478" s="8"/>
      <c r="J478" s="8"/>
      <c r="K478" s="9">
        <v>0</v>
      </c>
      <c r="L478" s="9">
        <v>0</v>
      </c>
      <c r="M478" s="9">
        <v>6.4999999999999994E-5</v>
      </c>
      <c r="N478" s="8"/>
      <c r="O478" s="8"/>
      <c r="P478" s="8"/>
      <c r="Q478" s="8"/>
      <c r="R478" s="8"/>
      <c r="S478" s="8"/>
      <c r="T478" s="8"/>
      <c r="U478" s="8"/>
      <c r="V478" s="10">
        <v>0</v>
      </c>
      <c r="W478" s="10">
        <v>0</v>
      </c>
      <c r="X478" s="10">
        <v>6000000</v>
      </c>
      <c r="Y478" s="8"/>
      <c r="Z478" s="8"/>
      <c r="AA478" s="8"/>
      <c r="AB478" s="8"/>
      <c r="AC478" s="8"/>
      <c r="AD478" s="8"/>
      <c r="AE478" s="8"/>
      <c r="AF478" s="8"/>
      <c r="AG478" s="11">
        <v>0</v>
      </c>
      <c r="AH478" s="12">
        <v>-6000000</v>
      </c>
      <c r="AI478" s="11">
        <v>0</v>
      </c>
      <c r="AJ478" s="8"/>
      <c r="AK478" s="8"/>
      <c r="AL478" s="8"/>
      <c r="AM478" s="8"/>
      <c r="AN478" s="8"/>
      <c r="AO478" s="8"/>
      <c r="AP478" s="8"/>
      <c r="AQ478" s="8"/>
      <c r="AR478" s="10">
        <v>0</v>
      </c>
      <c r="AS478" s="10">
        <v>0</v>
      </c>
      <c r="AT478" s="10">
        <v>13880034479.25</v>
      </c>
      <c r="AU478" s="8"/>
      <c r="AV478" s="8"/>
      <c r="AW478" s="8"/>
      <c r="AX478" s="8"/>
      <c r="AY478" s="8"/>
      <c r="AZ478" s="8"/>
      <c r="BA478" s="8"/>
      <c r="BB478" s="8"/>
      <c r="BC478" s="14">
        <v>42613</v>
      </c>
      <c r="BD478" s="14">
        <v>42613</v>
      </c>
      <c r="BE478" s="14">
        <v>42369</v>
      </c>
      <c r="BF478" s="8"/>
      <c r="BG478" s="8"/>
      <c r="BH478" s="8"/>
      <c r="BI478" s="8"/>
      <c r="BJ478" s="8"/>
      <c r="BK478" s="8"/>
      <c r="BL478" s="8"/>
      <c r="BM478" s="8"/>
      <c r="BN478" s="8" t="s">
        <v>35</v>
      </c>
      <c r="BO478" s="8" t="s">
        <v>35</v>
      </c>
      <c r="BP478" s="8" t="s">
        <v>35</v>
      </c>
      <c r="BQ478" s="8" t="s">
        <v>31</v>
      </c>
      <c r="BR478" s="8" t="s">
        <v>36</v>
      </c>
      <c r="BS478" s="10">
        <v>406532867988</v>
      </c>
      <c r="BT478" s="8"/>
      <c r="BU478" s="8"/>
      <c r="BV478" s="8"/>
      <c r="BW478" s="8"/>
      <c r="BX478" s="8"/>
      <c r="BY478" s="8"/>
      <c r="BZ478" s="8"/>
      <c r="CA478" s="8"/>
      <c r="CB478" s="8"/>
      <c r="CC478" s="8" t="s">
        <v>43</v>
      </c>
      <c r="CD478" s="8" t="s">
        <v>42</v>
      </c>
      <c r="CE478" s="8" t="s">
        <v>43</v>
      </c>
      <c r="CF478" s="8" t="s">
        <v>382</v>
      </c>
      <c r="CG478" s="8" t="s">
        <v>383</v>
      </c>
    </row>
    <row r="479" spans="1:85" ht="15.75" customHeight="1" x14ac:dyDescent="0.35">
      <c r="A479" s="8">
        <v>472</v>
      </c>
      <c r="B479" s="8" t="s">
        <v>674</v>
      </c>
      <c r="C479" s="8"/>
      <c r="D479" s="8"/>
      <c r="E479" s="8"/>
      <c r="F479" s="8"/>
      <c r="G479" s="8"/>
      <c r="H479" s="8"/>
      <c r="I479" s="8"/>
      <c r="J479" s="8"/>
      <c r="K479" s="8"/>
      <c r="L479" s="9">
        <v>3.0000000000000001E-5</v>
      </c>
      <c r="M479" s="9">
        <v>3.0000000000000001E-5</v>
      </c>
      <c r="N479" s="8"/>
      <c r="O479" s="8"/>
      <c r="P479" s="8"/>
      <c r="Q479" s="8"/>
      <c r="R479" s="8"/>
      <c r="S479" s="8"/>
      <c r="T479" s="8"/>
      <c r="U479" s="8"/>
      <c r="V479" s="8"/>
      <c r="W479" s="10">
        <v>2762000</v>
      </c>
      <c r="X479" s="10">
        <v>2762000</v>
      </c>
      <c r="Y479" s="8"/>
      <c r="Z479" s="8"/>
      <c r="AA479" s="8"/>
      <c r="AB479" s="8"/>
      <c r="AC479" s="8"/>
      <c r="AD479" s="8"/>
      <c r="AE479" s="8"/>
      <c r="AF479" s="8"/>
      <c r="AG479" s="8"/>
      <c r="AH479" s="11">
        <v>0</v>
      </c>
      <c r="AI479" s="11">
        <v>0</v>
      </c>
      <c r="AJ479" s="8"/>
      <c r="AK479" s="8"/>
      <c r="AL479" s="8"/>
      <c r="AM479" s="8"/>
      <c r="AN479" s="8"/>
      <c r="AO479" s="8"/>
      <c r="AP479" s="8"/>
      <c r="AQ479" s="8"/>
      <c r="AR479" s="8"/>
      <c r="AS479" s="10">
        <v>5869249943.6999998</v>
      </c>
      <c r="AT479" s="10">
        <v>5869249943.6999998</v>
      </c>
      <c r="AU479" s="8"/>
      <c r="AV479" s="8"/>
      <c r="AW479" s="8"/>
      <c r="AX479" s="8"/>
      <c r="AY479" s="8"/>
      <c r="AZ479" s="8"/>
      <c r="BA479" s="8"/>
      <c r="BB479" s="8"/>
      <c r="BC479" s="8"/>
      <c r="BD479" s="14">
        <v>42338</v>
      </c>
      <c r="BE479" s="14">
        <v>42338</v>
      </c>
      <c r="BF479" s="8"/>
      <c r="BG479" s="8"/>
      <c r="BH479" s="8"/>
      <c r="BI479" s="8"/>
      <c r="BJ479" s="8"/>
      <c r="BK479" s="8"/>
      <c r="BL479" s="8"/>
      <c r="BM479" s="8"/>
      <c r="BN479" s="8"/>
      <c r="BO479" s="8" t="s">
        <v>35</v>
      </c>
      <c r="BP479" s="8" t="s">
        <v>35</v>
      </c>
      <c r="BQ479" s="8" t="s">
        <v>31</v>
      </c>
      <c r="BR479" s="8" t="s">
        <v>49</v>
      </c>
      <c r="BS479" s="10">
        <v>9813499634088</v>
      </c>
      <c r="BT479" s="8" t="s">
        <v>41</v>
      </c>
      <c r="BU479" s="8"/>
      <c r="BV479" s="8"/>
      <c r="BW479" s="8"/>
      <c r="BX479" s="8"/>
      <c r="BY479" s="8"/>
      <c r="BZ479" s="8"/>
      <c r="CA479" s="8"/>
      <c r="CB479" s="8"/>
      <c r="CC479" s="8"/>
      <c r="CD479" s="8" t="s">
        <v>27</v>
      </c>
      <c r="CE479" s="8" t="s">
        <v>27</v>
      </c>
      <c r="CF479" s="8" t="s">
        <v>50</v>
      </c>
      <c r="CG479" s="8" t="s">
        <v>51</v>
      </c>
    </row>
    <row r="480" spans="1:85" ht="15.75" customHeight="1" x14ac:dyDescent="0.35">
      <c r="A480" s="8">
        <v>473</v>
      </c>
      <c r="B480" s="8" t="s">
        <v>675</v>
      </c>
      <c r="C480" s="8"/>
      <c r="D480" s="9">
        <v>1.9999999999999999E-6</v>
      </c>
      <c r="E480" s="9">
        <v>1.9999999999999999E-6</v>
      </c>
      <c r="F480" s="9">
        <v>1.9999999999999999E-6</v>
      </c>
      <c r="G480" s="8"/>
      <c r="H480" s="8"/>
      <c r="I480" s="8"/>
      <c r="J480" s="8"/>
      <c r="K480" s="8"/>
      <c r="L480" s="8"/>
      <c r="M480" s="9">
        <v>0</v>
      </c>
      <c r="N480" s="8"/>
      <c r="O480" s="10">
        <v>145000</v>
      </c>
      <c r="P480" s="10">
        <v>145000</v>
      </c>
      <c r="Q480" s="10">
        <v>145000</v>
      </c>
      <c r="R480" s="8"/>
      <c r="S480" s="8"/>
      <c r="T480" s="8"/>
      <c r="U480" s="8"/>
      <c r="V480" s="8"/>
      <c r="W480" s="8"/>
      <c r="X480" s="10">
        <v>0</v>
      </c>
      <c r="Y480" s="8"/>
      <c r="Z480" s="11">
        <v>0</v>
      </c>
      <c r="AA480" s="11">
        <v>0</v>
      </c>
      <c r="AB480" s="13">
        <v>145000</v>
      </c>
      <c r="AC480" s="8"/>
      <c r="AD480" s="8"/>
      <c r="AE480" s="8"/>
      <c r="AF480" s="8"/>
      <c r="AG480" s="8"/>
      <c r="AH480" s="8"/>
      <c r="AI480" s="11">
        <v>0</v>
      </c>
      <c r="AJ480" s="8"/>
      <c r="AK480" s="10">
        <v>753999998</v>
      </c>
      <c r="AL480" s="10">
        <v>753999998</v>
      </c>
      <c r="AM480" s="10">
        <v>719562478.79999995</v>
      </c>
      <c r="AN480" s="8"/>
      <c r="AO480" s="8"/>
      <c r="AP480" s="8"/>
      <c r="AQ480" s="8"/>
      <c r="AR480" s="8"/>
      <c r="AS480" s="8"/>
      <c r="AT480" s="10">
        <v>0</v>
      </c>
      <c r="AU480" s="8"/>
      <c r="AV480" s="14">
        <v>45107</v>
      </c>
      <c r="AW480" s="14">
        <v>45107</v>
      </c>
      <c r="AX480" s="14">
        <v>44926</v>
      </c>
      <c r="AY480" s="8"/>
      <c r="AZ480" s="8"/>
      <c r="BA480" s="8"/>
      <c r="BB480" s="8"/>
      <c r="BC480" s="8"/>
      <c r="BD480" s="8"/>
      <c r="BE480" s="14">
        <v>41943</v>
      </c>
      <c r="BF480" s="8"/>
      <c r="BG480" s="8" t="s">
        <v>35</v>
      </c>
      <c r="BH480" s="8" t="s">
        <v>35</v>
      </c>
      <c r="BI480" s="8" t="s">
        <v>35</v>
      </c>
      <c r="BJ480" s="8"/>
      <c r="BK480" s="8"/>
      <c r="BL480" s="8"/>
      <c r="BM480" s="8"/>
      <c r="BN480" s="8"/>
      <c r="BO480" s="8"/>
      <c r="BP480" s="8" t="s">
        <v>35</v>
      </c>
      <c r="BQ480" s="8" t="s">
        <v>31</v>
      </c>
      <c r="BR480" s="8" t="s">
        <v>36</v>
      </c>
      <c r="BS480" s="10">
        <v>9390415949030.4004</v>
      </c>
      <c r="BT480" s="8"/>
      <c r="BU480" s="8"/>
      <c r="BV480" s="8" t="s">
        <v>27</v>
      </c>
      <c r="BW480" s="8" t="s">
        <v>42</v>
      </c>
      <c r="BX480" s="8" t="s">
        <v>43</v>
      </c>
      <c r="BY480" s="8"/>
      <c r="BZ480" s="8"/>
      <c r="CA480" s="8"/>
      <c r="CB480" s="8"/>
      <c r="CC480" s="8"/>
      <c r="CD480" s="8"/>
      <c r="CE480" s="8" t="s">
        <v>42</v>
      </c>
      <c r="CF480" s="8" t="s">
        <v>373</v>
      </c>
      <c r="CG480" s="8" t="s">
        <v>181</v>
      </c>
    </row>
    <row r="481" spans="1:85" ht="15.75" customHeight="1" x14ac:dyDescent="0.35">
      <c r="A481" s="8">
        <v>474</v>
      </c>
      <c r="B481" s="8" t="s">
        <v>676</v>
      </c>
      <c r="C481" s="8"/>
      <c r="D481" s="8"/>
      <c r="E481" s="8"/>
      <c r="F481" s="8"/>
      <c r="G481" s="8"/>
      <c r="H481" s="8"/>
      <c r="I481" s="8"/>
      <c r="J481" s="9">
        <v>0</v>
      </c>
      <c r="K481" s="9">
        <v>0</v>
      </c>
      <c r="L481" s="9">
        <v>2.5999999999999998E-5</v>
      </c>
      <c r="M481" s="9">
        <v>1.5999999999999999E-5</v>
      </c>
      <c r="N481" s="8"/>
      <c r="O481" s="8"/>
      <c r="P481" s="8"/>
      <c r="Q481" s="8"/>
      <c r="R481" s="8"/>
      <c r="S481" s="8"/>
      <c r="T481" s="8"/>
      <c r="U481" s="10">
        <v>0</v>
      </c>
      <c r="V481" s="10">
        <v>0</v>
      </c>
      <c r="W481" s="10">
        <v>2376320</v>
      </c>
      <c r="X481" s="10">
        <v>1463976</v>
      </c>
      <c r="Y481" s="8"/>
      <c r="Z481" s="8"/>
      <c r="AA481" s="8"/>
      <c r="AB481" s="8"/>
      <c r="AC481" s="8"/>
      <c r="AD481" s="8"/>
      <c r="AE481" s="8"/>
      <c r="AF481" s="11">
        <v>0</v>
      </c>
      <c r="AG481" s="12">
        <v>-2376320</v>
      </c>
      <c r="AH481" s="13">
        <v>912344</v>
      </c>
      <c r="AI481" s="13">
        <v>294124</v>
      </c>
      <c r="AJ481" s="8"/>
      <c r="AK481" s="8"/>
      <c r="AL481" s="8"/>
      <c r="AM481" s="8"/>
      <c r="AN481" s="8"/>
      <c r="AO481" s="8"/>
      <c r="AP481" s="8"/>
      <c r="AQ481" s="10">
        <v>0</v>
      </c>
      <c r="AR481" s="10">
        <v>0</v>
      </c>
      <c r="AS481" s="10">
        <v>6876475948.8000002</v>
      </c>
      <c r="AT481" s="10">
        <v>3386672884.1999998</v>
      </c>
      <c r="AU481" s="8"/>
      <c r="AV481" s="8"/>
      <c r="AW481" s="8"/>
      <c r="AX481" s="8"/>
      <c r="AY481" s="8"/>
      <c r="AZ481" s="8"/>
      <c r="BA481" s="8"/>
      <c r="BB481" s="14">
        <v>43100</v>
      </c>
      <c r="BC481" s="14">
        <v>43100</v>
      </c>
      <c r="BD481" s="14">
        <v>42735</v>
      </c>
      <c r="BE481" s="14">
        <v>42369</v>
      </c>
      <c r="BF481" s="8"/>
      <c r="BG481" s="8"/>
      <c r="BH481" s="8"/>
      <c r="BI481" s="8"/>
      <c r="BJ481" s="8"/>
      <c r="BK481" s="8"/>
      <c r="BL481" s="8"/>
      <c r="BM481" s="8" t="s">
        <v>35</v>
      </c>
      <c r="BN481" s="8" t="s">
        <v>35</v>
      </c>
      <c r="BO481" s="8" t="s">
        <v>35</v>
      </c>
      <c r="BP481" s="8" t="s">
        <v>35</v>
      </c>
      <c r="BQ481" s="8" t="s">
        <v>31</v>
      </c>
      <c r="BR481" s="8" t="s">
        <v>36</v>
      </c>
      <c r="BS481" s="10">
        <v>99906613118373.594</v>
      </c>
      <c r="BT481" s="8" t="s">
        <v>41</v>
      </c>
      <c r="BU481" s="8"/>
      <c r="BV481" s="8"/>
      <c r="BW481" s="8"/>
      <c r="BX481" s="8"/>
      <c r="BY481" s="8"/>
      <c r="BZ481" s="8"/>
      <c r="CA481" s="8"/>
      <c r="CB481" s="8" t="s">
        <v>42</v>
      </c>
      <c r="CC481" s="8" t="s">
        <v>42</v>
      </c>
      <c r="CD481" s="8" t="s">
        <v>42</v>
      </c>
      <c r="CE481" s="8" t="s">
        <v>42</v>
      </c>
      <c r="CF481" s="8" t="s">
        <v>346</v>
      </c>
      <c r="CG481" s="8" t="s">
        <v>347</v>
      </c>
    </row>
    <row r="482" spans="1:85" ht="15.75" customHeight="1" x14ac:dyDescent="0.35">
      <c r="A482" s="8">
        <v>475</v>
      </c>
      <c r="B482" s="8" t="s">
        <v>677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>
        <v>2.5999999999999998E-5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10">
        <v>2396000</v>
      </c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11">
        <v>0</v>
      </c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10">
        <v>6589000065.5500002</v>
      </c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14">
        <v>42035</v>
      </c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 t="s">
        <v>35</v>
      </c>
      <c r="BQ482" s="8" t="s">
        <v>31</v>
      </c>
      <c r="BR482" s="8" t="s">
        <v>49</v>
      </c>
      <c r="BS482" s="10">
        <v>1468219058170.8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 t="s">
        <v>42</v>
      </c>
      <c r="CF482" s="8" t="s">
        <v>572</v>
      </c>
      <c r="CG482" s="8" t="s">
        <v>39</v>
      </c>
    </row>
    <row r="483" spans="1:85" ht="15.75" customHeight="1" x14ac:dyDescent="0.35">
      <c r="A483" s="8">
        <v>476</v>
      </c>
      <c r="B483" s="8" t="s">
        <v>678</v>
      </c>
      <c r="C483" s="8"/>
      <c r="D483" s="8"/>
      <c r="E483" s="8"/>
      <c r="F483" s="9">
        <v>0</v>
      </c>
      <c r="G483" s="9">
        <v>0</v>
      </c>
      <c r="H483" s="9">
        <v>3.0000000000000001E-5</v>
      </c>
      <c r="I483" s="9">
        <v>1.2999999999999999E-5</v>
      </c>
      <c r="J483" s="9">
        <v>9.2E-5</v>
      </c>
      <c r="K483" s="9">
        <v>1.08E-4</v>
      </c>
      <c r="L483" s="9">
        <v>0</v>
      </c>
      <c r="M483" s="9">
        <v>1.05E-4</v>
      </c>
      <c r="N483" s="8"/>
      <c r="O483" s="8"/>
      <c r="P483" s="8"/>
      <c r="Q483" s="10">
        <v>0</v>
      </c>
      <c r="R483" s="10">
        <v>0</v>
      </c>
      <c r="S483" s="10">
        <v>2790600</v>
      </c>
      <c r="T483" s="10">
        <v>1199600</v>
      </c>
      <c r="U483" s="10">
        <v>8469872</v>
      </c>
      <c r="V483" s="10">
        <v>10022072</v>
      </c>
      <c r="W483" s="10">
        <v>72</v>
      </c>
      <c r="X483" s="10">
        <v>9688872</v>
      </c>
      <c r="Y483" s="8"/>
      <c r="Z483" s="8"/>
      <c r="AA483" s="8"/>
      <c r="AB483" s="11">
        <v>0</v>
      </c>
      <c r="AC483" s="12">
        <v>-2790600</v>
      </c>
      <c r="AD483" s="13">
        <v>1591000</v>
      </c>
      <c r="AE483" s="12">
        <v>-7270272</v>
      </c>
      <c r="AF483" s="12">
        <v>-1552200</v>
      </c>
      <c r="AG483" s="13">
        <v>10022000</v>
      </c>
      <c r="AH483" s="12">
        <v>-9688800</v>
      </c>
      <c r="AI483" s="13">
        <v>9688872</v>
      </c>
      <c r="AJ483" s="8"/>
      <c r="AK483" s="8"/>
      <c r="AL483" s="8"/>
      <c r="AM483" s="10">
        <v>0</v>
      </c>
      <c r="AN483" s="10">
        <v>0</v>
      </c>
      <c r="AO483" s="10">
        <v>8825272466.3999996</v>
      </c>
      <c r="AP483" s="10">
        <v>4590236617.1999998</v>
      </c>
      <c r="AQ483" s="10">
        <v>30846402418.75</v>
      </c>
      <c r="AR483" s="10">
        <v>40088288011.800003</v>
      </c>
      <c r="AS483" s="10">
        <v>208380.9</v>
      </c>
      <c r="AT483" s="10">
        <v>22413646173.150002</v>
      </c>
      <c r="AU483" s="8"/>
      <c r="AV483" s="8"/>
      <c r="AW483" s="8"/>
      <c r="AX483" s="14">
        <v>44347</v>
      </c>
      <c r="AY483" s="14">
        <v>44347</v>
      </c>
      <c r="AZ483" s="14">
        <v>44196</v>
      </c>
      <c r="BA483" s="14">
        <v>43830</v>
      </c>
      <c r="BB483" s="14">
        <v>43465</v>
      </c>
      <c r="BC483" s="14">
        <v>43100</v>
      </c>
      <c r="BD483" s="14">
        <v>42735</v>
      </c>
      <c r="BE483" s="14">
        <v>42369</v>
      </c>
      <c r="BF483" s="8"/>
      <c r="BG483" s="8"/>
      <c r="BH483" s="8"/>
      <c r="BI483" s="8" t="s">
        <v>35</v>
      </c>
      <c r="BJ483" s="8" t="s">
        <v>35</v>
      </c>
      <c r="BK483" s="8" t="s">
        <v>35</v>
      </c>
      <c r="BL483" s="8" t="s">
        <v>35</v>
      </c>
      <c r="BM483" s="8" t="s">
        <v>35</v>
      </c>
      <c r="BN483" s="8" t="s">
        <v>35</v>
      </c>
      <c r="BO483" s="8" t="s">
        <v>35</v>
      </c>
      <c r="BP483" s="8" t="s">
        <v>35</v>
      </c>
      <c r="BQ483" s="8" t="s">
        <v>31</v>
      </c>
      <c r="BR483" s="8" t="s">
        <v>53</v>
      </c>
      <c r="BS483" s="10">
        <v>689224673902765</v>
      </c>
      <c r="BT483" s="8" t="s">
        <v>37</v>
      </c>
      <c r="BU483" s="8"/>
      <c r="BV483" s="8"/>
      <c r="BW483" s="8"/>
      <c r="BX483" s="8" t="s">
        <v>27</v>
      </c>
      <c r="BY483" s="8" t="s">
        <v>27</v>
      </c>
      <c r="BZ483" s="8" t="s">
        <v>27</v>
      </c>
      <c r="CA483" s="8" t="s">
        <v>27</v>
      </c>
      <c r="CB483" s="8" t="s">
        <v>27</v>
      </c>
      <c r="CC483" s="8" t="s">
        <v>27</v>
      </c>
      <c r="CD483" s="8" t="s">
        <v>27</v>
      </c>
      <c r="CE483" s="8" t="s">
        <v>27</v>
      </c>
      <c r="CF483" s="8" t="s">
        <v>212</v>
      </c>
      <c r="CG483" s="8" t="s">
        <v>213</v>
      </c>
    </row>
    <row r="484" spans="1:85" ht="15.75" customHeight="1" x14ac:dyDescent="0.35">
      <c r="A484" s="8">
        <v>477</v>
      </c>
      <c r="B484" s="8" t="s">
        <v>679</v>
      </c>
      <c r="C484" s="8"/>
      <c r="D484" s="8"/>
      <c r="E484" s="8"/>
      <c r="F484" s="8"/>
      <c r="G484" s="8"/>
      <c r="H484" s="8"/>
      <c r="I484" s="8"/>
      <c r="J484" s="9">
        <v>6.8999999999999997E-5</v>
      </c>
      <c r="K484" s="9">
        <v>6.8999999999999997E-5</v>
      </c>
      <c r="L484" s="9">
        <v>1.5300000000000001E-4</v>
      </c>
      <c r="M484" s="9">
        <v>9.8999999999999994E-5</v>
      </c>
      <c r="N484" s="8"/>
      <c r="O484" s="8"/>
      <c r="P484" s="8"/>
      <c r="Q484" s="8"/>
      <c r="R484" s="8"/>
      <c r="S484" s="8"/>
      <c r="T484" s="8"/>
      <c r="U484" s="10">
        <v>6331200</v>
      </c>
      <c r="V484" s="10">
        <v>6331200</v>
      </c>
      <c r="W484" s="10">
        <v>14122400</v>
      </c>
      <c r="X484" s="10">
        <v>9175200</v>
      </c>
      <c r="Y484" s="8"/>
      <c r="Z484" s="8"/>
      <c r="AA484" s="8"/>
      <c r="AB484" s="8"/>
      <c r="AC484" s="8"/>
      <c r="AD484" s="8"/>
      <c r="AE484" s="8"/>
      <c r="AF484" s="11">
        <v>0</v>
      </c>
      <c r="AG484" s="12">
        <v>-7791200</v>
      </c>
      <c r="AH484" s="13">
        <v>4947200</v>
      </c>
      <c r="AI484" s="12">
        <v>-28</v>
      </c>
      <c r="AJ484" s="8"/>
      <c r="AK484" s="8"/>
      <c r="AL484" s="8"/>
      <c r="AM484" s="8"/>
      <c r="AN484" s="8"/>
      <c r="AO484" s="8"/>
      <c r="AP484" s="8"/>
      <c r="AQ484" s="10">
        <v>21288660018.299999</v>
      </c>
      <c r="AR484" s="10">
        <v>21288660018.299999</v>
      </c>
      <c r="AS484" s="10">
        <v>37071300015</v>
      </c>
      <c r="AT484" s="10">
        <v>21225348708.299999</v>
      </c>
      <c r="AU484" s="8"/>
      <c r="AV484" s="8"/>
      <c r="AW484" s="8"/>
      <c r="AX484" s="8"/>
      <c r="AY484" s="8"/>
      <c r="AZ484" s="8"/>
      <c r="BA484" s="8"/>
      <c r="BB484" s="14">
        <v>43008</v>
      </c>
      <c r="BC484" s="14">
        <v>43008</v>
      </c>
      <c r="BD484" s="14">
        <v>42704</v>
      </c>
      <c r="BE484" s="14">
        <v>42369</v>
      </c>
      <c r="BF484" s="8"/>
      <c r="BG484" s="8"/>
      <c r="BH484" s="8"/>
      <c r="BI484" s="8"/>
      <c r="BJ484" s="8"/>
      <c r="BK484" s="8"/>
      <c r="BL484" s="8"/>
      <c r="BM484" s="8" t="s">
        <v>35</v>
      </c>
      <c r="BN484" s="8" t="s">
        <v>35</v>
      </c>
      <c r="BO484" s="8" t="s">
        <v>35</v>
      </c>
      <c r="BP484" s="8" t="s">
        <v>35</v>
      </c>
      <c r="BQ484" s="8" t="s">
        <v>31</v>
      </c>
      <c r="BR484" s="8" t="s">
        <v>36</v>
      </c>
      <c r="BS484" s="10">
        <v>1082280339666</v>
      </c>
      <c r="BT484" s="8" t="s">
        <v>57</v>
      </c>
      <c r="BU484" s="8"/>
      <c r="BV484" s="8"/>
      <c r="BW484" s="8"/>
      <c r="BX484" s="8"/>
      <c r="BY484" s="8"/>
      <c r="BZ484" s="8"/>
      <c r="CA484" s="8"/>
      <c r="CB484" s="8" t="s">
        <v>43</v>
      </c>
      <c r="CC484" s="8" t="s">
        <v>42</v>
      </c>
      <c r="CD484" s="8" t="s">
        <v>42</v>
      </c>
      <c r="CE484" s="8" t="s">
        <v>42</v>
      </c>
      <c r="CF484" s="8" t="s">
        <v>65</v>
      </c>
      <c r="CG484" s="8" t="s">
        <v>65</v>
      </c>
    </row>
    <row r="485" spans="1:85" ht="15.75" customHeight="1" x14ac:dyDescent="0.35">
      <c r="A485" s="8">
        <v>478</v>
      </c>
      <c r="B485" s="8" t="s">
        <v>680</v>
      </c>
      <c r="C485" s="8"/>
      <c r="D485" s="9">
        <v>0</v>
      </c>
      <c r="E485" s="9">
        <v>0</v>
      </c>
      <c r="F485" s="9">
        <v>7.3999999999999996E-5</v>
      </c>
      <c r="G485" s="8"/>
      <c r="H485" s="8"/>
      <c r="I485" s="8"/>
      <c r="J485" s="9">
        <v>0</v>
      </c>
      <c r="K485" s="9">
        <v>0</v>
      </c>
      <c r="L485" s="9">
        <v>0</v>
      </c>
      <c r="M485" s="9">
        <v>0</v>
      </c>
      <c r="N485" s="8"/>
      <c r="O485" s="10">
        <v>0</v>
      </c>
      <c r="P485" s="10">
        <v>0</v>
      </c>
      <c r="Q485" s="10">
        <v>6796600</v>
      </c>
      <c r="R485" s="8"/>
      <c r="S485" s="8"/>
      <c r="T485" s="8"/>
      <c r="U485" s="10">
        <v>0</v>
      </c>
      <c r="V485" s="10">
        <v>0</v>
      </c>
      <c r="W485" s="10">
        <v>0</v>
      </c>
      <c r="X485" s="10">
        <v>0</v>
      </c>
      <c r="Y485" s="8"/>
      <c r="Z485" s="11">
        <v>0</v>
      </c>
      <c r="AA485" s="12">
        <v>-6796600</v>
      </c>
      <c r="AB485" s="13">
        <v>6796600</v>
      </c>
      <c r="AC485" s="8"/>
      <c r="AD485" s="8"/>
      <c r="AE485" s="8"/>
      <c r="AF485" s="11">
        <v>0</v>
      </c>
      <c r="AG485" s="11">
        <v>0</v>
      </c>
      <c r="AH485" s="11">
        <v>0</v>
      </c>
      <c r="AI485" s="11">
        <v>0</v>
      </c>
      <c r="AJ485" s="8"/>
      <c r="AK485" s="10">
        <v>0</v>
      </c>
      <c r="AL485" s="10">
        <v>0</v>
      </c>
      <c r="AM485" s="10">
        <v>33728127544.099998</v>
      </c>
      <c r="AN485" s="8"/>
      <c r="AO485" s="8"/>
      <c r="AP485" s="8"/>
      <c r="AQ485" s="10">
        <v>0</v>
      </c>
      <c r="AR485" s="10">
        <v>0</v>
      </c>
      <c r="AS485" s="10">
        <v>0</v>
      </c>
      <c r="AT485" s="10">
        <v>0</v>
      </c>
      <c r="AU485" s="8"/>
      <c r="AV485" s="14">
        <v>45016</v>
      </c>
      <c r="AW485" s="14">
        <v>45016</v>
      </c>
      <c r="AX485" s="14">
        <v>44926</v>
      </c>
      <c r="AY485" s="8"/>
      <c r="AZ485" s="8"/>
      <c r="BA485" s="8"/>
      <c r="BB485" s="14">
        <v>43039</v>
      </c>
      <c r="BC485" s="14">
        <v>43039</v>
      </c>
      <c r="BD485" s="14">
        <v>42460</v>
      </c>
      <c r="BE485" s="14">
        <v>42185</v>
      </c>
      <c r="BF485" s="8"/>
      <c r="BG485" s="8" t="s">
        <v>35</v>
      </c>
      <c r="BH485" s="8" t="s">
        <v>35</v>
      </c>
      <c r="BI485" s="8" t="s">
        <v>35</v>
      </c>
      <c r="BJ485" s="8"/>
      <c r="BK485" s="8"/>
      <c r="BL485" s="8"/>
      <c r="BM485" s="8" t="s">
        <v>35</v>
      </c>
      <c r="BN485" s="8" t="s">
        <v>35</v>
      </c>
      <c r="BO485" s="8" t="s">
        <v>35</v>
      </c>
      <c r="BP485" s="8" t="s">
        <v>35</v>
      </c>
      <c r="BQ485" s="8" t="s">
        <v>31</v>
      </c>
      <c r="BR485" s="8" t="s">
        <v>36</v>
      </c>
      <c r="BS485" s="10">
        <v>23497950</v>
      </c>
      <c r="BT485" s="8"/>
      <c r="BU485" s="8"/>
      <c r="BV485" s="8" t="s">
        <v>27</v>
      </c>
      <c r="BW485" s="8" t="s">
        <v>27</v>
      </c>
      <c r="BX485" s="8" t="s">
        <v>27</v>
      </c>
      <c r="BY485" s="8"/>
      <c r="BZ485" s="8"/>
      <c r="CA485" s="8"/>
      <c r="CB485" s="8" t="s">
        <v>42</v>
      </c>
      <c r="CC485" s="8" t="s">
        <v>42</v>
      </c>
      <c r="CD485" s="8" t="s">
        <v>42</v>
      </c>
      <c r="CE485" s="8" t="s">
        <v>42</v>
      </c>
      <c r="CF485" s="8" t="s">
        <v>85</v>
      </c>
      <c r="CG485" s="8" t="s">
        <v>39</v>
      </c>
    </row>
    <row r="486" spans="1:85" ht="15.75" customHeight="1" x14ac:dyDescent="0.35">
      <c r="A486" s="8">
        <v>479</v>
      </c>
      <c r="B486" s="8" t="s">
        <v>681</v>
      </c>
      <c r="C486" s="8"/>
      <c r="D486" s="8"/>
      <c r="E486" s="8"/>
      <c r="F486" s="8"/>
      <c r="G486" s="8"/>
      <c r="H486" s="8"/>
      <c r="I486" s="8"/>
      <c r="J486" s="9">
        <v>5.0000000000000004E-6</v>
      </c>
      <c r="K486" s="9">
        <v>5.0000000000000004E-6</v>
      </c>
      <c r="L486" s="8"/>
      <c r="M486" s="9">
        <v>0</v>
      </c>
      <c r="N486" s="8"/>
      <c r="O486" s="8"/>
      <c r="P486" s="8"/>
      <c r="Q486" s="8"/>
      <c r="R486" s="8"/>
      <c r="S486" s="8"/>
      <c r="T486" s="8"/>
      <c r="U486" s="10">
        <v>483200</v>
      </c>
      <c r="V486" s="10">
        <v>483200</v>
      </c>
      <c r="W486" s="8"/>
      <c r="X486" s="10">
        <v>0</v>
      </c>
      <c r="Y486" s="8"/>
      <c r="Z486" s="8"/>
      <c r="AA486" s="8"/>
      <c r="AB486" s="8"/>
      <c r="AC486" s="8"/>
      <c r="AD486" s="8"/>
      <c r="AE486" s="8"/>
      <c r="AF486" s="11">
        <v>0</v>
      </c>
      <c r="AG486" s="13">
        <v>483200</v>
      </c>
      <c r="AH486" s="8"/>
      <c r="AI486" s="11">
        <v>0</v>
      </c>
      <c r="AJ486" s="8"/>
      <c r="AK486" s="8"/>
      <c r="AL486" s="8"/>
      <c r="AM486" s="8"/>
      <c r="AN486" s="8"/>
      <c r="AO486" s="8"/>
      <c r="AP486" s="8"/>
      <c r="AQ486" s="10">
        <v>1582479943.8</v>
      </c>
      <c r="AR486" s="10">
        <v>1582479943.8</v>
      </c>
      <c r="AS486" s="8"/>
      <c r="AT486" s="10">
        <v>0</v>
      </c>
      <c r="AU486" s="8"/>
      <c r="AV486" s="8"/>
      <c r="AW486" s="8"/>
      <c r="AX486" s="8"/>
      <c r="AY486" s="8"/>
      <c r="AZ486" s="8"/>
      <c r="BA486" s="8"/>
      <c r="BB486" s="14">
        <v>42978</v>
      </c>
      <c r="BC486" s="14">
        <v>42978</v>
      </c>
      <c r="BD486" s="8"/>
      <c r="BE486" s="14">
        <v>41882</v>
      </c>
      <c r="BF486" s="8"/>
      <c r="BG486" s="8"/>
      <c r="BH486" s="8"/>
      <c r="BI486" s="8"/>
      <c r="BJ486" s="8"/>
      <c r="BK486" s="8"/>
      <c r="BL486" s="8"/>
      <c r="BM486" s="8" t="s">
        <v>35</v>
      </c>
      <c r="BN486" s="8" t="s">
        <v>35</v>
      </c>
      <c r="BO486" s="8"/>
      <c r="BP486" s="8" t="s">
        <v>35</v>
      </c>
      <c r="BQ486" s="8" t="s">
        <v>31</v>
      </c>
      <c r="BR486" s="8" t="s">
        <v>36</v>
      </c>
      <c r="BS486" s="10">
        <v>57562005358885.203</v>
      </c>
      <c r="BT486" s="8" t="s">
        <v>41</v>
      </c>
      <c r="BU486" s="8"/>
      <c r="BV486" s="8"/>
      <c r="BW486" s="8"/>
      <c r="BX486" s="8"/>
      <c r="BY486" s="8"/>
      <c r="BZ486" s="8"/>
      <c r="CA486" s="8"/>
      <c r="CB486" s="8" t="s">
        <v>27</v>
      </c>
      <c r="CC486" s="8" t="s">
        <v>43</v>
      </c>
      <c r="CD486" s="8"/>
      <c r="CE486" s="8" t="s">
        <v>27</v>
      </c>
      <c r="CF486" s="8" t="s">
        <v>682</v>
      </c>
      <c r="CG486" s="8" t="s">
        <v>461</v>
      </c>
    </row>
    <row r="487" spans="1:85" ht="15.75" customHeight="1" x14ac:dyDescent="0.35">
      <c r="A487" s="8">
        <v>480</v>
      </c>
      <c r="B487" s="8" t="s">
        <v>683</v>
      </c>
      <c r="C487" s="8"/>
      <c r="D487" s="8"/>
      <c r="E487" s="8"/>
      <c r="F487" s="8"/>
      <c r="G487" s="8"/>
      <c r="H487" s="8"/>
      <c r="I487" s="8"/>
      <c r="J487" s="8"/>
      <c r="K487" s="9">
        <v>0</v>
      </c>
      <c r="L487" s="9">
        <v>0</v>
      </c>
      <c r="M487" s="8"/>
      <c r="N487" s="8"/>
      <c r="O487" s="8"/>
      <c r="P487" s="8"/>
      <c r="Q487" s="8"/>
      <c r="R487" s="8"/>
      <c r="S487" s="8"/>
      <c r="T487" s="8"/>
      <c r="U487" s="8"/>
      <c r="V487" s="10">
        <v>0</v>
      </c>
      <c r="W487" s="10">
        <v>0</v>
      </c>
      <c r="X487" s="8"/>
      <c r="Y487" s="8"/>
      <c r="Z487" s="8"/>
      <c r="AA487" s="8"/>
      <c r="AB487" s="8"/>
      <c r="AC487" s="8"/>
      <c r="AD487" s="8"/>
      <c r="AE487" s="8"/>
      <c r="AF487" s="8"/>
      <c r="AG487" s="11">
        <v>0</v>
      </c>
      <c r="AH487" s="11">
        <v>0</v>
      </c>
      <c r="AI487" s="8"/>
      <c r="AJ487" s="8"/>
      <c r="AK487" s="8"/>
      <c r="AL487" s="8"/>
      <c r="AM487" s="8"/>
      <c r="AN487" s="8"/>
      <c r="AO487" s="8"/>
      <c r="AP487" s="8"/>
      <c r="AQ487" s="8"/>
      <c r="AR487" s="10">
        <v>0</v>
      </c>
      <c r="AS487" s="10">
        <v>0</v>
      </c>
      <c r="AT487" s="8"/>
      <c r="AU487" s="8"/>
      <c r="AV487" s="8"/>
      <c r="AW487" s="8"/>
      <c r="AX487" s="8"/>
      <c r="AY487" s="8"/>
      <c r="AZ487" s="8"/>
      <c r="BA487" s="8"/>
      <c r="BB487" s="8"/>
      <c r="BC487" s="14">
        <v>42643</v>
      </c>
      <c r="BD487" s="14">
        <v>42643</v>
      </c>
      <c r="BE487" s="8"/>
      <c r="BF487" s="8"/>
      <c r="BG487" s="8"/>
      <c r="BH487" s="8"/>
      <c r="BI487" s="8"/>
      <c r="BJ487" s="8"/>
      <c r="BK487" s="8"/>
      <c r="BL487" s="8"/>
      <c r="BM487" s="8"/>
      <c r="BN487" s="8" t="s">
        <v>35</v>
      </c>
      <c r="BO487" s="8" t="s">
        <v>35</v>
      </c>
      <c r="BP487" s="8"/>
      <c r="BQ487" s="8" t="s">
        <v>31</v>
      </c>
      <c r="BR487" s="8" t="s">
        <v>36</v>
      </c>
      <c r="BS487" s="10">
        <v>88870610252810.406</v>
      </c>
      <c r="BT487" s="8" t="s">
        <v>41</v>
      </c>
      <c r="BU487" s="8"/>
      <c r="BV487" s="8"/>
      <c r="BW487" s="8"/>
      <c r="BX487" s="8"/>
      <c r="BY487" s="8"/>
      <c r="BZ487" s="8"/>
      <c r="CA487" s="8"/>
      <c r="CB487" s="8"/>
      <c r="CC487" s="8" t="s">
        <v>43</v>
      </c>
      <c r="CD487" s="8" t="s">
        <v>43</v>
      </c>
      <c r="CE487" s="8"/>
      <c r="CF487" s="8" t="s">
        <v>398</v>
      </c>
      <c r="CG487" s="8" t="s">
        <v>96</v>
      </c>
    </row>
    <row r="488" spans="1:85" ht="15.75" customHeight="1" x14ac:dyDescent="0.35">
      <c r="A488" s="8">
        <v>481</v>
      </c>
      <c r="B488" s="8" t="s">
        <v>684</v>
      </c>
      <c r="C488" s="8"/>
      <c r="D488" s="8"/>
      <c r="E488" s="8"/>
      <c r="F488" s="9">
        <v>0</v>
      </c>
      <c r="G488" s="9">
        <v>0</v>
      </c>
      <c r="H488" s="9">
        <v>1.1400000000000001E-4</v>
      </c>
      <c r="I488" s="8"/>
      <c r="J488" s="8"/>
      <c r="K488" s="8"/>
      <c r="L488" s="8"/>
      <c r="M488" s="8"/>
      <c r="N488" s="8"/>
      <c r="O488" s="8"/>
      <c r="P488" s="8"/>
      <c r="Q488" s="10">
        <v>0</v>
      </c>
      <c r="R488" s="10">
        <v>0</v>
      </c>
      <c r="S488" s="10">
        <v>10527600</v>
      </c>
      <c r="T488" s="8"/>
      <c r="U488" s="8"/>
      <c r="V488" s="8"/>
      <c r="W488" s="8"/>
      <c r="X488" s="8"/>
      <c r="Y488" s="8"/>
      <c r="Z488" s="8"/>
      <c r="AA488" s="8"/>
      <c r="AB488" s="11">
        <v>0</v>
      </c>
      <c r="AC488" s="12">
        <v>-10527600</v>
      </c>
      <c r="AD488" s="13">
        <v>10527600</v>
      </c>
      <c r="AE488" s="8"/>
      <c r="AF488" s="8"/>
      <c r="AG488" s="8"/>
      <c r="AH488" s="8"/>
      <c r="AI488" s="8"/>
      <c r="AJ488" s="8"/>
      <c r="AK488" s="8"/>
      <c r="AL488" s="8"/>
      <c r="AM488" s="10">
        <v>0</v>
      </c>
      <c r="AN488" s="10">
        <v>0</v>
      </c>
      <c r="AO488" s="10">
        <v>33293535050.5</v>
      </c>
      <c r="AP488" s="8"/>
      <c r="AQ488" s="8"/>
      <c r="AR488" s="8"/>
      <c r="AS488" s="8"/>
      <c r="AT488" s="8"/>
      <c r="AU488" s="8"/>
      <c r="AV488" s="8"/>
      <c r="AW488" s="8"/>
      <c r="AX488" s="14">
        <v>44377</v>
      </c>
      <c r="AY488" s="14">
        <v>44377</v>
      </c>
      <c r="AZ488" s="14">
        <v>44165</v>
      </c>
      <c r="BA488" s="8"/>
      <c r="BB488" s="8"/>
      <c r="BC488" s="8"/>
      <c r="BD488" s="8"/>
      <c r="BE488" s="8"/>
      <c r="BF488" s="8"/>
      <c r="BG488" s="8"/>
      <c r="BH488" s="8"/>
      <c r="BI488" s="8" t="s">
        <v>35</v>
      </c>
      <c r="BJ488" s="8" t="s">
        <v>35</v>
      </c>
      <c r="BK488" s="8" t="s">
        <v>35</v>
      </c>
      <c r="BL488" s="8"/>
      <c r="BM488" s="8"/>
      <c r="BN488" s="8"/>
      <c r="BO488" s="8"/>
      <c r="BP488" s="8"/>
      <c r="BQ488" s="8" t="s">
        <v>31</v>
      </c>
      <c r="BR488" s="8" t="s">
        <v>36</v>
      </c>
      <c r="BS488" s="10">
        <v>6565441521860.4004</v>
      </c>
      <c r="BT488" s="8"/>
      <c r="BU488" s="8"/>
      <c r="BV488" s="8"/>
      <c r="BW488" s="8"/>
      <c r="BX488" s="8"/>
      <c r="BY488" s="8" t="s">
        <v>27</v>
      </c>
      <c r="BZ488" s="8" t="s">
        <v>27</v>
      </c>
      <c r="CA488" s="8"/>
      <c r="CB488" s="8"/>
      <c r="CC488" s="8"/>
      <c r="CD488" s="8"/>
      <c r="CE488" s="8"/>
      <c r="CF488" s="8" t="s">
        <v>232</v>
      </c>
      <c r="CG488" s="8" t="s">
        <v>232</v>
      </c>
    </row>
    <row r="489" spans="1:85" ht="15.75" customHeight="1" x14ac:dyDescent="0.35">
      <c r="A489" s="8">
        <v>482</v>
      </c>
      <c r="B489" s="8" t="s">
        <v>685</v>
      </c>
      <c r="C489" s="8"/>
      <c r="D489" s="8"/>
      <c r="E489" s="8"/>
      <c r="F489" s="8"/>
      <c r="G489" s="8"/>
      <c r="H489" s="8"/>
      <c r="I489" s="9">
        <v>0</v>
      </c>
      <c r="J489" s="9">
        <v>0</v>
      </c>
      <c r="K489" s="8"/>
      <c r="L489" s="8"/>
      <c r="M489" s="8"/>
      <c r="N489" s="8"/>
      <c r="O489" s="8"/>
      <c r="P489" s="8"/>
      <c r="Q489" s="8"/>
      <c r="R489" s="8"/>
      <c r="S489" s="8"/>
      <c r="T489" s="10">
        <v>0</v>
      </c>
      <c r="U489" s="10">
        <v>0</v>
      </c>
      <c r="V489" s="8"/>
      <c r="W489" s="8"/>
      <c r="X489" s="8"/>
      <c r="Y489" s="8"/>
      <c r="Z489" s="8"/>
      <c r="AA489" s="8"/>
      <c r="AB489" s="8"/>
      <c r="AC489" s="8"/>
      <c r="AD489" s="8"/>
      <c r="AE489" s="11">
        <v>0</v>
      </c>
      <c r="AF489" s="11">
        <v>0</v>
      </c>
      <c r="AG489" s="8"/>
      <c r="AH489" s="8"/>
      <c r="AI489" s="8"/>
      <c r="AJ489" s="8"/>
      <c r="AK489" s="8"/>
      <c r="AL489" s="8"/>
      <c r="AM489" s="8"/>
      <c r="AN489" s="8"/>
      <c r="AO489" s="8"/>
      <c r="AP489" s="10">
        <v>0</v>
      </c>
      <c r="AQ489" s="10">
        <v>0</v>
      </c>
      <c r="AR489" s="8"/>
      <c r="AS489" s="8"/>
      <c r="AT489" s="8"/>
      <c r="AU489" s="8"/>
      <c r="AV489" s="8"/>
      <c r="AW489" s="8"/>
      <c r="AX489" s="8"/>
      <c r="AY489" s="8"/>
      <c r="AZ489" s="8"/>
      <c r="BA489" s="14">
        <v>43312</v>
      </c>
      <c r="BB489" s="14">
        <v>43312</v>
      </c>
      <c r="BC489" s="8"/>
      <c r="BD489" s="8"/>
      <c r="BE489" s="8"/>
      <c r="BF489" s="8"/>
      <c r="BG489" s="8"/>
      <c r="BH489" s="8"/>
      <c r="BI489" s="8"/>
      <c r="BJ489" s="8"/>
      <c r="BK489" s="8"/>
      <c r="BL489" s="8" t="s">
        <v>35</v>
      </c>
      <c r="BM489" s="8" t="s">
        <v>35</v>
      </c>
      <c r="BN489" s="8"/>
      <c r="BO489" s="8"/>
      <c r="BP489" s="8"/>
      <c r="BQ489" s="8" t="s">
        <v>31</v>
      </c>
      <c r="BR489" s="8" t="s">
        <v>49</v>
      </c>
      <c r="BS489" s="10">
        <v>215559207351.60001</v>
      </c>
      <c r="BT489" s="8"/>
      <c r="BU489" s="8"/>
      <c r="BV489" s="8"/>
      <c r="BW489" s="8"/>
      <c r="BX489" s="8"/>
      <c r="BY489" s="8"/>
      <c r="BZ489" s="8"/>
      <c r="CA489" s="8" t="s">
        <v>27</v>
      </c>
      <c r="CB489" s="8" t="s">
        <v>42</v>
      </c>
      <c r="CC489" s="8"/>
      <c r="CD489" s="8"/>
      <c r="CE489" s="8"/>
      <c r="CF489" s="8" t="s">
        <v>38</v>
      </c>
      <c r="CG489" s="8" t="s">
        <v>39</v>
      </c>
    </row>
    <row r="490" spans="1:85" ht="15.75" customHeight="1" x14ac:dyDescent="0.35">
      <c r="A490" s="8">
        <v>483</v>
      </c>
      <c r="B490" s="8" t="s">
        <v>686</v>
      </c>
      <c r="C490" s="8"/>
      <c r="D490" s="9">
        <v>0</v>
      </c>
      <c r="E490" s="9">
        <v>7.9999999999999996E-6</v>
      </c>
      <c r="F490" s="9">
        <v>3.0000000000000001E-6</v>
      </c>
      <c r="G490" s="8"/>
      <c r="H490" s="8"/>
      <c r="I490" s="8"/>
      <c r="J490" s="8"/>
      <c r="K490" s="8"/>
      <c r="L490" s="8"/>
      <c r="M490" s="8"/>
      <c r="N490" s="8"/>
      <c r="O490" s="10">
        <v>0</v>
      </c>
      <c r="P490" s="10">
        <v>731729</v>
      </c>
      <c r="Q490" s="10">
        <v>305200</v>
      </c>
      <c r="R490" s="8"/>
      <c r="S490" s="8"/>
      <c r="T490" s="8"/>
      <c r="U490" s="8"/>
      <c r="V490" s="8"/>
      <c r="W490" s="8"/>
      <c r="X490" s="8"/>
      <c r="Y490" s="8"/>
      <c r="Z490" s="12">
        <v>-731729</v>
      </c>
      <c r="AA490" s="13">
        <v>426529</v>
      </c>
      <c r="AB490" s="13">
        <v>305200</v>
      </c>
      <c r="AC490" s="8"/>
      <c r="AD490" s="8"/>
      <c r="AE490" s="8"/>
      <c r="AF490" s="8"/>
      <c r="AG490" s="8"/>
      <c r="AH490" s="8"/>
      <c r="AI490" s="8"/>
      <c r="AJ490" s="8"/>
      <c r="AK490" s="10">
        <v>0</v>
      </c>
      <c r="AL490" s="10">
        <v>4426960490.3500004</v>
      </c>
      <c r="AM490" s="10">
        <v>1514554971.05</v>
      </c>
      <c r="AN490" s="8"/>
      <c r="AO490" s="8"/>
      <c r="AP490" s="8"/>
      <c r="AQ490" s="8"/>
      <c r="AR490" s="8"/>
      <c r="AS490" s="8"/>
      <c r="AT490" s="8"/>
      <c r="AU490" s="8"/>
      <c r="AV490" s="14">
        <v>45322</v>
      </c>
      <c r="AW490" s="14">
        <v>45291</v>
      </c>
      <c r="AX490" s="14">
        <v>44926</v>
      </c>
      <c r="AY490" s="8"/>
      <c r="AZ490" s="8"/>
      <c r="BA490" s="8"/>
      <c r="BB490" s="8"/>
      <c r="BC490" s="8"/>
      <c r="BD490" s="8"/>
      <c r="BE490" s="8"/>
      <c r="BF490" s="8"/>
      <c r="BG490" s="8" t="s">
        <v>35</v>
      </c>
      <c r="BH490" s="8" t="s">
        <v>35</v>
      </c>
      <c r="BI490" s="8" t="s">
        <v>35</v>
      </c>
      <c r="BJ490" s="8"/>
      <c r="BK490" s="8"/>
      <c r="BL490" s="8"/>
      <c r="BM490" s="8"/>
      <c r="BN490" s="8"/>
      <c r="BO490" s="8"/>
      <c r="BP490" s="8"/>
      <c r="BQ490" s="8" t="s">
        <v>31</v>
      </c>
      <c r="BR490" s="8" t="s">
        <v>49</v>
      </c>
      <c r="BS490" s="10">
        <v>8476320264202.7998</v>
      </c>
      <c r="BT490" s="8" t="s">
        <v>101</v>
      </c>
      <c r="BU490" s="8"/>
      <c r="BV490" s="8" t="s">
        <v>43</v>
      </c>
      <c r="BW490" s="8" t="s">
        <v>43</v>
      </c>
      <c r="BX490" s="8" t="s">
        <v>42</v>
      </c>
      <c r="BY490" s="8"/>
      <c r="BZ490" s="8"/>
      <c r="CA490" s="8"/>
      <c r="CB490" s="8"/>
      <c r="CC490" s="8"/>
      <c r="CD490" s="8"/>
      <c r="CE490" s="8"/>
      <c r="CF490" s="8" t="s">
        <v>50</v>
      </c>
      <c r="CG490" s="8" t="s">
        <v>51</v>
      </c>
    </row>
    <row r="491" spans="1:85" ht="15.75" hidden="1" customHeight="1" x14ac:dyDescent="0.35">
      <c r="A491" s="8">
        <v>484</v>
      </c>
      <c r="B491" s="8" t="s">
        <v>687</v>
      </c>
      <c r="C491" s="8"/>
      <c r="D491" s="8"/>
      <c r="E491" s="8"/>
      <c r="F491" s="8"/>
      <c r="G491" s="8"/>
      <c r="H491" s="8"/>
      <c r="I491" s="9">
        <v>2.4000000000000001E-5</v>
      </c>
      <c r="J491" s="9">
        <v>1.4E-5</v>
      </c>
      <c r="K491" s="9">
        <v>7.9999999999999996E-6</v>
      </c>
      <c r="L491" s="9">
        <v>7.9999999999999996E-6</v>
      </c>
      <c r="M491" s="8"/>
      <c r="N491" s="8"/>
      <c r="O491" s="8"/>
      <c r="P491" s="8"/>
      <c r="Q491" s="8"/>
      <c r="R491" s="8"/>
      <c r="S491" s="8"/>
      <c r="T491" s="10">
        <v>2207116</v>
      </c>
      <c r="U491" s="10">
        <v>1271316</v>
      </c>
      <c r="V491" s="10">
        <v>760116</v>
      </c>
      <c r="W491" s="10">
        <v>760116</v>
      </c>
      <c r="X491" s="8"/>
      <c r="Y491" s="8"/>
      <c r="Z491" s="8"/>
      <c r="AA491" s="8"/>
      <c r="AB491" s="8"/>
      <c r="AC491" s="8"/>
      <c r="AD491" s="8"/>
      <c r="AE491" s="13">
        <v>935800</v>
      </c>
      <c r="AF491" s="13">
        <v>511200</v>
      </c>
      <c r="AG491" s="11">
        <v>0</v>
      </c>
      <c r="AH491" s="13">
        <v>760116</v>
      </c>
      <c r="AI491" s="8"/>
      <c r="AJ491" s="8"/>
      <c r="AK491" s="8"/>
      <c r="AL491" s="8"/>
      <c r="AM491" s="8"/>
      <c r="AN491" s="8"/>
      <c r="AO491" s="8"/>
      <c r="AP491" s="10">
        <v>8445469077.1999998</v>
      </c>
      <c r="AQ491" s="10">
        <v>4630002062.5</v>
      </c>
      <c r="AR491" s="10">
        <v>3040463983.4000001</v>
      </c>
      <c r="AS491" s="10">
        <v>2199585670.5</v>
      </c>
      <c r="AT491" s="8"/>
      <c r="AU491" s="8"/>
      <c r="AV491" s="8"/>
      <c r="AW491" s="8"/>
      <c r="AX491" s="8"/>
      <c r="AY491" s="8"/>
      <c r="AZ491" s="8"/>
      <c r="BA491" s="14">
        <v>43830</v>
      </c>
      <c r="BB491" s="14">
        <v>43465</v>
      </c>
      <c r="BC491" s="14">
        <v>43100</v>
      </c>
      <c r="BD491" s="14">
        <v>42735</v>
      </c>
      <c r="BE491" s="8"/>
      <c r="BF491" s="8"/>
      <c r="BG491" s="8"/>
      <c r="BH491" s="8"/>
      <c r="BI491" s="8"/>
      <c r="BJ491" s="8"/>
      <c r="BK491" s="8"/>
      <c r="BL491" s="8" t="s">
        <v>201</v>
      </c>
      <c r="BM491" s="8" t="s">
        <v>201</v>
      </c>
      <c r="BN491" s="8" t="s">
        <v>201</v>
      </c>
      <c r="BO491" s="8" t="s">
        <v>201</v>
      </c>
      <c r="BP491" s="8"/>
      <c r="BQ491" s="8" t="s">
        <v>25</v>
      </c>
      <c r="BR491" s="8" t="s">
        <v>202</v>
      </c>
      <c r="BS491" s="10">
        <v>10149166009.200001</v>
      </c>
      <c r="BT491" s="8"/>
      <c r="BU491" s="8"/>
      <c r="BV491" s="8"/>
      <c r="BW491" s="8"/>
      <c r="BX491" s="8"/>
      <c r="BY491" s="8"/>
      <c r="BZ491" s="8"/>
      <c r="CA491" s="8" t="s">
        <v>27</v>
      </c>
      <c r="CB491" s="8" t="s">
        <v>27</v>
      </c>
      <c r="CC491" s="8" t="s">
        <v>27</v>
      </c>
      <c r="CD491" s="8" t="s">
        <v>27</v>
      </c>
      <c r="CE491" s="8"/>
      <c r="CF491" s="8"/>
      <c r="CG491" s="8" t="s">
        <v>29</v>
      </c>
    </row>
    <row r="492" spans="1:85" ht="15.75" customHeight="1" x14ac:dyDescent="0.35">
      <c r="A492" s="8">
        <v>485</v>
      </c>
      <c r="B492" s="8" t="s">
        <v>688</v>
      </c>
      <c r="C492" s="8"/>
      <c r="D492" s="8"/>
      <c r="E492" s="9">
        <v>0</v>
      </c>
      <c r="F492" s="9">
        <v>3.9999999999999998E-6</v>
      </c>
      <c r="G492" s="9">
        <v>0</v>
      </c>
      <c r="H492" s="9">
        <v>3.9999999999999998E-6</v>
      </c>
      <c r="I492" s="9">
        <v>5.0000000000000004E-6</v>
      </c>
      <c r="J492" s="8"/>
      <c r="K492" s="8"/>
      <c r="L492" s="8"/>
      <c r="M492" s="8"/>
      <c r="N492" s="8"/>
      <c r="O492" s="8"/>
      <c r="P492" s="10">
        <v>0</v>
      </c>
      <c r="Q492" s="10">
        <v>353298</v>
      </c>
      <c r="R492" s="10">
        <v>0</v>
      </c>
      <c r="S492" s="10">
        <v>333566</v>
      </c>
      <c r="T492" s="10">
        <v>420918</v>
      </c>
      <c r="U492" s="8"/>
      <c r="V492" s="8"/>
      <c r="W492" s="8"/>
      <c r="X492" s="8"/>
      <c r="Y492" s="8"/>
      <c r="Z492" s="8"/>
      <c r="AA492" s="12">
        <v>-353298</v>
      </c>
      <c r="AB492" s="13">
        <v>353298</v>
      </c>
      <c r="AC492" s="12">
        <v>-333566</v>
      </c>
      <c r="AD492" s="12">
        <v>-87352</v>
      </c>
      <c r="AE492" s="13">
        <v>420918</v>
      </c>
      <c r="AF492" s="8"/>
      <c r="AG492" s="8"/>
      <c r="AH492" s="8"/>
      <c r="AI492" s="8"/>
      <c r="AJ492" s="8"/>
      <c r="AK492" s="8"/>
      <c r="AL492" s="10">
        <v>0</v>
      </c>
      <c r="AM492" s="10">
        <v>1753241288.7</v>
      </c>
      <c r="AN492" s="10">
        <v>0</v>
      </c>
      <c r="AO492" s="10">
        <v>1054902420</v>
      </c>
      <c r="AP492" s="10">
        <v>1467951564</v>
      </c>
      <c r="AQ492" s="8"/>
      <c r="AR492" s="8"/>
      <c r="AS492" s="8"/>
      <c r="AT492" s="8"/>
      <c r="AU492" s="8"/>
      <c r="AV492" s="8"/>
      <c r="AW492" s="14">
        <v>44957</v>
      </c>
      <c r="AX492" s="14">
        <v>44926</v>
      </c>
      <c r="AY492" s="14">
        <v>44408</v>
      </c>
      <c r="AZ492" s="14">
        <v>44196</v>
      </c>
      <c r="BA492" s="14">
        <v>43799</v>
      </c>
      <c r="BB492" s="8"/>
      <c r="BC492" s="8"/>
      <c r="BD492" s="8"/>
      <c r="BE492" s="8"/>
      <c r="BF492" s="8"/>
      <c r="BG492" s="8"/>
      <c r="BH492" s="8" t="s">
        <v>35</v>
      </c>
      <c r="BI492" s="8" t="s">
        <v>35</v>
      </c>
      <c r="BJ492" s="8" t="s">
        <v>35</v>
      </c>
      <c r="BK492" s="8" t="s">
        <v>35</v>
      </c>
      <c r="BL492" s="8" t="s">
        <v>35</v>
      </c>
      <c r="BM492" s="8"/>
      <c r="BN492" s="8"/>
      <c r="BO492" s="8"/>
      <c r="BP492" s="8"/>
      <c r="BQ492" s="8" t="s">
        <v>31</v>
      </c>
      <c r="BR492" s="8" t="s">
        <v>49</v>
      </c>
      <c r="BS492" s="10">
        <v>3884847068006.3999</v>
      </c>
      <c r="BT492" s="8" t="s">
        <v>61</v>
      </c>
      <c r="BU492" s="8"/>
      <c r="BV492" s="8"/>
      <c r="BW492" s="8" t="s">
        <v>42</v>
      </c>
      <c r="BX492" s="8" t="s">
        <v>43</v>
      </c>
      <c r="BY492" s="8" t="s">
        <v>42</v>
      </c>
      <c r="BZ492" s="8" t="s">
        <v>43</v>
      </c>
      <c r="CA492" s="8" t="s">
        <v>43</v>
      </c>
      <c r="CB492" s="8"/>
      <c r="CC492" s="8"/>
      <c r="CD492" s="8"/>
      <c r="CE492" s="8"/>
      <c r="CF492" s="8" t="s">
        <v>689</v>
      </c>
      <c r="CG492" s="8" t="s">
        <v>39</v>
      </c>
    </row>
    <row r="493" spans="1:85" ht="15.75" customHeight="1" x14ac:dyDescent="0.35">
      <c r="A493" s="8">
        <v>486</v>
      </c>
      <c r="B493" s="8" t="s">
        <v>690</v>
      </c>
      <c r="C493" s="8"/>
      <c r="D493" s="8"/>
      <c r="E493" s="8"/>
      <c r="F493" s="8"/>
      <c r="G493" s="8"/>
      <c r="H493" s="8"/>
      <c r="I493" s="8"/>
      <c r="J493" s="8"/>
      <c r="K493" s="8"/>
      <c r="L493" s="9">
        <v>0</v>
      </c>
      <c r="M493" s="9">
        <v>0</v>
      </c>
      <c r="N493" s="8"/>
      <c r="O493" s="8"/>
      <c r="P493" s="8"/>
      <c r="Q493" s="8"/>
      <c r="R493" s="8"/>
      <c r="S493" s="8"/>
      <c r="T493" s="8"/>
      <c r="U493" s="8"/>
      <c r="V493" s="8"/>
      <c r="W493" s="10">
        <v>0</v>
      </c>
      <c r="X493" s="10">
        <v>0</v>
      </c>
      <c r="Y493" s="8"/>
      <c r="Z493" s="8"/>
      <c r="AA493" s="8"/>
      <c r="AB493" s="8"/>
      <c r="AC493" s="8"/>
      <c r="AD493" s="8"/>
      <c r="AE493" s="8"/>
      <c r="AF493" s="8"/>
      <c r="AG493" s="8"/>
      <c r="AH493" s="11">
        <v>0</v>
      </c>
      <c r="AI493" s="11">
        <v>0</v>
      </c>
      <c r="AJ493" s="8"/>
      <c r="AK493" s="8"/>
      <c r="AL493" s="8"/>
      <c r="AM493" s="8"/>
      <c r="AN493" s="8"/>
      <c r="AO493" s="8"/>
      <c r="AP493" s="8"/>
      <c r="AQ493" s="8"/>
      <c r="AR493" s="8"/>
      <c r="AS493" s="10">
        <v>0</v>
      </c>
      <c r="AT493" s="10">
        <v>0</v>
      </c>
      <c r="AU493" s="8"/>
      <c r="AV493" s="8"/>
      <c r="AW493" s="8"/>
      <c r="AX493" s="8"/>
      <c r="AY493" s="8"/>
      <c r="AZ493" s="8"/>
      <c r="BA493" s="8"/>
      <c r="BB493" s="8"/>
      <c r="BC493" s="8"/>
      <c r="BD493" s="14">
        <v>42247</v>
      </c>
      <c r="BE493" s="14">
        <v>42247</v>
      </c>
      <c r="BF493" s="8"/>
      <c r="BG493" s="8"/>
      <c r="BH493" s="8"/>
      <c r="BI493" s="8"/>
      <c r="BJ493" s="8"/>
      <c r="BK493" s="8"/>
      <c r="BL493" s="8"/>
      <c r="BM493" s="8"/>
      <c r="BN493" s="8"/>
      <c r="BO493" s="8" t="s">
        <v>35</v>
      </c>
      <c r="BP493" s="8" t="s">
        <v>35</v>
      </c>
      <c r="BQ493" s="8" t="s">
        <v>31</v>
      </c>
      <c r="BR493" s="8" t="s">
        <v>49</v>
      </c>
      <c r="BS493" s="10">
        <v>2449604769838180</v>
      </c>
      <c r="BT493" s="8" t="s">
        <v>101</v>
      </c>
      <c r="BU493" s="8"/>
      <c r="BV493" s="8"/>
      <c r="BW493" s="8"/>
      <c r="BX493" s="8"/>
      <c r="BY493" s="8"/>
      <c r="BZ493" s="8"/>
      <c r="CA493" s="8"/>
      <c r="CB493" s="8"/>
      <c r="CC493" s="8"/>
      <c r="CD493" s="8" t="s">
        <v>43</v>
      </c>
      <c r="CE493" s="8" t="s">
        <v>43</v>
      </c>
      <c r="CF493" s="8" t="s">
        <v>85</v>
      </c>
      <c r="CG493" s="8" t="s">
        <v>39</v>
      </c>
    </row>
    <row r="494" spans="1:85" ht="15.75" customHeight="1" x14ac:dyDescent="0.35">
      <c r="A494" s="8">
        <v>487</v>
      </c>
      <c r="B494" s="8" t="s">
        <v>691</v>
      </c>
      <c r="C494" s="8"/>
      <c r="D494" s="8"/>
      <c r="E494" s="8"/>
      <c r="F494" s="8"/>
      <c r="G494" s="8"/>
      <c r="H494" s="8"/>
      <c r="I494" s="8"/>
      <c r="J494" s="9">
        <v>0</v>
      </c>
      <c r="K494" s="9">
        <v>0</v>
      </c>
      <c r="L494" s="9">
        <v>3.9599999999999998E-4</v>
      </c>
      <c r="M494" s="9">
        <v>2.12E-4</v>
      </c>
      <c r="N494" s="8"/>
      <c r="O494" s="8"/>
      <c r="P494" s="8"/>
      <c r="Q494" s="8"/>
      <c r="R494" s="8"/>
      <c r="S494" s="8"/>
      <c r="T494" s="8"/>
      <c r="U494" s="10">
        <v>0</v>
      </c>
      <c r="V494" s="10">
        <v>0</v>
      </c>
      <c r="W494" s="10">
        <v>36611200</v>
      </c>
      <c r="X494" s="10">
        <v>19557600</v>
      </c>
      <c r="Y494" s="8"/>
      <c r="Z494" s="8"/>
      <c r="AA494" s="8"/>
      <c r="AB494" s="8"/>
      <c r="AC494" s="8"/>
      <c r="AD494" s="8"/>
      <c r="AE494" s="8"/>
      <c r="AF494" s="11">
        <v>0</v>
      </c>
      <c r="AG494" s="12">
        <v>-36611200</v>
      </c>
      <c r="AH494" s="13">
        <v>17053600</v>
      </c>
      <c r="AI494" s="13">
        <v>4137600</v>
      </c>
      <c r="AJ494" s="8"/>
      <c r="AK494" s="8"/>
      <c r="AL494" s="8"/>
      <c r="AM494" s="8"/>
      <c r="AN494" s="8"/>
      <c r="AO494" s="8"/>
      <c r="AP494" s="8"/>
      <c r="AQ494" s="10">
        <v>0</v>
      </c>
      <c r="AR494" s="10">
        <v>0</v>
      </c>
      <c r="AS494" s="10">
        <v>105943660075.5</v>
      </c>
      <c r="AT494" s="10">
        <v>45243360452.25</v>
      </c>
      <c r="AU494" s="8"/>
      <c r="AV494" s="8"/>
      <c r="AW494" s="8"/>
      <c r="AX494" s="8"/>
      <c r="AY494" s="8"/>
      <c r="AZ494" s="8"/>
      <c r="BA494" s="8"/>
      <c r="BB494" s="14">
        <v>42825</v>
      </c>
      <c r="BC494" s="14">
        <v>42825</v>
      </c>
      <c r="BD494" s="14">
        <v>42735</v>
      </c>
      <c r="BE494" s="14">
        <v>42369</v>
      </c>
      <c r="BF494" s="8"/>
      <c r="BG494" s="8"/>
      <c r="BH494" s="8"/>
      <c r="BI494" s="8"/>
      <c r="BJ494" s="8"/>
      <c r="BK494" s="8"/>
      <c r="BL494" s="8"/>
      <c r="BM494" s="8" t="s">
        <v>35</v>
      </c>
      <c r="BN494" s="8" t="s">
        <v>35</v>
      </c>
      <c r="BO494" s="8" t="s">
        <v>35</v>
      </c>
      <c r="BP494" s="8" t="s">
        <v>35</v>
      </c>
      <c r="BQ494" s="8" t="s">
        <v>31</v>
      </c>
      <c r="BR494" s="8" t="s">
        <v>36</v>
      </c>
      <c r="BS494" s="10">
        <v>2023589133005280</v>
      </c>
      <c r="BT494" s="8" t="s">
        <v>41</v>
      </c>
      <c r="BU494" s="8"/>
      <c r="BV494" s="8"/>
      <c r="BW494" s="8"/>
      <c r="BX494" s="8"/>
      <c r="BY494" s="8"/>
      <c r="BZ494" s="8"/>
      <c r="CA494" s="8"/>
      <c r="CB494" s="8" t="s">
        <v>42</v>
      </c>
      <c r="CC494" s="8" t="s">
        <v>27</v>
      </c>
      <c r="CD494" s="8" t="s">
        <v>27</v>
      </c>
      <c r="CE494" s="8" t="s">
        <v>27</v>
      </c>
      <c r="CF494" s="8" t="s">
        <v>692</v>
      </c>
      <c r="CG494" s="8" t="s">
        <v>39</v>
      </c>
    </row>
    <row r="495" spans="1:85" ht="15.75" customHeight="1" x14ac:dyDescent="0.35">
      <c r="A495" s="8">
        <v>488</v>
      </c>
      <c r="B495" s="8" t="s">
        <v>693</v>
      </c>
      <c r="C495" s="8"/>
      <c r="D495" s="8"/>
      <c r="E495" s="8"/>
      <c r="F495" s="8"/>
      <c r="G495" s="8"/>
      <c r="H495" s="8"/>
      <c r="I495" s="8"/>
      <c r="J495" s="8"/>
      <c r="K495" s="8"/>
      <c r="L495" s="9">
        <v>0</v>
      </c>
      <c r="M495" s="9">
        <v>0</v>
      </c>
      <c r="N495" s="8"/>
      <c r="O495" s="8"/>
      <c r="P495" s="8"/>
      <c r="Q495" s="8"/>
      <c r="R495" s="8"/>
      <c r="S495" s="8"/>
      <c r="T495" s="8"/>
      <c r="U495" s="8"/>
      <c r="V495" s="8"/>
      <c r="W495" s="10">
        <v>0</v>
      </c>
      <c r="X495" s="10">
        <v>0</v>
      </c>
      <c r="Y495" s="8"/>
      <c r="Z495" s="8"/>
      <c r="AA495" s="8"/>
      <c r="AB495" s="8"/>
      <c r="AC495" s="8"/>
      <c r="AD495" s="8"/>
      <c r="AE495" s="8"/>
      <c r="AF495" s="8"/>
      <c r="AG495" s="8"/>
      <c r="AH495" s="11">
        <v>0</v>
      </c>
      <c r="AI495" s="11">
        <v>0</v>
      </c>
      <c r="AJ495" s="8"/>
      <c r="AK495" s="8"/>
      <c r="AL495" s="8"/>
      <c r="AM495" s="8"/>
      <c r="AN495" s="8"/>
      <c r="AO495" s="8"/>
      <c r="AP495" s="8"/>
      <c r="AQ495" s="8"/>
      <c r="AR495" s="8"/>
      <c r="AS495" s="10">
        <v>0</v>
      </c>
      <c r="AT495" s="10">
        <v>0</v>
      </c>
      <c r="AU495" s="8"/>
      <c r="AV495" s="8"/>
      <c r="AW495" s="8"/>
      <c r="AX495" s="8"/>
      <c r="AY495" s="8"/>
      <c r="AZ495" s="8"/>
      <c r="BA495" s="8"/>
      <c r="BB495" s="8"/>
      <c r="BC495" s="8"/>
      <c r="BD495" s="14">
        <v>42185</v>
      </c>
      <c r="BE495" s="14">
        <v>42185</v>
      </c>
      <c r="BF495" s="8"/>
      <c r="BG495" s="8"/>
      <c r="BH495" s="8"/>
      <c r="BI495" s="8"/>
      <c r="BJ495" s="8"/>
      <c r="BK495" s="8"/>
      <c r="BL495" s="8"/>
      <c r="BM495" s="8"/>
      <c r="BN495" s="8"/>
      <c r="BO495" s="8" t="s">
        <v>35</v>
      </c>
      <c r="BP495" s="8" t="s">
        <v>35</v>
      </c>
      <c r="BQ495" s="8" t="s">
        <v>31</v>
      </c>
      <c r="BR495" s="8" t="s">
        <v>49</v>
      </c>
      <c r="BS495" s="10">
        <v>263106958146</v>
      </c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 t="s">
        <v>42</v>
      </c>
      <c r="CE495" s="8" t="s">
        <v>43</v>
      </c>
      <c r="CF495" s="8" t="s">
        <v>694</v>
      </c>
      <c r="CG495" s="8" t="s">
        <v>39</v>
      </c>
    </row>
    <row r="496" spans="1:85" ht="15.75" hidden="1" customHeight="1" x14ac:dyDescent="0.35">
      <c r="A496" s="8">
        <v>489</v>
      </c>
      <c r="B496" s="8" t="s">
        <v>695</v>
      </c>
      <c r="C496" s="8"/>
      <c r="D496" s="8"/>
      <c r="E496" s="8"/>
      <c r="F496" s="8"/>
      <c r="G496" s="8"/>
      <c r="H496" s="8"/>
      <c r="I496" s="9">
        <v>1.9999999999999999E-6</v>
      </c>
      <c r="J496" s="9">
        <v>1.9999999999999999E-6</v>
      </c>
      <c r="K496" s="8"/>
      <c r="L496" s="8"/>
      <c r="M496" s="8"/>
      <c r="N496" s="8"/>
      <c r="O496" s="8"/>
      <c r="P496" s="8"/>
      <c r="Q496" s="8"/>
      <c r="R496" s="8"/>
      <c r="S496" s="8"/>
      <c r="T496" s="10">
        <v>218000</v>
      </c>
      <c r="U496" s="10">
        <v>218000</v>
      </c>
      <c r="V496" s="8"/>
      <c r="W496" s="8"/>
      <c r="X496" s="8"/>
      <c r="Y496" s="8"/>
      <c r="Z496" s="8"/>
      <c r="AA496" s="8"/>
      <c r="AB496" s="8"/>
      <c r="AC496" s="8"/>
      <c r="AD496" s="8"/>
      <c r="AE496" s="11">
        <v>0</v>
      </c>
      <c r="AF496" s="13">
        <v>218000</v>
      </c>
      <c r="AG496" s="8"/>
      <c r="AH496" s="8"/>
      <c r="AI496" s="8"/>
      <c r="AJ496" s="8"/>
      <c r="AK496" s="8"/>
      <c r="AL496" s="8"/>
      <c r="AM496" s="8"/>
      <c r="AN496" s="8"/>
      <c r="AO496" s="8"/>
      <c r="AP496" s="10">
        <v>834171066.39999998</v>
      </c>
      <c r="AQ496" s="10">
        <v>793933550</v>
      </c>
      <c r="AR496" s="8"/>
      <c r="AS496" s="8"/>
      <c r="AT496" s="8"/>
      <c r="AU496" s="8"/>
      <c r="AV496" s="8"/>
      <c r="AW496" s="8"/>
      <c r="AX496" s="8"/>
      <c r="AY496" s="8"/>
      <c r="AZ496" s="8"/>
      <c r="BA496" s="14">
        <v>43830</v>
      </c>
      <c r="BB496" s="14">
        <v>43465</v>
      </c>
      <c r="BC496" s="8"/>
      <c r="BD496" s="8"/>
      <c r="BE496" s="8"/>
      <c r="BF496" s="8"/>
      <c r="BG496" s="8"/>
      <c r="BH496" s="8"/>
      <c r="BI496" s="8"/>
      <c r="BJ496" s="8"/>
      <c r="BK496" s="8"/>
      <c r="BL496" s="8" t="s">
        <v>201</v>
      </c>
      <c r="BM496" s="8" t="s">
        <v>201</v>
      </c>
      <c r="BN496" s="8"/>
      <c r="BO496" s="8"/>
      <c r="BP496" s="8"/>
      <c r="BQ496" s="8" t="s">
        <v>25</v>
      </c>
      <c r="BR496" s="8" t="s">
        <v>202</v>
      </c>
      <c r="BS496" s="10">
        <v>7883145475.1999998</v>
      </c>
      <c r="BT496" s="8"/>
      <c r="BU496" s="8"/>
      <c r="BV496" s="8"/>
      <c r="BW496" s="8"/>
      <c r="BX496" s="8"/>
      <c r="BY496" s="8"/>
      <c r="BZ496" s="8"/>
      <c r="CA496" s="8" t="s">
        <v>42</v>
      </c>
      <c r="CB496" s="8" t="s">
        <v>27</v>
      </c>
      <c r="CC496" s="8"/>
      <c r="CD496" s="8"/>
      <c r="CE496" s="8"/>
      <c r="CF496" s="8"/>
      <c r="CG496" s="8" t="s">
        <v>29</v>
      </c>
    </row>
    <row r="497" spans="1:85" ht="15.75" customHeight="1" x14ac:dyDescent="0.35">
      <c r="A497" s="8">
        <v>490</v>
      </c>
      <c r="B497" s="8" t="s">
        <v>696</v>
      </c>
      <c r="C497" s="8"/>
      <c r="D497" s="8"/>
      <c r="E497" s="9">
        <v>9.5000000000000005E-5</v>
      </c>
      <c r="F497" s="9">
        <v>9.5000000000000005E-5</v>
      </c>
      <c r="G497" s="9">
        <v>1.01E-4</v>
      </c>
      <c r="H497" s="9">
        <v>1.11E-4</v>
      </c>
      <c r="I497" s="8"/>
      <c r="J497" s="8"/>
      <c r="K497" s="8"/>
      <c r="L497" s="8"/>
      <c r="M497" s="8"/>
      <c r="N497" s="8"/>
      <c r="O497" s="8"/>
      <c r="P497" s="10">
        <v>8820000</v>
      </c>
      <c r="Q497" s="10">
        <v>8820000</v>
      </c>
      <c r="R497" s="10">
        <v>9366600</v>
      </c>
      <c r="S497" s="10">
        <v>10282000</v>
      </c>
      <c r="T497" s="8"/>
      <c r="U497" s="8"/>
      <c r="V497" s="8"/>
      <c r="W497" s="8"/>
      <c r="X497" s="8"/>
      <c r="Y497" s="8"/>
      <c r="Z497" s="8"/>
      <c r="AA497" s="11">
        <v>0</v>
      </c>
      <c r="AB497" s="12">
        <v>-546600</v>
      </c>
      <c r="AC497" s="12">
        <v>-915400</v>
      </c>
      <c r="AD497" s="13">
        <v>10282000</v>
      </c>
      <c r="AE497" s="8"/>
      <c r="AF497" s="8"/>
      <c r="AG497" s="8"/>
      <c r="AH497" s="8"/>
      <c r="AI497" s="8"/>
      <c r="AJ497" s="8"/>
      <c r="AK497" s="8"/>
      <c r="AL497" s="10">
        <v>37485000082.800003</v>
      </c>
      <c r="AM497" s="10">
        <v>37485000082.800003</v>
      </c>
      <c r="AN497" s="10">
        <v>28099799903.5</v>
      </c>
      <c r="AO497" s="10">
        <v>22980270013.25</v>
      </c>
      <c r="AP497" s="8"/>
      <c r="AQ497" s="8"/>
      <c r="AR497" s="8"/>
      <c r="AS497" s="8"/>
      <c r="AT497" s="8"/>
      <c r="AU497" s="8"/>
      <c r="AV497" s="8"/>
      <c r="AW497" s="14">
        <v>44712</v>
      </c>
      <c r="AX497" s="14">
        <v>44712</v>
      </c>
      <c r="AY497" s="14">
        <v>44347</v>
      </c>
      <c r="AZ497" s="14">
        <v>43982</v>
      </c>
      <c r="BA497" s="8"/>
      <c r="BB497" s="8"/>
      <c r="BC497" s="8"/>
      <c r="BD497" s="8"/>
      <c r="BE497" s="8"/>
      <c r="BF497" s="8"/>
      <c r="BG497" s="8"/>
      <c r="BH497" s="8" t="s">
        <v>35</v>
      </c>
      <c r="BI497" s="8" t="s">
        <v>35</v>
      </c>
      <c r="BJ497" s="8" t="s">
        <v>35</v>
      </c>
      <c r="BK497" s="8" t="s">
        <v>35</v>
      </c>
      <c r="BL497" s="8"/>
      <c r="BM497" s="8"/>
      <c r="BN497" s="8"/>
      <c r="BO497" s="8"/>
      <c r="BP497" s="8"/>
      <c r="BQ497" s="8" t="s">
        <v>31</v>
      </c>
      <c r="BR497" s="8" t="s">
        <v>49</v>
      </c>
      <c r="BS497" s="10">
        <v>1061630656291.2</v>
      </c>
      <c r="BT497" s="8"/>
      <c r="BU497" s="8"/>
      <c r="BV497" s="8"/>
      <c r="BW497" s="8"/>
      <c r="BX497" s="8" t="s">
        <v>27</v>
      </c>
      <c r="BY497" s="8" t="s">
        <v>27</v>
      </c>
      <c r="BZ497" s="8"/>
      <c r="CA497" s="8"/>
      <c r="CB497" s="8"/>
      <c r="CC497" s="8"/>
      <c r="CD497" s="8"/>
      <c r="CE497" s="8"/>
      <c r="CF497" s="8" t="s">
        <v>65</v>
      </c>
      <c r="CG497" s="8" t="s">
        <v>65</v>
      </c>
    </row>
    <row r="498" spans="1:85" ht="15.75" customHeight="1" x14ac:dyDescent="0.35">
      <c r="A498" s="8">
        <v>491</v>
      </c>
      <c r="B498" s="8" t="s">
        <v>697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>
        <v>0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10">
        <v>13756</v>
      </c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11">
        <v>0</v>
      </c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10">
        <v>37828961.850000001</v>
      </c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14">
        <v>42035</v>
      </c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 t="s">
        <v>35</v>
      </c>
      <c r="BQ498" s="8" t="s">
        <v>31</v>
      </c>
      <c r="BR498" s="8" t="s">
        <v>49</v>
      </c>
      <c r="BS498" s="10">
        <v>532437659311904</v>
      </c>
      <c r="BT498" s="8" t="s">
        <v>101</v>
      </c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 t="s">
        <v>27</v>
      </c>
      <c r="CF498" s="8" t="s">
        <v>82</v>
      </c>
      <c r="CG498" s="8" t="s">
        <v>39</v>
      </c>
    </row>
    <row r="499" spans="1:85" ht="15.75" customHeight="1" x14ac:dyDescent="0.35">
      <c r="A499" s="8">
        <v>492</v>
      </c>
      <c r="B499" s="8" t="s">
        <v>698</v>
      </c>
      <c r="C499" s="8"/>
      <c r="D499" s="8"/>
      <c r="E499" s="8"/>
      <c r="F499" s="8"/>
      <c r="G499" s="8"/>
      <c r="H499" s="8"/>
      <c r="I499" s="8"/>
      <c r="J499" s="8"/>
      <c r="K499" s="8"/>
      <c r="L499" s="9">
        <v>0</v>
      </c>
      <c r="M499" s="9">
        <v>0</v>
      </c>
      <c r="N499" s="8"/>
      <c r="O499" s="8"/>
      <c r="P499" s="8"/>
      <c r="Q499" s="8"/>
      <c r="R499" s="8"/>
      <c r="S499" s="8"/>
      <c r="T499" s="8"/>
      <c r="U499" s="8"/>
      <c r="V499" s="8"/>
      <c r="W499" s="10">
        <v>0</v>
      </c>
      <c r="X499" s="10">
        <v>0</v>
      </c>
      <c r="Y499" s="8"/>
      <c r="Z499" s="8"/>
      <c r="AA499" s="8"/>
      <c r="AB499" s="8"/>
      <c r="AC499" s="8"/>
      <c r="AD499" s="8"/>
      <c r="AE499" s="8"/>
      <c r="AF499" s="8"/>
      <c r="AG499" s="8"/>
      <c r="AH499" s="11">
        <v>0</v>
      </c>
      <c r="AI499" s="11">
        <v>0</v>
      </c>
      <c r="AJ499" s="8"/>
      <c r="AK499" s="8"/>
      <c r="AL499" s="8"/>
      <c r="AM499" s="8"/>
      <c r="AN499" s="8"/>
      <c r="AO499" s="8"/>
      <c r="AP499" s="8"/>
      <c r="AQ499" s="8"/>
      <c r="AR499" s="8"/>
      <c r="AS499" s="10">
        <v>0</v>
      </c>
      <c r="AT499" s="10">
        <v>0</v>
      </c>
      <c r="AU499" s="8"/>
      <c r="AV499" s="8"/>
      <c r="AW499" s="8"/>
      <c r="AX499" s="8"/>
      <c r="AY499" s="8"/>
      <c r="AZ499" s="8"/>
      <c r="BA499" s="8"/>
      <c r="BB499" s="8"/>
      <c r="BC499" s="8"/>
      <c r="BD499" s="14">
        <v>42185</v>
      </c>
      <c r="BE499" s="14">
        <v>42185</v>
      </c>
      <c r="BF499" s="8"/>
      <c r="BG499" s="8"/>
      <c r="BH499" s="8"/>
      <c r="BI499" s="8"/>
      <c r="BJ499" s="8"/>
      <c r="BK499" s="8"/>
      <c r="BL499" s="8"/>
      <c r="BM499" s="8"/>
      <c r="BN499" s="8"/>
      <c r="BO499" s="8" t="s">
        <v>35</v>
      </c>
      <c r="BP499" s="8" t="s">
        <v>35</v>
      </c>
      <c r="BQ499" s="8" t="s">
        <v>31</v>
      </c>
      <c r="BR499" s="8" t="s">
        <v>49</v>
      </c>
      <c r="BS499" s="10">
        <v>497026613587945</v>
      </c>
      <c r="BT499" s="8" t="s">
        <v>61</v>
      </c>
      <c r="BU499" s="8"/>
      <c r="BV499" s="8"/>
      <c r="BW499" s="8"/>
      <c r="BX499" s="8"/>
      <c r="BY499" s="8"/>
      <c r="BZ499" s="8"/>
      <c r="CA499" s="8"/>
      <c r="CB499" s="8"/>
      <c r="CC499" s="8"/>
      <c r="CD499" s="8" t="s">
        <v>27</v>
      </c>
      <c r="CE499" s="8" t="s">
        <v>27</v>
      </c>
      <c r="CF499" s="8" t="s">
        <v>50</v>
      </c>
      <c r="CG499" s="8" t="s">
        <v>51</v>
      </c>
    </row>
    <row r="500" spans="1:85" ht="15.75" hidden="1" customHeight="1" x14ac:dyDescent="0.35">
      <c r="A500" s="8">
        <v>493</v>
      </c>
      <c r="B500" s="8" t="s">
        <v>699</v>
      </c>
      <c r="C500" s="8"/>
      <c r="D500" s="8"/>
      <c r="E500" s="9">
        <v>9.3999999999999994E-5</v>
      </c>
      <c r="F500" s="9">
        <v>7.3999999999999996E-5</v>
      </c>
      <c r="G500" s="9">
        <v>6.3E-5</v>
      </c>
      <c r="H500" s="9">
        <v>5.3000000000000001E-5</v>
      </c>
      <c r="I500" s="9">
        <v>3.6000000000000001E-5</v>
      </c>
      <c r="J500" s="9">
        <v>2.6999999999999999E-5</v>
      </c>
      <c r="K500" s="9">
        <v>2.1999999999999999E-5</v>
      </c>
      <c r="L500" s="9">
        <v>2.1999999999999999E-5</v>
      </c>
      <c r="M500" s="8"/>
      <c r="N500" s="8"/>
      <c r="O500" s="8"/>
      <c r="P500" s="10">
        <v>8715900</v>
      </c>
      <c r="Q500" s="10">
        <v>6803200</v>
      </c>
      <c r="R500" s="10">
        <v>5801600</v>
      </c>
      <c r="S500" s="10">
        <v>4941400</v>
      </c>
      <c r="T500" s="10">
        <v>3361400</v>
      </c>
      <c r="U500" s="10">
        <v>2477600</v>
      </c>
      <c r="V500" s="10">
        <v>1993200</v>
      </c>
      <c r="W500" s="10">
        <v>1993200</v>
      </c>
      <c r="X500" s="8"/>
      <c r="Y500" s="8"/>
      <c r="Z500" s="8"/>
      <c r="AA500" s="13">
        <v>1912700</v>
      </c>
      <c r="AB500" s="13">
        <v>1001600</v>
      </c>
      <c r="AC500" s="13">
        <v>860200</v>
      </c>
      <c r="AD500" s="13">
        <v>1580000</v>
      </c>
      <c r="AE500" s="13">
        <v>883800</v>
      </c>
      <c r="AF500" s="13">
        <v>484400</v>
      </c>
      <c r="AG500" s="11">
        <v>0</v>
      </c>
      <c r="AH500" s="13">
        <v>1993200</v>
      </c>
      <c r="AI500" s="8"/>
      <c r="AJ500" s="8"/>
      <c r="AK500" s="8"/>
      <c r="AL500" s="10">
        <v>52731194931.75</v>
      </c>
      <c r="AM500" s="10">
        <v>33760880039.700001</v>
      </c>
      <c r="AN500" s="10">
        <v>20356691865</v>
      </c>
      <c r="AO500" s="10">
        <v>15627177493.200001</v>
      </c>
      <c r="AP500" s="10">
        <v>12862305352.799999</v>
      </c>
      <c r="AQ500" s="10">
        <v>9023164356.25</v>
      </c>
      <c r="AR500" s="10">
        <v>7972799992.1999998</v>
      </c>
      <c r="AS500" s="10">
        <v>5767822480.1999998</v>
      </c>
      <c r="AT500" s="8"/>
      <c r="AU500" s="8"/>
      <c r="AV500" s="8"/>
      <c r="AW500" s="14">
        <v>45291</v>
      </c>
      <c r="AX500" s="14">
        <v>44926</v>
      </c>
      <c r="AY500" s="14">
        <v>44561</v>
      </c>
      <c r="AZ500" s="14">
        <v>44196</v>
      </c>
      <c r="BA500" s="14">
        <v>43830</v>
      </c>
      <c r="BB500" s="14">
        <v>43465</v>
      </c>
      <c r="BC500" s="14">
        <v>43100</v>
      </c>
      <c r="BD500" s="14">
        <v>42735</v>
      </c>
      <c r="BE500" s="8"/>
      <c r="BF500" s="8"/>
      <c r="BG500" s="8"/>
      <c r="BH500" s="8" t="s">
        <v>201</v>
      </c>
      <c r="BI500" s="8" t="s">
        <v>201</v>
      </c>
      <c r="BJ500" s="8" t="s">
        <v>201</v>
      </c>
      <c r="BK500" s="8" t="s">
        <v>201</v>
      </c>
      <c r="BL500" s="8" t="s">
        <v>201</v>
      </c>
      <c r="BM500" s="8" t="s">
        <v>201</v>
      </c>
      <c r="BN500" s="8" t="s">
        <v>201</v>
      </c>
      <c r="BO500" s="8" t="s">
        <v>201</v>
      </c>
      <c r="BP500" s="8"/>
      <c r="BQ500" s="8" t="s">
        <v>25</v>
      </c>
      <c r="BR500" s="8" t="s">
        <v>202</v>
      </c>
      <c r="BS500" s="10">
        <v>0</v>
      </c>
      <c r="BT500" s="8"/>
      <c r="BU500" s="8"/>
      <c r="BV500" s="8"/>
      <c r="BW500" s="8" t="s">
        <v>27</v>
      </c>
      <c r="BX500" s="8" t="s">
        <v>27</v>
      </c>
      <c r="BY500" s="8" t="s">
        <v>27</v>
      </c>
      <c r="BZ500" s="8" t="s">
        <v>27</v>
      </c>
      <c r="CA500" s="8" t="s">
        <v>27</v>
      </c>
      <c r="CB500" s="8" t="s">
        <v>27</v>
      </c>
      <c r="CC500" s="8" t="s">
        <v>27</v>
      </c>
      <c r="CD500" s="8" t="s">
        <v>27</v>
      </c>
      <c r="CE500" s="8"/>
      <c r="CF500" s="8"/>
      <c r="CG500" s="8" t="s">
        <v>29</v>
      </c>
    </row>
    <row r="501" spans="1:85" ht="15.75" customHeight="1" x14ac:dyDescent="0.35">
      <c r="A501" s="8">
        <v>494</v>
      </c>
      <c r="B501" s="8" t="s">
        <v>700</v>
      </c>
      <c r="C501" s="8"/>
      <c r="D501" s="8"/>
      <c r="E501" s="8"/>
      <c r="F501" s="8"/>
      <c r="G501" s="8"/>
      <c r="H501" s="8"/>
      <c r="I501" s="8"/>
      <c r="J501" s="9">
        <v>0</v>
      </c>
      <c r="K501" s="9">
        <v>0</v>
      </c>
      <c r="L501" s="9">
        <v>9.9999999999999995E-7</v>
      </c>
      <c r="M501" s="9">
        <v>9.9999999999999995E-7</v>
      </c>
      <c r="N501" s="8"/>
      <c r="O501" s="8"/>
      <c r="P501" s="8"/>
      <c r="Q501" s="8"/>
      <c r="R501" s="8"/>
      <c r="S501" s="8"/>
      <c r="T501" s="8"/>
      <c r="U501" s="10">
        <v>0</v>
      </c>
      <c r="V501" s="10">
        <v>0</v>
      </c>
      <c r="W501" s="10">
        <v>120000</v>
      </c>
      <c r="X501" s="10">
        <v>120000</v>
      </c>
      <c r="Y501" s="8"/>
      <c r="Z501" s="8"/>
      <c r="AA501" s="8"/>
      <c r="AB501" s="8"/>
      <c r="AC501" s="8"/>
      <c r="AD501" s="8"/>
      <c r="AE501" s="8"/>
      <c r="AF501" s="11">
        <v>0</v>
      </c>
      <c r="AG501" s="12">
        <v>-120000</v>
      </c>
      <c r="AH501" s="11">
        <v>0</v>
      </c>
      <c r="AI501" s="11">
        <v>0</v>
      </c>
      <c r="AJ501" s="8"/>
      <c r="AK501" s="8"/>
      <c r="AL501" s="8"/>
      <c r="AM501" s="8"/>
      <c r="AN501" s="8"/>
      <c r="AO501" s="8"/>
      <c r="AP501" s="8"/>
      <c r="AQ501" s="10">
        <v>0</v>
      </c>
      <c r="AR501" s="10">
        <v>0</v>
      </c>
      <c r="AS501" s="10">
        <v>237750005.44999999</v>
      </c>
      <c r="AT501" s="10">
        <v>237750005.44999999</v>
      </c>
      <c r="AU501" s="8"/>
      <c r="AV501" s="8"/>
      <c r="AW501" s="8"/>
      <c r="AX501" s="8"/>
      <c r="AY501" s="8"/>
      <c r="AZ501" s="8"/>
      <c r="BA501" s="8"/>
      <c r="BB501" s="14">
        <v>42825</v>
      </c>
      <c r="BC501" s="14">
        <v>42825</v>
      </c>
      <c r="BD501" s="14">
        <v>42277</v>
      </c>
      <c r="BE501" s="14">
        <v>42277</v>
      </c>
      <c r="BF501" s="8"/>
      <c r="BG501" s="8"/>
      <c r="BH501" s="8"/>
      <c r="BI501" s="8"/>
      <c r="BJ501" s="8"/>
      <c r="BK501" s="8"/>
      <c r="BL501" s="8"/>
      <c r="BM501" s="8" t="s">
        <v>35</v>
      </c>
      <c r="BN501" s="8" t="s">
        <v>35</v>
      </c>
      <c r="BO501" s="8" t="s">
        <v>35</v>
      </c>
      <c r="BP501" s="8" t="s">
        <v>35</v>
      </c>
      <c r="BQ501" s="8" t="s">
        <v>31</v>
      </c>
      <c r="BR501" s="8" t="s">
        <v>160</v>
      </c>
      <c r="BS501" s="10">
        <v>0</v>
      </c>
      <c r="BT501" s="8" t="s">
        <v>41</v>
      </c>
      <c r="BU501" s="8"/>
      <c r="BV501" s="8"/>
      <c r="BW501" s="8"/>
      <c r="BX501" s="8"/>
      <c r="BY501" s="8"/>
      <c r="BZ501" s="8"/>
      <c r="CA501" s="8"/>
      <c r="CB501" s="8" t="s">
        <v>27</v>
      </c>
      <c r="CC501" s="8" t="s">
        <v>42</v>
      </c>
      <c r="CD501" s="8"/>
      <c r="CE501" s="8" t="s">
        <v>27</v>
      </c>
      <c r="CF501" s="8" t="s">
        <v>401</v>
      </c>
      <c r="CG501" s="8" t="s">
        <v>99</v>
      </c>
    </row>
    <row r="502" spans="1:85" ht="15.75" customHeight="1" x14ac:dyDescent="0.35">
      <c r="A502" s="8">
        <v>495</v>
      </c>
      <c r="B502" s="8" t="s">
        <v>701</v>
      </c>
      <c r="C502" s="8"/>
      <c r="D502" s="9">
        <v>6.2000000000000003E-5</v>
      </c>
      <c r="E502" s="9">
        <v>6.2000000000000003E-5</v>
      </c>
      <c r="F502" s="9">
        <v>6.2000000000000003E-5</v>
      </c>
      <c r="G502" s="8"/>
      <c r="H502" s="8"/>
      <c r="I502" s="8"/>
      <c r="J502" s="8"/>
      <c r="K502" s="8"/>
      <c r="L502" s="8"/>
      <c r="M502" s="9">
        <v>0</v>
      </c>
      <c r="N502" s="8"/>
      <c r="O502" s="10">
        <v>5728400</v>
      </c>
      <c r="P502" s="10">
        <v>5728400</v>
      </c>
      <c r="Q502" s="10">
        <v>5728400</v>
      </c>
      <c r="R502" s="8"/>
      <c r="S502" s="8"/>
      <c r="T502" s="8"/>
      <c r="U502" s="8"/>
      <c r="V502" s="8"/>
      <c r="W502" s="8"/>
      <c r="X502" s="10">
        <v>0</v>
      </c>
      <c r="Y502" s="8"/>
      <c r="Z502" s="11">
        <v>0</v>
      </c>
      <c r="AA502" s="11">
        <v>0</v>
      </c>
      <c r="AB502" s="13">
        <v>5728400</v>
      </c>
      <c r="AC502" s="8"/>
      <c r="AD502" s="8"/>
      <c r="AE502" s="8"/>
      <c r="AF502" s="8"/>
      <c r="AG502" s="8"/>
      <c r="AH502" s="8"/>
      <c r="AI502" s="11">
        <v>0</v>
      </c>
      <c r="AJ502" s="8"/>
      <c r="AK502" s="10">
        <v>29572865004.400002</v>
      </c>
      <c r="AL502" s="10">
        <v>29572865004.400002</v>
      </c>
      <c r="AM502" s="10">
        <v>28427185067.599998</v>
      </c>
      <c r="AN502" s="8"/>
      <c r="AO502" s="8"/>
      <c r="AP502" s="8"/>
      <c r="AQ502" s="8"/>
      <c r="AR502" s="8"/>
      <c r="AS502" s="8"/>
      <c r="AT502" s="10">
        <v>0</v>
      </c>
      <c r="AU502" s="8"/>
      <c r="AV502" s="14">
        <v>45016</v>
      </c>
      <c r="AW502" s="14">
        <v>45016</v>
      </c>
      <c r="AX502" s="14">
        <v>44926</v>
      </c>
      <c r="AY502" s="8"/>
      <c r="AZ502" s="8"/>
      <c r="BA502" s="8"/>
      <c r="BB502" s="8"/>
      <c r="BC502" s="8"/>
      <c r="BD502" s="8"/>
      <c r="BE502" s="14">
        <v>42063</v>
      </c>
      <c r="BF502" s="8"/>
      <c r="BG502" s="8" t="s">
        <v>35</v>
      </c>
      <c r="BH502" s="8" t="s">
        <v>35</v>
      </c>
      <c r="BI502" s="8" t="s">
        <v>35</v>
      </c>
      <c r="BJ502" s="8"/>
      <c r="BK502" s="8"/>
      <c r="BL502" s="8"/>
      <c r="BM502" s="8"/>
      <c r="BN502" s="8"/>
      <c r="BO502" s="8"/>
      <c r="BP502" s="8" t="s">
        <v>35</v>
      </c>
      <c r="BQ502" s="8" t="s">
        <v>31</v>
      </c>
      <c r="BR502" s="8" t="s">
        <v>160</v>
      </c>
      <c r="BS502" s="10">
        <v>598375486600092</v>
      </c>
      <c r="BT502" s="8" t="s">
        <v>57</v>
      </c>
      <c r="BU502" s="8"/>
      <c r="BV502" s="8" t="s">
        <v>42</v>
      </c>
      <c r="BW502" s="8" t="s">
        <v>42</v>
      </c>
      <c r="BX502" s="8" t="s">
        <v>27</v>
      </c>
      <c r="BY502" s="8"/>
      <c r="BZ502" s="8"/>
      <c r="CA502" s="8"/>
      <c r="CB502" s="8"/>
      <c r="CC502" s="8"/>
      <c r="CD502" s="8"/>
      <c r="CE502" s="8" t="s">
        <v>43</v>
      </c>
      <c r="CF502" s="8" t="s">
        <v>98</v>
      </c>
      <c r="CG502" s="8" t="s">
        <v>99</v>
      </c>
    </row>
    <row r="503" spans="1:85" ht="15.75" customHeight="1" x14ac:dyDescent="0.35">
      <c r="A503" s="8">
        <v>496</v>
      </c>
      <c r="B503" s="8" t="s">
        <v>702</v>
      </c>
      <c r="C503" s="8"/>
      <c r="D503" s="8"/>
      <c r="E503" s="8"/>
      <c r="F503" s="9">
        <v>4.0140000000000002E-3</v>
      </c>
      <c r="G503" s="9">
        <v>8.6470000000000002E-3</v>
      </c>
      <c r="H503" s="8"/>
      <c r="I503" s="8"/>
      <c r="J503" s="8"/>
      <c r="K503" s="8"/>
      <c r="L503" s="8"/>
      <c r="M503" s="8"/>
      <c r="N503" s="8"/>
      <c r="O503" s="8"/>
      <c r="P503" s="8"/>
      <c r="Q503" s="10">
        <v>370904200</v>
      </c>
      <c r="R503" s="10">
        <v>798993000</v>
      </c>
      <c r="S503" s="8"/>
      <c r="T503" s="8"/>
      <c r="U503" s="8"/>
      <c r="V503" s="8"/>
      <c r="W503" s="8"/>
      <c r="X503" s="8"/>
      <c r="Y503" s="8"/>
      <c r="Z503" s="8"/>
      <c r="AA503" s="8"/>
      <c r="AB503" s="12">
        <v>-428088800</v>
      </c>
      <c r="AC503" s="13">
        <v>798993000</v>
      </c>
      <c r="AD503" s="8"/>
      <c r="AE503" s="8"/>
      <c r="AF503" s="8"/>
      <c r="AG503" s="8"/>
      <c r="AH503" s="8"/>
      <c r="AI503" s="8"/>
      <c r="AJ503" s="8"/>
      <c r="AK503" s="8"/>
      <c r="AL503" s="8"/>
      <c r="AM503" s="10">
        <v>1840612093850.75</v>
      </c>
      <c r="AN503" s="10">
        <v>2803511847945</v>
      </c>
      <c r="AO503" s="8"/>
      <c r="AP503" s="8"/>
      <c r="AQ503" s="8"/>
      <c r="AR503" s="8"/>
      <c r="AS503" s="8"/>
      <c r="AT503" s="8"/>
      <c r="AU503" s="8"/>
      <c r="AV503" s="8"/>
      <c r="AW503" s="8"/>
      <c r="AX503" s="14">
        <v>44926</v>
      </c>
      <c r="AY503" s="14">
        <v>44561</v>
      </c>
      <c r="AZ503" s="8"/>
      <c r="BA503" s="8"/>
      <c r="BB503" s="8"/>
      <c r="BC503" s="8"/>
      <c r="BD503" s="8"/>
      <c r="BE503" s="8"/>
      <c r="BF503" s="8"/>
      <c r="BG503" s="8"/>
      <c r="BH503" s="8"/>
      <c r="BI503" s="8" t="s">
        <v>24</v>
      </c>
      <c r="BJ503" s="8" t="s">
        <v>24</v>
      </c>
      <c r="BK503" s="8"/>
      <c r="BL503" s="8"/>
      <c r="BM503" s="8"/>
      <c r="BN503" s="8"/>
      <c r="BO503" s="8"/>
      <c r="BP503" s="8"/>
      <c r="BQ503" s="8" t="s">
        <v>31</v>
      </c>
      <c r="BR503" s="8" t="s">
        <v>160</v>
      </c>
      <c r="BS503" s="10">
        <v>40290764948148</v>
      </c>
      <c r="BT503" s="8" t="s">
        <v>57</v>
      </c>
      <c r="BU503" s="8"/>
      <c r="BV503" s="8"/>
      <c r="BW503" s="8"/>
      <c r="BX503" s="8" t="s">
        <v>27</v>
      </c>
      <c r="BY503" s="8" t="s">
        <v>42</v>
      </c>
      <c r="BZ503" s="8"/>
      <c r="CA503" s="8"/>
      <c r="CB503" s="8"/>
      <c r="CC503" s="8"/>
      <c r="CD503" s="8"/>
      <c r="CE503" s="8"/>
      <c r="CF503" s="8" t="s">
        <v>98</v>
      </c>
      <c r="CG503" s="8" t="s">
        <v>99</v>
      </c>
    </row>
    <row r="504" spans="1:85" ht="15.75" customHeight="1" x14ac:dyDescent="0.35">
      <c r="A504" s="8">
        <v>497</v>
      </c>
      <c r="B504" s="8" t="s">
        <v>703</v>
      </c>
      <c r="C504" s="8"/>
      <c r="D504" s="8"/>
      <c r="E504" s="8"/>
      <c r="F504" s="9">
        <v>0</v>
      </c>
      <c r="G504" s="9">
        <v>0</v>
      </c>
      <c r="H504" s="9">
        <v>1.76E-4</v>
      </c>
      <c r="I504" s="8"/>
      <c r="J504" s="8"/>
      <c r="K504" s="8"/>
      <c r="L504" s="8"/>
      <c r="M504" s="8"/>
      <c r="N504" s="8"/>
      <c r="O504" s="8"/>
      <c r="P504" s="8"/>
      <c r="Q504" s="10">
        <v>0</v>
      </c>
      <c r="R504" s="10">
        <v>0</v>
      </c>
      <c r="S504" s="10">
        <v>16274710</v>
      </c>
      <c r="T504" s="8"/>
      <c r="U504" s="8"/>
      <c r="V504" s="8"/>
      <c r="W504" s="8"/>
      <c r="X504" s="8"/>
      <c r="Y504" s="8"/>
      <c r="Z504" s="8"/>
      <c r="AA504" s="8"/>
      <c r="AB504" s="11">
        <v>0</v>
      </c>
      <c r="AC504" s="12">
        <v>-16274710</v>
      </c>
      <c r="AD504" s="13">
        <v>16274710</v>
      </c>
      <c r="AE504" s="8"/>
      <c r="AF504" s="8"/>
      <c r="AG504" s="8"/>
      <c r="AH504" s="8"/>
      <c r="AI504" s="8"/>
      <c r="AJ504" s="8"/>
      <c r="AK504" s="8"/>
      <c r="AL504" s="8"/>
      <c r="AM504" s="10">
        <v>0</v>
      </c>
      <c r="AN504" s="10">
        <v>0</v>
      </c>
      <c r="AO504" s="10">
        <v>51468770293.199997</v>
      </c>
      <c r="AP504" s="8"/>
      <c r="AQ504" s="8"/>
      <c r="AR504" s="8"/>
      <c r="AS504" s="8"/>
      <c r="AT504" s="8"/>
      <c r="AU504" s="8"/>
      <c r="AV504" s="8"/>
      <c r="AW504" s="8"/>
      <c r="AX504" s="14">
        <v>44561</v>
      </c>
      <c r="AY504" s="14">
        <v>44561</v>
      </c>
      <c r="AZ504" s="14">
        <v>44196</v>
      </c>
      <c r="BA504" s="8"/>
      <c r="BB504" s="8"/>
      <c r="BC504" s="8"/>
      <c r="BD504" s="8"/>
      <c r="BE504" s="8"/>
      <c r="BF504" s="8"/>
      <c r="BG504" s="8"/>
      <c r="BH504" s="8"/>
      <c r="BI504" s="8" t="s">
        <v>35</v>
      </c>
      <c r="BJ504" s="8" t="s">
        <v>35</v>
      </c>
      <c r="BK504" s="8" t="s">
        <v>35</v>
      </c>
      <c r="BL504" s="8"/>
      <c r="BM504" s="8"/>
      <c r="BN504" s="8"/>
      <c r="BO504" s="8"/>
      <c r="BP504" s="8"/>
      <c r="BQ504" s="8" t="s">
        <v>31</v>
      </c>
      <c r="BR504" s="8" t="s">
        <v>160</v>
      </c>
      <c r="BS504" s="10">
        <v>1188198109982.3999</v>
      </c>
      <c r="BT504" s="8"/>
      <c r="BU504" s="8"/>
      <c r="BV504" s="8"/>
      <c r="BW504" s="8"/>
      <c r="BX504" s="8" t="s">
        <v>27</v>
      </c>
      <c r="BY504" s="8" t="s">
        <v>42</v>
      </c>
      <c r="BZ504" s="8" t="s">
        <v>42</v>
      </c>
      <c r="CA504" s="8"/>
      <c r="CB504" s="8"/>
      <c r="CC504" s="8"/>
      <c r="CD504" s="8"/>
      <c r="CE504" s="8"/>
      <c r="CF504" s="8" t="s">
        <v>575</v>
      </c>
      <c r="CG504" s="8" t="s">
        <v>433</v>
      </c>
    </row>
    <row r="505" spans="1:85" ht="15.75" customHeight="1" x14ac:dyDescent="0.35">
      <c r="A505" s="8">
        <v>498</v>
      </c>
      <c r="B505" s="8" t="s">
        <v>704</v>
      </c>
      <c r="C505" s="8"/>
      <c r="D505" s="8"/>
      <c r="E505" s="8"/>
      <c r="F505" s="9">
        <v>0</v>
      </c>
      <c r="G505" s="9">
        <v>0</v>
      </c>
      <c r="H505" s="8"/>
      <c r="I505" s="8"/>
      <c r="J505" s="8"/>
      <c r="K505" s="8"/>
      <c r="L505" s="8"/>
      <c r="M505" s="8"/>
      <c r="N505" s="8"/>
      <c r="O505" s="8"/>
      <c r="P505" s="8"/>
      <c r="Q505" s="10">
        <v>0</v>
      </c>
      <c r="R505" s="10">
        <v>0</v>
      </c>
      <c r="S505" s="8"/>
      <c r="T505" s="8"/>
      <c r="U505" s="8"/>
      <c r="V505" s="8"/>
      <c r="W505" s="8"/>
      <c r="X505" s="8"/>
      <c r="Y505" s="8"/>
      <c r="Z505" s="8"/>
      <c r="AA505" s="8"/>
      <c r="AB505" s="11">
        <v>0</v>
      </c>
      <c r="AC505" s="11">
        <v>0</v>
      </c>
      <c r="AD505" s="8"/>
      <c r="AE505" s="8"/>
      <c r="AF505" s="8"/>
      <c r="AG505" s="8"/>
      <c r="AH505" s="8"/>
      <c r="AI505" s="8"/>
      <c r="AJ505" s="8"/>
      <c r="AK505" s="8"/>
      <c r="AL505" s="8"/>
      <c r="AM505" s="10">
        <v>0</v>
      </c>
      <c r="AN505" s="10">
        <v>0</v>
      </c>
      <c r="AO505" s="8"/>
      <c r="AP505" s="8"/>
      <c r="AQ505" s="8"/>
      <c r="AR505" s="8"/>
      <c r="AS505" s="8"/>
      <c r="AT505" s="8"/>
      <c r="AU505" s="8"/>
      <c r="AV505" s="8"/>
      <c r="AW505" s="8"/>
      <c r="AX505" s="14">
        <v>44469</v>
      </c>
      <c r="AY505" s="14">
        <v>44469</v>
      </c>
      <c r="AZ505" s="8"/>
      <c r="BA505" s="8"/>
      <c r="BB505" s="8"/>
      <c r="BC505" s="8"/>
      <c r="BD505" s="8"/>
      <c r="BE505" s="8"/>
      <c r="BF505" s="8"/>
      <c r="BG505" s="8"/>
      <c r="BH505" s="8"/>
      <c r="BI505" s="8" t="s">
        <v>35</v>
      </c>
      <c r="BJ505" s="8" t="s">
        <v>35</v>
      </c>
      <c r="BK505" s="8"/>
      <c r="BL505" s="8"/>
      <c r="BM505" s="8"/>
      <c r="BN505" s="8"/>
      <c r="BO505" s="8"/>
      <c r="BP505" s="8"/>
      <c r="BQ505" s="8" t="s">
        <v>31</v>
      </c>
      <c r="BR505" s="8" t="s">
        <v>160</v>
      </c>
      <c r="BS505" s="10">
        <v>3673282951672.7998</v>
      </c>
      <c r="BT505" s="8" t="s">
        <v>41</v>
      </c>
      <c r="BU505" s="8"/>
      <c r="BV505" s="8"/>
      <c r="BW505" s="8"/>
      <c r="BX505" s="8" t="s">
        <v>42</v>
      </c>
      <c r="BY505" s="8" t="s">
        <v>42</v>
      </c>
      <c r="BZ505" s="8"/>
      <c r="CA505" s="8"/>
      <c r="CB505" s="8"/>
      <c r="CC505" s="8"/>
      <c r="CD505" s="8"/>
      <c r="CE505" s="8"/>
      <c r="CF505" s="8" t="s">
        <v>232</v>
      </c>
      <c r="CG505" s="8" t="s">
        <v>232</v>
      </c>
    </row>
    <row r="506" spans="1:85" ht="15.75" customHeight="1" x14ac:dyDescent="0.35">
      <c r="A506" s="8">
        <v>499</v>
      </c>
      <c r="B506" s="8" t="s">
        <v>705</v>
      </c>
      <c r="C506" s="8"/>
      <c r="D506" s="8"/>
      <c r="E506" s="9">
        <v>0</v>
      </c>
      <c r="F506" s="9">
        <v>0</v>
      </c>
      <c r="G506" s="8"/>
      <c r="H506" s="8"/>
      <c r="I506" s="8"/>
      <c r="J506" s="9">
        <v>0</v>
      </c>
      <c r="K506" s="9">
        <v>0</v>
      </c>
      <c r="L506" s="9">
        <v>1.2E-5</v>
      </c>
      <c r="M506" s="9">
        <v>2.1999999999999999E-5</v>
      </c>
      <c r="N506" s="8"/>
      <c r="O506" s="8"/>
      <c r="P506" s="10">
        <v>0</v>
      </c>
      <c r="Q506" s="10">
        <v>0</v>
      </c>
      <c r="R506" s="8"/>
      <c r="S506" s="8"/>
      <c r="T506" s="8"/>
      <c r="U506" s="10">
        <v>0</v>
      </c>
      <c r="V506" s="10">
        <v>0</v>
      </c>
      <c r="W506" s="10">
        <v>1090000</v>
      </c>
      <c r="X506" s="10">
        <v>2017200</v>
      </c>
      <c r="Y506" s="8"/>
      <c r="Z506" s="8"/>
      <c r="AA506" s="11">
        <v>0</v>
      </c>
      <c r="AB506" s="11">
        <v>0</v>
      </c>
      <c r="AC506" s="8"/>
      <c r="AD506" s="8"/>
      <c r="AE506" s="8"/>
      <c r="AF506" s="11">
        <v>0</v>
      </c>
      <c r="AG506" s="12">
        <v>-1090000</v>
      </c>
      <c r="AH506" s="12">
        <v>-927200</v>
      </c>
      <c r="AI506" s="12">
        <v>-431200</v>
      </c>
      <c r="AJ506" s="8"/>
      <c r="AK506" s="8"/>
      <c r="AL506" s="10">
        <v>0</v>
      </c>
      <c r="AM506" s="10">
        <v>0</v>
      </c>
      <c r="AN506" s="8"/>
      <c r="AO506" s="8"/>
      <c r="AP506" s="8"/>
      <c r="AQ506" s="10">
        <v>0</v>
      </c>
      <c r="AR506" s="10">
        <v>0</v>
      </c>
      <c r="AS506" s="10">
        <v>3154187463.5999999</v>
      </c>
      <c r="AT506" s="10">
        <v>4666467597.3000002</v>
      </c>
      <c r="AU506" s="8"/>
      <c r="AV506" s="8"/>
      <c r="AW506" s="14">
        <v>44895</v>
      </c>
      <c r="AX506" s="14">
        <v>44895</v>
      </c>
      <c r="AY506" s="8"/>
      <c r="AZ506" s="8"/>
      <c r="BA506" s="8"/>
      <c r="BB506" s="14">
        <v>42855</v>
      </c>
      <c r="BC506" s="14">
        <v>42855</v>
      </c>
      <c r="BD506" s="14">
        <v>42735</v>
      </c>
      <c r="BE506" s="14">
        <v>42369</v>
      </c>
      <c r="BF506" s="8"/>
      <c r="BG506" s="8"/>
      <c r="BH506" s="8" t="s">
        <v>35</v>
      </c>
      <c r="BI506" s="8" t="s">
        <v>35</v>
      </c>
      <c r="BJ506" s="8"/>
      <c r="BK506" s="8"/>
      <c r="BL506" s="8"/>
      <c r="BM506" s="8" t="s">
        <v>35</v>
      </c>
      <c r="BN506" s="8" t="s">
        <v>35</v>
      </c>
      <c r="BO506" s="8" t="s">
        <v>35</v>
      </c>
      <c r="BP506" s="8" t="s">
        <v>35</v>
      </c>
      <c r="BQ506" s="8" t="s">
        <v>31</v>
      </c>
      <c r="BR506" s="8" t="s">
        <v>49</v>
      </c>
      <c r="BS506" s="10">
        <v>53785901575800</v>
      </c>
      <c r="BT506" s="8" t="s">
        <v>41</v>
      </c>
      <c r="BU506" s="8"/>
      <c r="BV506" s="8"/>
      <c r="BW506" s="8" t="s">
        <v>42</v>
      </c>
      <c r="BX506" s="8" t="s">
        <v>42</v>
      </c>
      <c r="BY506" s="8"/>
      <c r="BZ506" s="8"/>
      <c r="CA506" s="8"/>
      <c r="CB506" s="8" t="s">
        <v>42</v>
      </c>
      <c r="CC506" s="8" t="s">
        <v>43</v>
      </c>
      <c r="CD506" s="8" t="s">
        <v>42</v>
      </c>
      <c r="CE506" s="8" t="s">
        <v>42</v>
      </c>
      <c r="CF506" s="8" t="s">
        <v>391</v>
      </c>
      <c r="CG506" s="8" t="s">
        <v>99</v>
      </c>
    </row>
    <row r="507" spans="1:85" ht="15.75" customHeight="1" x14ac:dyDescent="0.35">
      <c r="A507" s="8">
        <v>500</v>
      </c>
      <c r="B507" s="8" t="s">
        <v>706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>
        <v>1.2999999999999999E-5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10">
        <v>1206000</v>
      </c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11">
        <v>0</v>
      </c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10">
        <v>3618000003.1999998</v>
      </c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14">
        <v>42063</v>
      </c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 t="s">
        <v>35</v>
      </c>
      <c r="BQ507" s="8" t="s">
        <v>31</v>
      </c>
      <c r="BR507" s="8" t="s">
        <v>36</v>
      </c>
      <c r="BS507" s="10">
        <v>13761230521603.199</v>
      </c>
      <c r="BT507" s="8" t="s">
        <v>57</v>
      </c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 t="s">
        <v>27</v>
      </c>
      <c r="CF507" s="8" t="s">
        <v>707</v>
      </c>
      <c r="CG507" s="8" t="s">
        <v>96</v>
      </c>
    </row>
    <row r="508" spans="1:85" ht="15.75" customHeight="1" x14ac:dyDescent="0.35">
      <c r="A508" s="8">
        <v>501</v>
      </c>
      <c r="B508" s="8" t="s">
        <v>708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>
        <v>0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10">
        <v>0</v>
      </c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11">
        <v>0</v>
      </c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10">
        <v>0</v>
      </c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14">
        <v>41912</v>
      </c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 t="s">
        <v>35</v>
      </c>
      <c r="BQ508" s="8" t="s">
        <v>31</v>
      </c>
      <c r="BR508" s="8" t="s">
        <v>49</v>
      </c>
      <c r="BS508" s="10">
        <v>920890574894.40002</v>
      </c>
      <c r="BT508" s="8" t="s">
        <v>57</v>
      </c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 t="s">
        <v>27</v>
      </c>
      <c r="CF508" s="8" t="s">
        <v>70</v>
      </c>
      <c r="CG508" s="8" t="s">
        <v>71</v>
      </c>
    </row>
    <row r="509" spans="1:85" ht="15.75" customHeight="1" x14ac:dyDescent="0.35">
      <c r="A509" s="8">
        <v>502</v>
      </c>
      <c r="B509" s="8" t="s">
        <v>709</v>
      </c>
      <c r="C509" s="8"/>
      <c r="D509" s="8"/>
      <c r="E509" s="8"/>
      <c r="F509" s="8"/>
      <c r="G509" s="8"/>
      <c r="H509" s="8"/>
      <c r="I509" s="8"/>
      <c r="J509" s="9">
        <v>0</v>
      </c>
      <c r="K509" s="9">
        <v>0</v>
      </c>
      <c r="L509" s="9">
        <v>9.5200000000000005E-4</v>
      </c>
      <c r="M509" s="8"/>
      <c r="N509" s="8"/>
      <c r="O509" s="8"/>
      <c r="P509" s="8"/>
      <c r="Q509" s="8"/>
      <c r="R509" s="8"/>
      <c r="S509" s="8"/>
      <c r="T509" s="8"/>
      <c r="U509" s="10">
        <v>0</v>
      </c>
      <c r="V509" s="10">
        <v>0</v>
      </c>
      <c r="W509" s="10">
        <v>88000000</v>
      </c>
      <c r="X509" s="8"/>
      <c r="Y509" s="8"/>
      <c r="Z509" s="8"/>
      <c r="AA509" s="8"/>
      <c r="AB509" s="8"/>
      <c r="AC509" s="8"/>
      <c r="AD509" s="8"/>
      <c r="AE509" s="8"/>
      <c r="AF509" s="11">
        <v>0</v>
      </c>
      <c r="AG509" s="12">
        <v>-88000000</v>
      </c>
      <c r="AH509" s="13">
        <v>88000000</v>
      </c>
      <c r="AI509" s="8"/>
      <c r="AJ509" s="8"/>
      <c r="AK509" s="8"/>
      <c r="AL509" s="8"/>
      <c r="AM509" s="8"/>
      <c r="AN509" s="8"/>
      <c r="AO509" s="8"/>
      <c r="AP509" s="8"/>
      <c r="AQ509" s="10">
        <v>0</v>
      </c>
      <c r="AR509" s="10">
        <v>0</v>
      </c>
      <c r="AS509" s="10">
        <v>254650000184.10001</v>
      </c>
      <c r="AT509" s="8"/>
      <c r="AU509" s="8"/>
      <c r="AV509" s="8"/>
      <c r="AW509" s="8"/>
      <c r="AX509" s="8"/>
      <c r="AY509" s="8"/>
      <c r="AZ509" s="8"/>
      <c r="BA509" s="8"/>
      <c r="BB509" s="14">
        <v>43100</v>
      </c>
      <c r="BC509" s="14">
        <v>43100</v>
      </c>
      <c r="BD509" s="14">
        <v>42735</v>
      </c>
      <c r="BE509" s="8"/>
      <c r="BF509" s="8"/>
      <c r="BG509" s="8"/>
      <c r="BH509" s="8"/>
      <c r="BI509" s="8"/>
      <c r="BJ509" s="8"/>
      <c r="BK509" s="8"/>
      <c r="BL509" s="8"/>
      <c r="BM509" s="8" t="s">
        <v>35</v>
      </c>
      <c r="BN509" s="8" t="s">
        <v>35</v>
      </c>
      <c r="BO509" s="8" t="s">
        <v>35</v>
      </c>
      <c r="BP509" s="8"/>
      <c r="BQ509" s="8" t="s">
        <v>31</v>
      </c>
      <c r="BR509" s="8" t="s">
        <v>49</v>
      </c>
      <c r="BS509" s="10">
        <v>678749594220044</v>
      </c>
      <c r="BT509" s="8" t="s">
        <v>37</v>
      </c>
      <c r="BU509" s="8"/>
      <c r="BV509" s="8"/>
      <c r="BW509" s="8"/>
      <c r="BX509" s="8"/>
      <c r="BY509" s="8"/>
      <c r="BZ509" s="8"/>
      <c r="CA509" s="8"/>
      <c r="CB509" s="8" t="s">
        <v>27</v>
      </c>
      <c r="CC509" s="8" t="s">
        <v>27</v>
      </c>
      <c r="CD509" s="8" t="s">
        <v>27</v>
      </c>
      <c r="CE509" s="8"/>
      <c r="CF509" s="8" t="s">
        <v>82</v>
      </c>
      <c r="CG509" s="8" t="s">
        <v>39</v>
      </c>
    </row>
    <row r="510" spans="1:85" ht="15.75" customHeight="1" x14ac:dyDescent="0.35">
      <c r="A510" s="8">
        <v>503</v>
      </c>
      <c r="B510" s="8" t="s">
        <v>710</v>
      </c>
      <c r="C510" s="8"/>
      <c r="D510" s="8"/>
      <c r="E510" s="8"/>
      <c r="F510" s="8"/>
      <c r="G510" s="8"/>
      <c r="H510" s="8"/>
      <c r="I510" s="8"/>
      <c r="J510" s="8"/>
      <c r="K510" s="8"/>
      <c r="L510" s="9">
        <v>0</v>
      </c>
      <c r="M510" s="9">
        <v>0</v>
      </c>
      <c r="N510" s="8"/>
      <c r="O510" s="8"/>
      <c r="P510" s="8"/>
      <c r="Q510" s="8"/>
      <c r="R510" s="8"/>
      <c r="S510" s="8"/>
      <c r="T510" s="8"/>
      <c r="U510" s="8"/>
      <c r="V510" s="8"/>
      <c r="W510" s="10">
        <v>0</v>
      </c>
      <c r="X510" s="10">
        <v>0</v>
      </c>
      <c r="Y510" s="8"/>
      <c r="Z510" s="8"/>
      <c r="AA510" s="8"/>
      <c r="AB510" s="8"/>
      <c r="AC510" s="8"/>
      <c r="AD510" s="8"/>
      <c r="AE510" s="8"/>
      <c r="AF510" s="8"/>
      <c r="AG510" s="8"/>
      <c r="AH510" s="11">
        <v>0</v>
      </c>
      <c r="AI510" s="11">
        <v>0</v>
      </c>
      <c r="AJ510" s="8"/>
      <c r="AK510" s="8"/>
      <c r="AL510" s="8"/>
      <c r="AM510" s="8"/>
      <c r="AN510" s="8"/>
      <c r="AO510" s="8"/>
      <c r="AP510" s="8"/>
      <c r="AQ510" s="8"/>
      <c r="AR510" s="8"/>
      <c r="AS510" s="10">
        <v>0</v>
      </c>
      <c r="AT510" s="10">
        <v>0</v>
      </c>
      <c r="AU510" s="8"/>
      <c r="AV510" s="8"/>
      <c r="AW510" s="8"/>
      <c r="AX510" s="8"/>
      <c r="AY510" s="8"/>
      <c r="AZ510" s="8"/>
      <c r="BA510" s="8"/>
      <c r="BB510" s="8"/>
      <c r="BC510" s="8"/>
      <c r="BD510" s="14">
        <v>42277</v>
      </c>
      <c r="BE510" s="14">
        <v>42277</v>
      </c>
      <c r="BF510" s="8"/>
      <c r="BG510" s="8"/>
      <c r="BH510" s="8"/>
      <c r="BI510" s="8"/>
      <c r="BJ510" s="8"/>
      <c r="BK510" s="8"/>
      <c r="BL510" s="8"/>
      <c r="BM510" s="8"/>
      <c r="BN510" s="8"/>
      <c r="BO510" s="8" t="s">
        <v>35</v>
      </c>
      <c r="BP510" s="8" t="s">
        <v>35</v>
      </c>
      <c r="BQ510" s="8" t="s">
        <v>31</v>
      </c>
      <c r="BR510" s="8" t="s">
        <v>160</v>
      </c>
      <c r="BS510" s="10">
        <v>42998557468228.797</v>
      </c>
      <c r="BT510" s="8" t="s">
        <v>57</v>
      </c>
      <c r="BU510" s="8"/>
      <c r="BV510" s="8"/>
      <c r="BW510" s="8"/>
      <c r="BX510" s="8"/>
      <c r="BY510" s="8"/>
      <c r="BZ510" s="8"/>
      <c r="CA510" s="8"/>
      <c r="CB510" s="8"/>
      <c r="CC510" s="8"/>
      <c r="CD510" s="8" t="s">
        <v>42</v>
      </c>
      <c r="CE510" s="8" t="s">
        <v>42</v>
      </c>
      <c r="CF510" s="8" t="s">
        <v>711</v>
      </c>
      <c r="CG510" s="8" t="s">
        <v>96</v>
      </c>
    </row>
    <row r="511" spans="1:85" ht="15.75" customHeight="1" x14ac:dyDescent="0.35">
      <c r="A511" s="8">
        <v>504</v>
      </c>
      <c r="B511" s="8" t="s">
        <v>712</v>
      </c>
      <c r="C511" s="8"/>
      <c r="D511" s="8"/>
      <c r="E511" s="8"/>
      <c r="F511" s="8"/>
      <c r="G511" s="9">
        <v>0</v>
      </c>
      <c r="H511" s="9">
        <v>0</v>
      </c>
      <c r="I511" s="9">
        <v>1.9999999999999999E-6</v>
      </c>
      <c r="J511" s="9">
        <v>1.9999999999999999E-6</v>
      </c>
      <c r="K511" s="9">
        <v>1.9999999999999999E-6</v>
      </c>
      <c r="L511" s="8"/>
      <c r="M511" s="8"/>
      <c r="N511" s="8"/>
      <c r="O511" s="8"/>
      <c r="P511" s="8"/>
      <c r="Q511" s="8"/>
      <c r="R511" s="10">
        <v>0</v>
      </c>
      <c r="S511" s="10">
        <v>0</v>
      </c>
      <c r="T511" s="10">
        <v>198900</v>
      </c>
      <c r="U511" s="10">
        <v>197170</v>
      </c>
      <c r="V511" s="10">
        <v>189758</v>
      </c>
      <c r="W511" s="8"/>
      <c r="X511" s="8"/>
      <c r="Y511" s="8"/>
      <c r="Z511" s="8"/>
      <c r="AA511" s="8"/>
      <c r="AB511" s="8"/>
      <c r="AC511" s="11">
        <v>0</v>
      </c>
      <c r="AD511" s="12">
        <v>-198900</v>
      </c>
      <c r="AE511" s="13">
        <v>1730</v>
      </c>
      <c r="AF511" s="13">
        <v>7412</v>
      </c>
      <c r="AG511" s="13">
        <v>189758</v>
      </c>
      <c r="AH511" s="8"/>
      <c r="AI511" s="8"/>
      <c r="AJ511" s="8"/>
      <c r="AK511" s="8"/>
      <c r="AL511" s="8"/>
      <c r="AM511" s="8"/>
      <c r="AN511" s="10">
        <v>0</v>
      </c>
      <c r="AO511" s="10">
        <v>0</v>
      </c>
      <c r="AP511" s="10">
        <v>761085371.20000005</v>
      </c>
      <c r="AQ511" s="10">
        <v>718072793.75</v>
      </c>
      <c r="AR511" s="10">
        <v>759032016.70000005</v>
      </c>
      <c r="AS511" s="8"/>
      <c r="AT511" s="8"/>
      <c r="AU511" s="8"/>
      <c r="AV511" s="8"/>
      <c r="AW511" s="8"/>
      <c r="AX511" s="8"/>
      <c r="AY511" s="14">
        <v>44074</v>
      </c>
      <c r="AZ511" s="14">
        <v>44074</v>
      </c>
      <c r="BA511" s="14">
        <v>43830</v>
      </c>
      <c r="BB511" s="14">
        <v>43465</v>
      </c>
      <c r="BC511" s="14">
        <v>43100</v>
      </c>
      <c r="BD511" s="8"/>
      <c r="BE511" s="8"/>
      <c r="BF511" s="8"/>
      <c r="BG511" s="8"/>
      <c r="BH511" s="8"/>
      <c r="BI511" s="8"/>
      <c r="BJ511" s="8" t="s">
        <v>35</v>
      </c>
      <c r="BK511" s="8" t="s">
        <v>35</v>
      </c>
      <c r="BL511" s="8" t="s">
        <v>35</v>
      </c>
      <c r="BM511" s="8" t="s">
        <v>35</v>
      </c>
      <c r="BN511" s="8" t="s">
        <v>35</v>
      </c>
      <c r="BO511" s="8"/>
      <c r="BP511" s="8"/>
      <c r="BQ511" s="8" t="s">
        <v>31</v>
      </c>
      <c r="BR511" s="8" t="s">
        <v>160</v>
      </c>
      <c r="BS511" s="10">
        <v>75826609033489.203</v>
      </c>
      <c r="BT511" s="8" t="s">
        <v>61</v>
      </c>
      <c r="BU511" s="8"/>
      <c r="BV511" s="8"/>
      <c r="BW511" s="8"/>
      <c r="BX511" s="8"/>
      <c r="BY511" s="8" t="s">
        <v>27</v>
      </c>
      <c r="BZ511" s="8" t="s">
        <v>42</v>
      </c>
      <c r="CA511" s="8" t="s">
        <v>27</v>
      </c>
      <c r="CB511" s="8" t="s">
        <v>27</v>
      </c>
      <c r="CC511" s="8" t="s">
        <v>43</v>
      </c>
      <c r="CD511" s="8"/>
      <c r="CE511" s="8"/>
      <c r="CF511" s="8" t="s">
        <v>713</v>
      </c>
      <c r="CG511" s="8" t="s">
        <v>99</v>
      </c>
    </row>
    <row r="512" spans="1:85" ht="15.75" customHeight="1" x14ac:dyDescent="0.35">
      <c r="A512" s="8">
        <v>505</v>
      </c>
      <c r="B512" s="8" t="s">
        <v>714</v>
      </c>
      <c r="C512" s="8"/>
      <c r="D512" s="8"/>
      <c r="E512" s="8"/>
      <c r="F512" s="8"/>
      <c r="G512" s="8"/>
      <c r="H512" s="8"/>
      <c r="I512" s="8"/>
      <c r="J512" s="8"/>
      <c r="K512" s="9">
        <v>3.9999999999999998E-6</v>
      </c>
      <c r="L512" s="9">
        <v>3.9999999999999998E-6</v>
      </c>
      <c r="M512" s="9">
        <v>3.9999999999999998E-6</v>
      </c>
      <c r="N512" s="8"/>
      <c r="O512" s="8"/>
      <c r="P512" s="8"/>
      <c r="Q512" s="8"/>
      <c r="R512" s="8"/>
      <c r="S512" s="8"/>
      <c r="T512" s="8"/>
      <c r="U512" s="8"/>
      <c r="V512" s="10">
        <v>331200</v>
      </c>
      <c r="W512" s="10">
        <v>331200</v>
      </c>
      <c r="X512" s="10">
        <v>341600</v>
      </c>
      <c r="Y512" s="8"/>
      <c r="Z512" s="8"/>
      <c r="AA512" s="8"/>
      <c r="AB512" s="8"/>
      <c r="AC512" s="8"/>
      <c r="AD512" s="8"/>
      <c r="AE512" s="8"/>
      <c r="AF512" s="8"/>
      <c r="AG512" s="11">
        <v>0</v>
      </c>
      <c r="AH512" s="12">
        <v>-10400</v>
      </c>
      <c r="AI512" s="12">
        <v>-48800</v>
      </c>
      <c r="AJ512" s="8"/>
      <c r="AK512" s="8"/>
      <c r="AL512" s="8"/>
      <c r="AM512" s="8"/>
      <c r="AN512" s="8"/>
      <c r="AO512" s="8"/>
      <c r="AP512" s="8"/>
      <c r="AQ512" s="8"/>
      <c r="AR512" s="10">
        <v>836279990.63</v>
      </c>
      <c r="AS512" s="10">
        <v>836279990.63</v>
      </c>
      <c r="AT512" s="10">
        <v>790236566.54999995</v>
      </c>
      <c r="AU512" s="8"/>
      <c r="AV512" s="8"/>
      <c r="AW512" s="8"/>
      <c r="AX512" s="8"/>
      <c r="AY512" s="8"/>
      <c r="AZ512" s="8"/>
      <c r="BA512" s="8"/>
      <c r="BB512" s="8"/>
      <c r="BC512" s="14">
        <v>42582</v>
      </c>
      <c r="BD512" s="14">
        <v>42582</v>
      </c>
      <c r="BE512" s="14">
        <v>42369</v>
      </c>
      <c r="BF512" s="8"/>
      <c r="BG512" s="8"/>
      <c r="BH512" s="8"/>
      <c r="BI512" s="8"/>
      <c r="BJ512" s="8"/>
      <c r="BK512" s="8"/>
      <c r="BL512" s="8"/>
      <c r="BM512" s="8"/>
      <c r="BN512" s="8" t="s">
        <v>35</v>
      </c>
      <c r="BO512" s="8" t="s">
        <v>35</v>
      </c>
      <c r="BP512" s="8" t="s">
        <v>35</v>
      </c>
      <c r="BQ512" s="8" t="s">
        <v>31</v>
      </c>
      <c r="BR512" s="8" t="s">
        <v>49</v>
      </c>
      <c r="BS512" s="10">
        <v>1964724687243960</v>
      </c>
      <c r="BT512" s="8" t="s">
        <v>46</v>
      </c>
      <c r="BU512" s="8"/>
      <c r="BV512" s="8"/>
      <c r="BW512" s="8"/>
      <c r="BX512" s="8"/>
      <c r="BY512" s="8"/>
      <c r="BZ512" s="8"/>
      <c r="CA512" s="8"/>
      <c r="CB512" s="8"/>
      <c r="CC512" s="8" t="s">
        <v>27</v>
      </c>
      <c r="CD512" s="8" t="s">
        <v>27</v>
      </c>
      <c r="CE512" s="8" t="s">
        <v>27</v>
      </c>
      <c r="CF512" s="8" t="s">
        <v>114</v>
      </c>
      <c r="CG512" s="8" t="s">
        <v>115</v>
      </c>
    </row>
    <row r="513" spans="1:85" ht="15.75" customHeight="1" x14ac:dyDescent="0.35">
      <c r="A513" s="8">
        <v>506</v>
      </c>
      <c r="B513" s="8" t="s">
        <v>715</v>
      </c>
      <c r="C513" s="8"/>
      <c r="D513" s="8"/>
      <c r="E513" s="8"/>
      <c r="F513" s="8"/>
      <c r="G513" s="8"/>
      <c r="H513" s="8"/>
      <c r="I513" s="8"/>
      <c r="J513" s="8"/>
      <c r="K513" s="8"/>
      <c r="L513" s="9">
        <v>1.5200000000000001E-4</v>
      </c>
      <c r="M513" s="9">
        <v>1.5200000000000001E-4</v>
      </c>
      <c r="N513" s="8"/>
      <c r="O513" s="8"/>
      <c r="P513" s="8"/>
      <c r="Q513" s="8"/>
      <c r="R513" s="8"/>
      <c r="S513" s="8"/>
      <c r="T513" s="8"/>
      <c r="U513" s="8"/>
      <c r="V513" s="8"/>
      <c r="W513" s="10">
        <v>14039888</v>
      </c>
      <c r="X513" s="10">
        <v>14039888</v>
      </c>
      <c r="Y513" s="8"/>
      <c r="Z513" s="8"/>
      <c r="AA513" s="8"/>
      <c r="AB513" s="8"/>
      <c r="AC513" s="8"/>
      <c r="AD513" s="8"/>
      <c r="AE513" s="8"/>
      <c r="AF513" s="8"/>
      <c r="AG513" s="8"/>
      <c r="AH513" s="11">
        <v>0</v>
      </c>
      <c r="AI513" s="13">
        <v>231600</v>
      </c>
      <c r="AJ513" s="8"/>
      <c r="AK513" s="8"/>
      <c r="AL513" s="8"/>
      <c r="AM513" s="8"/>
      <c r="AN513" s="8"/>
      <c r="AO513" s="8"/>
      <c r="AP513" s="8"/>
      <c r="AQ513" s="8"/>
      <c r="AR513" s="8"/>
      <c r="AS513" s="10">
        <v>32479021564.799999</v>
      </c>
      <c r="AT513" s="10">
        <v>32479021564.799999</v>
      </c>
      <c r="AU513" s="8"/>
      <c r="AV513" s="8"/>
      <c r="AW513" s="8"/>
      <c r="AX513" s="8"/>
      <c r="AY513" s="8"/>
      <c r="AZ513" s="8"/>
      <c r="BA513" s="8"/>
      <c r="BB513" s="8"/>
      <c r="BC513" s="8"/>
      <c r="BD513" s="14">
        <v>42369</v>
      </c>
      <c r="BE513" s="14">
        <v>42369</v>
      </c>
      <c r="BF513" s="8"/>
      <c r="BG513" s="8"/>
      <c r="BH513" s="8"/>
      <c r="BI513" s="8"/>
      <c r="BJ513" s="8"/>
      <c r="BK513" s="8"/>
      <c r="BL513" s="8"/>
      <c r="BM513" s="8"/>
      <c r="BN513" s="8"/>
      <c r="BO513" s="8" t="s">
        <v>35</v>
      </c>
      <c r="BP513" s="8" t="s">
        <v>35</v>
      </c>
      <c r="BQ513" s="8" t="s">
        <v>31</v>
      </c>
      <c r="BR513" s="8" t="s">
        <v>36</v>
      </c>
      <c r="BS513" s="10">
        <v>8575533956208570</v>
      </c>
      <c r="BT513" s="8" t="s">
        <v>46</v>
      </c>
      <c r="BU513" s="8"/>
      <c r="BV513" s="8"/>
      <c r="BW513" s="8"/>
      <c r="BX513" s="8"/>
      <c r="BY513" s="8"/>
      <c r="BZ513" s="8"/>
      <c r="CA513" s="8"/>
      <c r="CB513" s="8"/>
      <c r="CC513" s="8"/>
      <c r="CD513" s="8" t="s">
        <v>27</v>
      </c>
      <c r="CE513" s="8" t="s">
        <v>27</v>
      </c>
      <c r="CF513" s="8" t="s">
        <v>194</v>
      </c>
      <c r="CG513" s="8" t="s">
        <v>195</v>
      </c>
    </row>
    <row r="514" spans="1:85" ht="15.75" customHeight="1" x14ac:dyDescent="0.35">
      <c r="A514" s="8">
        <v>507</v>
      </c>
      <c r="B514" s="8" t="s">
        <v>716</v>
      </c>
      <c r="C514" s="8"/>
      <c r="D514" s="8"/>
      <c r="E514" s="8"/>
      <c r="F514" s="8"/>
      <c r="G514" s="8"/>
      <c r="H514" s="8"/>
      <c r="I514" s="8"/>
      <c r="J514" s="9">
        <v>0</v>
      </c>
      <c r="K514" s="9">
        <v>0</v>
      </c>
      <c r="L514" s="9">
        <v>6.9999999999999999E-6</v>
      </c>
      <c r="M514" s="9">
        <v>5.0000000000000004E-6</v>
      </c>
      <c r="N514" s="8"/>
      <c r="O514" s="8"/>
      <c r="P514" s="8"/>
      <c r="Q514" s="8"/>
      <c r="R514" s="8"/>
      <c r="S514" s="8"/>
      <c r="T514" s="8"/>
      <c r="U514" s="10">
        <v>0</v>
      </c>
      <c r="V514" s="10">
        <v>0</v>
      </c>
      <c r="W514" s="10">
        <v>606000</v>
      </c>
      <c r="X514" s="10">
        <v>468800</v>
      </c>
      <c r="Y514" s="8"/>
      <c r="Z514" s="8"/>
      <c r="AA514" s="8"/>
      <c r="AB514" s="8"/>
      <c r="AC514" s="8"/>
      <c r="AD514" s="8"/>
      <c r="AE514" s="8"/>
      <c r="AF514" s="11">
        <v>0</v>
      </c>
      <c r="AG514" s="12">
        <v>-606000</v>
      </c>
      <c r="AH514" s="13">
        <v>137200</v>
      </c>
      <c r="AI514" s="11">
        <v>0</v>
      </c>
      <c r="AJ514" s="8"/>
      <c r="AK514" s="8"/>
      <c r="AL514" s="8"/>
      <c r="AM514" s="8"/>
      <c r="AN514" s="8"/>
      <c r="AO514" s="8"/>
      <c r="AP514" s="8"/>
      <c r="AQ514" s="10">
        <v>0</v>
      </c>
      <c r="AR514" s="10">
        <v>0</v>
      </c>
      <c r="AS514" s="10">
        <v>1367287439.5</v>
      </c>
      <c r="AT514" s="10">
        <v>1262829954.1900001</v>
      </c>
      <c r="AU514" s="8"/>
      <c r="AV514" s="8"/>
      <c r="AW514" s="8"/>
      <c r="AX514" s="8"/>
      <c r="AY514" s="8"/>
      <c r="AZ514" s="8"/>
      <c r="BA514" s="8"/>
      <c r="BB514" s="14">
        <v>43039</v>
      </c>
      <c r="BC514" s="14">
        <v>43039</v>
      </c>
      <c r="BD514" s="14">
        <v>42521</v>
      </c>
      <c r="BE514" s="14">
        <v>42155</v>
      </c>
      <c r="BF514" s="8"/>
      <c r="BG514" s="8"/>
      <c r="BH514" s="8"/>
      <c r="BI514" s="8"/>
      <c r="BJ514" s="8"/>
      <c r="BK514" s="8"/>
      <c r="BL514" s="8"/>
      <c r="BM514" s="8" t="s">
        <v>35</v>
      </c>
      <c r="BN514" s="8" t="s">
        <v>35</v>
      </c>
      <c r="BO514" s="8" t="s">
        <v>35</v>
      </c>
      <c r="BP514" s="8" t="s">
        <v>35</v>
      </c>
      <c r="BQ514" s="8" t="s">
        <v>31</v>
      </c>
      <c r="BR514" s="8" t="s">
        <v>36</v>
      </c>
      <c r="BS514" s="10">
        <v>2501401460031780</v>
      </c>
      <c r="BT514" s="8" t="s">
        <v>46</v>
      </c>
      <c r="BU514" s="8"/>
      <c r="BV514" s="8"/>
      <c r="BW514" s="8"/>
      <c r="BX514" s="8"/>
      <c r="BY514" s="8"/>
      <c r="BZ514" s="8"/>
      <c r="CA514" s="8"/>
      <c r="CB514" s="8" t="s">
        <v>42</v>
      </c>
      <c r="CC514" s="8" t="s">
        <v>27</v>
      </c>
      <c r="CD514" s="8" t="s">
        <v>27</v>
      </c>
      <c r="CE514" s="8" t="s">
        <v>27</v>
      </c>
      <c r="CF514" s="8" t="s">
        <v>180</v>
      </c>
      <c r="CG514" s="8" t="s">
        <v>181</v>
      </c>
    </row>
    <row r="515" spans="1:85" ht="15.75" customHeight="1" x14ac:dyDescent="0.35">
      <c r="A515" s="8">
        <v>508</v>
      </c>
      <c r="B515" s="8" t="s">
        <v>717</v>
      </c>
      <c r="C515" s="8"/>
      <c r="D515" s="8"/>
      <c r="E515" s="8"/>
      <c r="F515" s="8"/>
      <c r="G515" s="8"/>
      <c r="H515" s="9">
        <v>1.6699999999999999E-4</v>
      </c>
      <c r="I515" s="9">
        <v>1.6699999999999999E-4</v>
      </c>
      <c r="J515" s="9">
        <v>1.44E-4</v>
      </c>
      <c r="K515" s="9">
        <v>2.0100000000000001E-4</v>
      </c>
      <c r="L515" s="9">
        <v>1.95E-4</v>
      </c>
      <c r="M515" s="9">
        <v>1.6100000000000001E-4</v>
      </c>
      <c r="N515" s="8"/>
      <c r="O515" s="8"/>
      <c r="P515" s="8"/>
      <c r="Q515" s="8"/>
      <c r="R515" s="8"/>
      <c r="S515" s="10">
        <v>15454504</v>
      </c>
      <c r="T515" s="10">
        <v>15454504</v>
      </c>
      <c r="U515" s="10">
        <v>13334504</v>
      </c>
      <c r="V515" s="10">
        <v>18536304</v>
      </c>
      <c r="W515" s="10">
        <v>18063504</v>
      </c>
      <c r="X515" s="10">
        <v>14832704</v>
      </c>
      <c r="Y515" s="8"/>
      <c r="Z515" s="8"/>
      <c r="AA515" s="8"/>
      <c r="AB515" s="8"/>
      <c r="AC515" s="8"/>
      <c r="AD515" s="11">
        <v>0</v>
      </c>
      <c r="AE515" s="13">
        <v>2120000</v>
      </c>
      <c r="AF515" s="12">
        <v>-5201800</v>
      </c>
      <c r="AG515" s="13">
        <v>472800</v>
      </c>
      <c r="AH515" s="13">
        <v>3230800</v>
      </c>
      <c r="AI515" s="12">
        <v>-2742800</v>
      </c>
      <c r="AJ515" s="8"/>
      <c r="AK515" s="8"/>
      <c r="AL515" s="8"/>
      <c r="AM515" s="8"/>
      <c r="AN515" s="8"/>
      <c r="AO515" s="10">
        <v>54283945290.080002</v>
      </c>
      <c r="AP515" s="10">
        <v>54283945290.080002</v>
      </c>
      <c r="AQ515" s="10">
        <v>48562891581.25</v>
      </c>
      <c r="AR515" s="10">
        <v>74145216058.949997</v>
      </c>
      <c r="AS515" s="10">
        <v>52271264699.400002</v>
      </c>
      <c r="AT515" s="10">
        <v>34313073770.549999</v>
      </c>
      <c r="AU515" s="8"/>
      <c r="AV515" s="8"/>
      <c r="AW515" s="8"/>
      <c r="AX515" s="8"/>
      <c r="AY515" s="8"/>
      <c r="AZ515" s="14">
        <v>43769</v>
      </c>
      <c r="BA515" s="14">
        <v>43769</v>
      </c>
      <c r="BB515" s="14">
        <v>43465</v>
      </c>
      <c r="BC515" s="14">
        <v>43100</v>
      </c>
      <c r="BD515" s="14">
        <v>42735</v>
      </c>
      <c r="BE515" s="14">
        <v>42369</v>
      </c>
      <c r="BF515" s="8"/>
      <c r="BG515" s="8"/>
      <c r="BH515" s="8"/>
      <c r="BI515" s="8"/>
      <c r="BJ515" s="8"/>
      <c r="BK515" s="8" t="s">
        <v>35</v>
      </c>
      <c r="BL515" s="8" t="s">
        <v>35</v>
      </c>
      <c r="BM515" s="8" t="s">
        <v>35</v>
      </c>
      <c r="BN515" s="8" t="s">
        <v>35</v>
      </c>
      <c r="BO515" s="8" t="s">
        <v>35</v>
      </c>
      <c r="BP515" s="8" t="s">
        <v>35</v>
      </c>
      <c r="BQ515" s="8" t="s">
        <v>31</v>
      </c>
      <c r="BR515" s="8" t="s">
        <v>49</v>
      </c>
      <c r="BS515" s="10">
        <v>11034174568094.4</v>
      </c>
      <c r="BT515" s="8" t="s">
        <v>57</v>
      </c>
      <c r="BU515" s="8"/>
      <c r="BV515" s="8"/>
      <c r="BW515" s="8"/>
      <c r="BX515" s="8"/>
      <c r="BY515" s="8"/>
      <c r="BZ515" s="8" t="s">
        <v>27</v>
      </c>
      <c r="CA515" s="8" t="s">
        <v>42</v>
      </c>
      <c r="CB515" s="8" t="s">
        <v>27</v>
      </c>
      <c r="CC515" s="8" t="s">
        <v>42</v>
      </c>
      <c r="CD515" s="8" t="s">
        <v>42</v>
      </c>
      <c r="CE515" s="8" t="s">
        <v>42</v>
      </c>
      <c r="CF515" s="8" t="s">
        <v>455</v>
      </c>
      <c r="CG515" s="8" t="s">
        <v>71</v>
      </c>
    </row>
    <row r="516" spans="1:85" ht="15.75" customHeight="1" x14ac:dyDescent="0.35">
      <c r="A516" s="8">
        <v>509</v>
      </c>
      <c r="B516" s="8" t="s">
        <v>718</v>
      </c>
      <c r="C516" s="8"/>
      <c r="D516" s="8"/>
      <c r="E516" s="8"/>
      <c r="F516" s="8"/>
      <c r="G516" s="8"/>
      <c r="H516" s="8"/>
      <c r="I516" s="8"/>
      <c r="J516" s="8"/>
      <c r="K516" s="8"/>
      <c r="L516" s="9">
        <v>0</v>
      </c>
      <c r="M516" s="9">
        <v>0</v>
      </c>
      <c r="N516" s="8"/>
      <c r="O516" s="8"/>
      <c r="P516" s="8"/>
      <c r="Q516" s="8"/>
      <c r="R516" s="8"/>
      <c r="S516" s="8"/>
      <c r="T516" s="8"/>
      <c r="U516" s="8"/>
      <c r="V516" s="8"/>
      <c r="W516" s="10">
        <v>1124</v>
      </c>
      <c r="X516" s="10">
        <v>1124</v>
      </c>
      <c r="Y516" s="8"/>
      <c r="Z516" s="8"/>
      <c r="AA516" s="8"/>
      <c r="AB516" s="8"/>
      <c r="AC516" s="8"/>
      <c r="AD516" s="8"/>
      <c r="AE516" s="8"/>
      <c r="AF516" s="8"/>
      <c r="AG516" s="8"/>
      <c r="AH516" s="11">
        <v>0</v>
      </c>
      <c r="AI516" s="13">
        <v>1124</v>
      </c>
      <c r="AJ516" s="8"/>
      <c r="AK516" s="8"/>
      <c r="AL516" s="8"/>
      <c r="AM516" s="8"/>
      <c r="AN516" s="8"/>
      <c r="AO516" s="8"/>
      <c r="AP516" s="8"/>
      <c r="AQ516" s="8"/>
      <c r="AR516" s="8"/>
      <c r="AS516" s="10">
        <v>2600126.7000000002</v>
      </c>
      <c r="AT516" s="10">
        <v>2600126.7000000002</v>
      </c>
      <c r="AU516" s="8"/>
      <c r="AV516" s="8"/>
      <c r="AW516" s="8"/>
      <c r="AX516" s="8"/>
      <c r="AY516" s="8"/>
      <c r="AZ516" s="8"/>
      <c r="BA516" s="8"/>
      <c r="BB516" s="8"/>
      <c r="BC516" s="8"/>
      <c r="BD516" s="14">
        <v>42369</v>
      </c>
      <c r="BE516" s="14">
        <v>42369</v>
      </c>
      <c r="BF516" s="8"/>
      <c r="BG516" s="8"/>
      <c r="BH516" s="8"/>
      <c r="BI516" s="8"/>
      <c r="BJ516" s="8"/>
      <c r="BK516" s="8"/>
      <c r="BL516" s="8"/>
      <c r="BM516" s="8"/>
      <c r="BN516" s="8"/>
      <c r="BO516" s="8" t="s">
        <v>35</v>
      </c>
      <c r="BP516" s="8" t="s">
        <v>35</v>
      </c>
      <c r="BQ516" s="8" t="s">
        <v>31</v>
      </c>
      <c r="BR516" s="8" t="s">
        <v>49</v>
      </c>
      <c r="BS516" s="10">
        <v>31282475365345.199</v>
      </c>
      <c r="BT516" s="8" t="s">
        <v>41</v>
      </c>
      <c r="BU516" s="8"/>
      <c r="BV516" s="8"/>
      <c r="BW516" s="8"/>
      <c r="BX516" s="8"/>
      <c r="BY516" s="8"/>
      <c r="BZ516" s="8"/>
      <c r="CA516" s="8"/>
      <c r="CB516" s="8"/>
      <c r="CC516" s="8"/>
      <c r="CD516" s="8" t="s">
        <v>42</v>
      </c>
      <c r="CE516" s="8" t="s">
        <v>42</v>
      </c>
      <c r="CF516" s="8" t="s">
        <v>626</v>
      </c>
      <c r="CG516" s="8" t="s">
        <v>55</v>
      </c>
    </row>
    <row r="517" spans="1:85" ht="15.75" customHeight="1" x14ac:dyDescent="0.35">
      <c r="A517" s="8">
        <v>510</v>
      </c>
      <c r="B517" s="8" t="s">
        <v>719</v>
      </c>
      <c r="C517" s="8"/>
      <c r="D517" s="8"/>
      <c r="E517" s="8"/>
      <c r="F517" s="8"/>
      <c r="G517" s="8"/>
      <c r="H517" s="8"/>
      <c r="I517" s="8"/>
      <c r="J517" s="8"/>
      <c r="K517" s="9">
        <v>0</v>
      </c>
      <c r="L517" s="9">
        <v>0</v>
      </c>
      <c r="M517" s="9">
        <v>2.32E-4</v>
      </c>
      <c r="N517" s="8"/>
      <c r="O517" s="8"/>
      <c r="P517" s="8"/>
      <c r="Q517" s="8"/>
      <c r="R517" s="8"/>
      <c r="S517" s="8"/>
      <c r="T517" s="8"/>
      <c r="U517" s="8"/>
      <c r="V517" s="10">
        <v>0</v>
      </c>
      <c r="W517" s="10">
        <v>0</v>
      </c>
      <c r="X517" s="10">
        <v>21402800</v>
      </c>
      <c r="Y517" s="8"/>
      <c r="Z517" s="8"/>
      <c r="AA517" s="8"/>
      <c r="AB517" s="8"/>
      <c r="AC517" s="8"/>
      <c r="AD517" s="8"/>
      <c r="AE517" s="8"/>
      <c r="AF517" s="8"/>
      <c r="AG517" s="11">
        <v>0</v>
      </c>
      <c r="AH517" s="12">
        <v>-21402800</v>
      </c>
      <c r="AI517" s="13">
        <v>235600</v>
      </c>
      <c r="AJ517" s="8"/>
      <c r="AK517" s="8"/>
      <c r="AL517" s="8"/>
      <c r="AM517" s="8"/>
      <c r="AN517" s="8"/>
      <c r="AO517" s="8"/>
      <c r="AP517" s="8"/>
      <c r="AQ517" s="8"/>
      <c r="AR517" s="10">
        <v>0</v>
      </c>
      <c r="AS517" s="10">
        <v>0</v>
      </c>
      <c r="AT517" s="10">
        <v>49511933674.050003</v>
      </c>
      <c r="AU517" s="8"/>
      <c r="AV517" s="8"/>
      <c r="AW517" s="8"/>
      <c r="AX517" s="8"/>
      <c r="AY517" s="8"/>
      <c r="AZ517" s="8"/>
      <c r="BA517" s="8"/>
      <c r="BB517" s="8"/>
      <c r="BC517" s="14">
        <v>42460</v>
      </c>
      <c r="BD517" s="14">
        <v>42460</v>
      </c>
      <c r="BE517" s="14">
        <v>42369</v>
      </c>
      <c r="BF517" s="8"/>
      <c r="BG517" s="8"/>
      <c r="BH517" s="8"/>
      <c r="BI517" s="8"/>
      <c r="BJ517" s="8"/>
      <c r="BK517" s="8"/>
      <c r="BL517" s="8"/>
      <c r="BM517" s="8"/>
      <c r="BN517" s="8" t="s">
        <v>35</v>
      </c>
      <c r="BO517" s="8" t="s">
        <v>35</v>
      </c>
      <c r="BP517" s="8" t="s">
        <v>35</v>
      </c>
      <c r="BQ517" s="8" t="s">
        <v>31</v>
      </c>
      <c r="BR517" s="8" t="s">
        <v>36</v>
      </c>
      <c r="BS517" s="10">
        <v>187032943636176</v>
      </c>
      <c r="BT517" s="8" t="s">
        <v>57</v>
      </c>
      <c r="BU517" s="8"/>
      <c r="BV517" s="8"/>
      <c r="BW517" s="8"/>
      <c r="BX517" s="8"/>
      <c r="BY517" s="8"/>
      <c r="BZ517" s="8"/>
      <c r="CA517" s="8"/>
      <c r="CB517" s="8"/>
      <c r="CC517" s="8" t="s">
        <v>42</v>
      </c>
      <c r="CD517" s="8" t="s">
        <v>42</v>
      </c>
      <c r="CE517" s="8" t="s">
        <v>43</v>
      </c>
      <c r="CF517" s="8" t="s">
        <v>85</v>
      </c>
      <c r="CG517" s="8" t="s">
        <v>39</v>
      </c>
    </row>
    <row r="518" spans="1:85" ht="15.75" customHeight="1" x14ac:dyDescent="0.35">
      <c r="A518" s="8">
        <v>511</v>
      </c>
      <c r="B518" s="8" t="s">
        <v>720</v>
      </c>
      <c r="C518" s="8"/>
      <c r="D518" s="8"/>
      <c r="E518" s="8"/>
      <c r="F518" s="8"/>
      <c r="G518" s="8"/>
      <c r="H518" s="8"/>
      <c r="I518" s="8"/>
      <c r="J518" s="9">
        <v>6.0000000000000002E-6</v>
      </c>
      <c r="K518" s="9">
        <v>6.0000000000000002E-6</v>
      </c>
      <c r="L518" s="8"/>
      <c r="M518" s="8"/>
      <c r="N518" s="8"/>
      <c r="O518" s="8"/>
      <c r="P518" s="8"/>
      <c r="Q518" s="8"/>
      <c r="R518" s="8"/>
      <c r="S518" s="8"/>
      <c r="T518" s="8"/>
      <c r="U518" s="10">
        <v>555620</v>
      </c>
      <c r="V518" s="10">
        <v>555620</v>
      </c>
      <c r="W518" s="8"/>
      <c r="X518" s="8"/>
      <c r="Y518" s="8"/>
      <c r="Z518" s="8"/>
      <c r="AA518" s="8"/>
      <c r="AB518" s="8"/>
      <c r="AC518" s="8"/>
      <c r="AD518" s="8"/>
      <c r="AE518" s="8"/>
      <c r="AF518" s="11">
        <v>0</v>
      </c>
      <c r="AG518" s="13">
        <v>555620</v>
      </c>
      <c r="AH518" s="8"/>
      <c r="AI518" s="8"/>
      <c r="AJ518" s="8"/>
      <c r="AK518" s="8"/>
      <c r="AL518" s="8"/>
      <c r="AM518" s="8"/>
      <c r="AN518" s="8"/>
      <c r="AO518" s="8"/>
      <c r="AP518" s="8"/>
      <c r="AQ518" s="10">
        <v>1819655474.4200001</v>
      </c>
      <c r="AR518" s="10">
        <v>1819655474.4200001</v>
      </c>
      <c r="AS518" s="8"/>
      <c r="AT518" s="8"/>
      <c r="AU518" s="8"/>
      <c r="AV518" s="8"/>
      <c r="AW518" s="8"/>
      <c r="AX518" s="8"/>
      <c r="AY518" s="8"/>
      <c r="AZ518" s="8"/>
      <c r="BA518" s="8"/>
      <c r="BB518" s="14">
        <v>42978</v>
      </c>
      <c r="BC518" s="14">
        <v>42978</v>
      </c>
      <c r="BD518" s="8"/>
      <c r="BE518" s="8"/>
      <c r="BF518" s="8"/>
      <c r="BG518" s="8"/>
      <c r="BH518" s="8"/>
      <c r="BI518" s="8"/>
      <c r="BJ518" s="8"/>
      <c r="BK518" s="8"/>
      <c r="BL518" s="8"/>
      <c r="BM518" s="8" t="s">
        <v>35</v>
      </c>
      <c r="BN518" s="8" t="s">
        <v>35</v>
      </c>
      <c r="BO518" s="8"/>
      <c r="BP518" s="8"/>
      <c r="BQ518" s="8" t="s">
        <v>31</v>
      </c>
      <c r="BR518" s="8" t="s">
        <v>36</v>
      </c>
      <c r="BS518" s="10">
        <v>1981864510422120</v>
      </c>
      <c r="BT518" s="8" t="s">
        <v>316</v>
      </c>
      <c r="BU518" s="8"/>
      <c r="BV518" s="8"/>
      <c r="BW518" s="8"/>
      <c r="BX518" s="8"/>
      <c r="BY518" s="8"/>
      <c r="BZ518" s="8"/>
      <c r="CA518" s="8"/>
      <c r="CB518" s="8" t="s">
        <v>27</v>
      </c>
      <c r="CC518" s="8" t="s">
        <v>27</v>
      </c>
      <c r="CD518" s="8"/>
      <c r="CE518" s="8"/>
      <c r="CF518" s="8" t="s">
        <v>82</v>
      </c>
      <c r="CG518" s="8" t="s">
        <v>39</v>
      </c>
    </row>
    <row r="519" spans="1:85" ht="15.75" customHeight="1" x14ac:dyDescent="0.35">
      <c r="A519" s="8">
        <v>512</v>
      </c>
      <c r="B519" s="8" t="s">
        <v>721</v>
      </c>
      <c r="C519" s="8"/>
      <c r="D519" s="8"/>
      <c r="E519" s="8"/>
      <c r="F519" s="8"/>
      <c r="G519" s="8"/>
      <c r="H519" s="8"/>
      <c r="I519" s="8"/>
      <c r="J519" s="9">
        <v>9.0000000000000002E-6</v>
      </c>
      <c r="K519" s="9">
        <v>9.0000000000000002E-6</v>
      </c>
      <c r="L519" s="8"/>
      <c r="M519" s="8"/>
      <c r="N519" s="8"/>
      <c r="O519" s="8"/>
      <c r="P519" s="8"/>
      <c r="Q519" s="8"/>
      <c r="R519" s="8"/>
      <c r="S519" s="8"/>
      <c r="T519" s="8"/>
      <c r="U519" s="10">
        <v>788000</v>
      </c>
      <c r="V519" s="10">
        <v>788000</v>
      </c>
      <c r="W519" s="8"/>
      <c r="X519" s="8"/>
      <c r="Y519" s="8"/>
      <c r="Z519" s="8"/>
      <c r="AA519" s="8"/>
      <c r="AB519" s="8"/>
      <c r="AC519" s="8"/>
      <c r="AD519" s="8"/>
      <c r="AE519" s="8"/>
      <c r="AF519" s="11">
        <v>0</v>
      </c>
      <c r="AG519" s="13">
        <v>788000</v>
      </c>
      <c r="AH519" s="8"/>
      <c r="AI519" s="8"/>
      <c r="AJ519" s="8"/>
      <c r="AK519" s="8"/>
      <c r="AL519" s="8"/>
      <c r="AM519" s="8"/>
      <c r="AN519" s="8"/>
      <c r="AO519" s="8"/>
      <c r="AP519" s="8"/>
      <c r="AQ519" s="10">
        <v>2915599940.4000001</v>
      </c>
      <c r="AR519" s="10">
        <v>2915599940.4000001</v>
      </c>
      <c r="AS519" s="8"/>
      <c r="AT519" s="8"/>
      <c r="AU519" s="8"/>
      <c r="AV519" s="8"/>
      <c r="AW519" s="8"/>
      <c r="AX519" s="8"/>
      <c r="AY519" s="8"/>
      <c r="AZ519" s="8"/>
      <c r="BA519" s="8"/>
      <c r="BB519" s="14">
        <v>43069</v>
      </c>
      <c r="BC519" s="14">
        <v>43069</v>
      </c>
      <c r="BD519" s="8"/>
      <c r="BE519" s="8"/>
      <c r="BF519" s="8"/>
      <c r="BG519" s="8"/>
      <c r="BH519" s="8"/>
      <c r="BI519" s="8"/>
      <c r="BJ519" s="8"/>
      <c r="BK519" s="8"/>
      <c r="BL519" s="8"/>
      <c r="BM519" s="8" t="s">
        <v>35</v>
      </c>
      <c r="BN519" s="8" t="s">
        <v>35</v>
      </c>
      <c r="BO519" s="8"/>
      <c r="BP519" s="8"/>
      <c r="BQ519" s="8" t="s">
        <v>31</v>
      </c>
      <c r="BR519" s="8" t="s">
        <v>36</v>
      </c>
      <c r="BS519" s="10">
        <v>24819565540608</v>
      </c>
      <c r="BT519" s="8"/>
      <c r="BU519" s="8"/>
      <c r="BV519" s="8"/>
      <c r="BW519" s="8"/>
      <c r="BX519" s="8"/>
      <c r="BY519" s="8"/>
      <c r="BZ519" s="8"/>
      <c r="CA519" s="8"/>
      <c r="CB519" s="8" t="s">
        <v>43</v>
      </c>
      <c r="CC519" s="8" t="s">
        <v>27</v>
      </c>
      <c r="CD519" s="8"/>
      <c r="CE519" s="8"/>
      <c r="CF519" s="8" t="s">
        <v>722</v>
      </c>
      <c r="CG519" s="8" t="s">
        <v>723</v>
      </c>
    </row>
    <row r="520" spans="1:85" ht="15.75" customHeight="1" x14ac:dyDescent="0.35">
      <c r="A520" s="8">
        <v>513</v>
      </c>
      <c r="B520" s="8" t="s">
        <v>724</v>
      </c>
      <c r="C520" s="8"/>
      <c r="D520" s="8"/>
      <c r="E520" s="8"/>
      <c r="F520" s="8"/>
      <c r="G520" s="8"/>
      <c r="H520" s="8"/>
      <c r="I520" s="8"/>
      <c r="J520" s="8"/>
      <c r="K520" s="9">
        <v>0</v>
      </c>
      <c r="L520" s="9">
        <v>0</v>
      </c>
      <c r="M520" s="9">
        <v>3.0000000000000001E-6</v>
      </c>
      <c r="N520" s="8"/>
      <c r="O520" s="8"/>
      <c r="P520" s="8"/>
      <c r="Q520" s="8"/>
      <c r="R520" s="8"/>
      <c r="S520" s="8"/>
      <c r="T520" s="8"/>
      <c r="U520" s="8"/>
      <c r="V520" s="10">
        <v>0</v>
      </c>
      <c r="W520" s="10">
        <v>0</v>
      </c>
      <c r="X520" s="10">
        <v>259600</v>
      </c>
      <c r="Y520" s="8"/>
      <c r="Z520" s="8"/>
      <c r="AA520" s="8"/>
      <c r="AB520" s="8"/>
      <c r="AC520" s="8"/>
      <c r="AD520" s="8"/>
      <c r="AE520" s="8"/>
      <c r="AF520" s="8"/>
      <c r="AG520" s="11">
        <v>0</v>
      </c>
      <c r="AH520" s="12">
        <v>-259600</v>
      </c>
      <c r="AI520" s="11">
        <v>0</v>
      </c>
      <c r="AJ520" s="8"/>
      <c r="AK520" s="8"/>
      <c r="AL520" s="8"/>
      <c r="AM520" s="8"/>
      <c r="AN520" s="8"/>
      <c r="AO520" s="8"/>
      <c r="AP520" s="8"/>
      <c r="AQ520" s="8"/>
      <c r="AR520" s="10">
        <v>0</v>
      </c>
      <c r="AS520" s="10">
        <v>0</v>
      </c>
      <c r="AT520" s="10">
        <v>600542835.75</v>
      </c>
      <c r="AU520" s="8"/>
      <c r="AV520" s="8"/>
      <c r="AW520" s="8"/>
      <c r="AX520" s="8"/>
      <c r="AY520" s="8"/>
      <c r="AZ520" s="8"/>
      <c r="BA520" s="8"/>
      <c r="BB520" s="8"/>
      <c r="BC520" s="14">
        <v>42551</v>
      </c>
      <c r="BD520" s="14">
        <v>42551</v>
      </c>
      <c r="BE520" s="14">
        <v>42369</v>
      </c>
      <c r="BF520" s="8"/>
      <c r="BG520" s="8"/>
      <c r="BH520" s="8"/>
      <c r="BI520" s="8"/>
      <c r="BJ520" s="8"/>
      <c r="BK520" s="8"/>
      <c r="BL520" s="8"/>
      <c r="BM520" s="8"/>
      <c r="BN520" s="8" t="s">
        <v>35</v>
      </c>
      <c r="BO520" s="8" t="s">
        <v>35</v>
      </c>
      <c r="BP520" s="8" t="s">
        <v>35</v>
      </c>
      <c r="BQ520" s="8" t="s">
        <v>31</v>
      </c>
      <c r="BR520" s="8" t="s">
        <v>36</v>
      </c>
      <c r="BS520" s="10">
        <v>102027117448.8</v>
      </c>
      <c r="BT520" s="8" t="s">
        <v>61</v>
      </c>
      <c r="BU520" s="8"/>
      <c r="BV520" s="8"/>
      <c r="BW520" s="8"/>
      <c r="BX520" s="8"/>
      <c r="BY520" s="8"/>
      <c r="BZ520" s="8"/>
      <c r="CA520" s="8"/>
      <c r="CB520" s="8"/>
      <c r="CC520" s="8" t="s">
        <v>42</v>
      </c>
      <c r="CD520" s="8" t="s">
        <v>42</v>
      </c>
      <c r="CE520" s="8" t="s">
        <v>27</v>
      </c>
      <c r="CF520" s="8" t="s">
        <v>725</v>
      </c>
      <c r="CG520" s="8" t="s">
        <v>59</v>
      </c>
    </row>
    <row r="521" spans="1:85" ht="15.75" customHeight="1" x14ac:dyDescent="0.35">
      <c r="A521" s="8">
        <v>514</v>
      </c>
      <c r="B521" s="8" t="s">
        <v>726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>
        <v>0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10">
        <v>0</v>
      </c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11">
        <v>0</v>
      </c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10">
        <v>0</v>
      </c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14">
        <v>41820</v>
      </c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 t="s">
        <v>35</v>
      </c>
      <c r="BQ521" s="8" t="s">
        <v>31</v>
      </c>
      <c r="BR521" s="8" t="s">
        <v>36</v>
      </c>
      <c r="BS521" s="10">
        <v>405433679752830</v>
      </c>
      <c r="BT521" s="8" t="s">
        <v>57</v>
      </c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 t="s">
        <v>42</v>
      </c>
      <c r="CF521" s="8" t="s">
        <v>727</v>
      </c>
      <c r="CG521" s="8" t="s">
        <v>76</v>
      </c>
    </row>
    <row r="522" spans="1:85" ht="15.75" customHeight="1" x14ac:dyDescent="0.35">
      <c r="A522" s="8">
        <v>515</v>
      </c>
      <c r="B522" s="8" t="s">
        <v>728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>
        <v>9.3999999999999994E-5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10">
        <v>8680000</v>
      </c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11">
        <v>0</v>
      </c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10">
        <v>20506500024.599998</v>
      </c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14">
        <v>41729</v>
      </c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 t="s">
        <v>35</v>
      </c>
      <c r="BQ522" s="8" t="s">
        <v>31</v>
      </c>
      <c r="BR522" s="8" t="s">
        <v>49</v>
      </c>
      <c r="BS522" s="10">
        <v>5923934522497.2002</v>
      </c>
      <c r="BT522" s="8" t="s">
        <v>101</v>
      </c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 t="s">
        <v>729</v>
      </c>
      <c r="CG522" s="8" t="s">
        <v>730</v>
      </c>
    </row>
    <row r="523" spans="1:85" ht="15.75" customHeight="1" x14ac:dyDescent="0.35">
      <c r="A523" s="8">
        <v>516</v>
      </c>
      <c r="B523" s="8" t="s">
        <v>731</v>
      </c>
      <c r="C523" s="8"/>
      <c r="D523" s="8"/>
      <c r="E523" s="8"/>
      <c r="F523" s="8"/>
      <c r="G523" s="8"/>
      <c r="H523" s="9">
        <v>0</v>
      </c>
      <c r="I523" s="9">
        <v>0</v>
      </c>
      <c r="J523" s="9">
        <v>9.9999999999999995E-7</v>
      </c>
      <c r="K523" s="9">
        <v>9.9999999999999995E-7</v>
      </c>
      <c r="L523" s="9">
        <v>9.9999999999999995E-7</v>
      </c>
      <c r="M523" s="8"/>
      <c r="N523" s="8"/>
      <c r="O523" s="8"/>
      <c r="P523" s="8"/>
      <c r="Q523" s="8"/>
      <c r="R523" s="8"/>
      <c r="S523" s="10">
        <v>0</v>
      </c>
      <c r="T523" s="10">
        <v>0</v>
      </c>
      <c r="U523" s="10">
        <v>47184</v>
      </c>
      <c r="V523" s="10">
        <v>72400</v>
      </c>
      <c r="W523" s="10">
        <v>46400</v>
      </c>
      <c r="X523" s="8"/>
      <c r="Y523" s="8"/>
      <c r="Z523" s="8"/>
      <c r="AA523" s="8"/>
      <c r="AB523" s="8"/>
      <c r="AC523" s="8"/>
      <c r="AD523" s="11">
        <v>0</v>
      </c>
      <c r="AE523" s="12">
        <v>-47184</v>
      </c>
      <c r="AF523" s="12">
        <v>-25216</v>
      </c>
      <c r="AG523" s="13">
        <v>26000</v>
      </c>
      <c r="AH523" s="13">
        <v>46400</v>
      </c>
      <c r="AI523" s="8"/>
      <c r="AJ523" s="8"/>
      <c r="AK523" s="8"/>
      <c r="AL523" s="8"/>
      <c r="AM523" s="8"/>
      <c r="AN523" s="8"/>
      <c r="AO523" s="10">
        <v>0</v>
      </c>
      <c r="AP523" s="10">
        <v>0</v>
      </c>
      <c r="AQ523" s="10">
        <v>171839325</v>
      </c>
      <c r="AR523" s="10">
        <v>289599998.89999998</v>
      </c>
      <c r="AS523" s="10">
        <v>121800001.5</v>
      </c>
      <c r="AT523" s="8"/>
      <c r="AU523" s="8"/>
      <c r="AV523" s="8"/>
      <c r="AW523" s="8"/>
      <c r="AX523" s="8"/>
      <c r="AY523" s="8"/>
      <c r="AZ523" s="14">
        <v>43585</v>
      </c>
      <c r="BA523" s="14">
        <v>43585</v>
      </c>
      <c r="BB523" s="14">
        <v>43465</v>
      </c>
      <c r="BC523" s="14">
        <v>43100</v>
      </c>
      <c r="BD523" s="14">
        <v>42704</v>
      </c>
      <c r="BE523" s="8"/>
      <c r="BF523" s="8"/>
      <c r="BG523" s="8"/>
      <c r="BH523" s="8"/>
      <c r="BI523" s="8"/>
      <c r="BJ523" s="8"/>
      <c r="BK523" s="8" t="s">
        <v>35</v>
      </c>
      <c r="BL523" s="8" t="s">
        <v>35</v>
      </c>
      <c r="BM523" s="8" t="s">
        <v>35</v>
      </c>
      <c r="BN523" s="8" t="s">
        <v>35</v>
      </c>
      <c r="BO523" s="8" t="s">
        <v>35</v>
      </c>
      <c r="BP523" s="8"/>
      <c r="BQ523" s="8" t="s">
        <v>31</v>
      </c>
      <c r="BR523" s="8" t="s">
        <v>36</v>
      </c>
      <c r="BS523" s="10">
        <v>34859837070361.199</v>
      </c>
      <c r="BT523" s="8" t="s">
        <v>41</v>
      </c>
      <c r="BU523" s="8"/>
      <c r="BV523" s="8"/>
      <c r="BW523" s="8"/>
      <c r="BX523" s="8"/>
      <c r="BY523" s="8"/>
      <c r="BZ523" s="8" t="s">
        <v>43</v>
      </c>
      <c r="CA523" s="8" t="s">
        <v>43</v>
      </c>
      <c r="CB523" s="8" t="s">
        <v>43</v>
      </c>
      <c r="CC523" s="8" t="s">
        <v>42</v>
      </c>
      <c r="CD523" s="8" t="s">
        <v>42</v>
      </c>
      <c r="CE523" s="8"/>
      <c r="CF523" s="8" t="s">
        <v>732</v>
      </c>
      <c r="CG523" s="8" t="s">
        <v>733</v>
      </c>
    </row>
    <row r="524" spans="1:85" ht="15.75" customHeight="1" x14ac:dyDescent="0.35">
      <c r="A524" s="8">
        <v>517</v>
      </c>
      <c r="B524" s="8" t="s">
        <v>734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>
        <v>0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10">
        <v>0</v>
      </c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11">
        <v>0</v>
      </c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10">
        <v>0</v>
      </c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14">
        <v>41882</v>
      </c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 t="s">
        <v>35</v>
      </c>
      <c r="BQ524" s="8" t="s">
        <v>31</v>
      </c>
      <c r="BR524" s="8" t="s">
        <v>36</v>
      </c>
      <c r="BS524" s="10">
        <v>97757968951239.594</v>
      </c>
      <c r="BT524" s="8" t="s">
        <v>735</v>
      </c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 t="s">
        <v>43</v>
      </c>
      <c r="CF524" s="8" t="s">
        <v>626</v>
      </c>
      <c r="CG524" s="8" t="s">
        <v>55</v>
      </c>
    </row>
    <row r="525" spans="1:85" ht="15.75" customHeight="1" x14ac:dyDescent="0.35">
      <c r="A525" s="8">
        <v>518</v>
      </c>
      <c r="B525" s="8" t="s">
        <v>736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>
        <v>1.9999999999999999E-6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10">
        <v>215476</v>
      </c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11">
        <v>0</v>
      </c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10">
        <v>509062023.14999998</v>
      </c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14">
        <v>41729</v>
      </c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 t="s">
        <v>35</v>
      </c>
      <c r="BQ525" s="8" t="s">
        <v>31</v>
      </c>
      <c r="BR525" s="8" t="s">
        <v>36</v>
      </c>
      <c r="BS525" s="10">
        <v>10329099256232.4</v>
      </c>
      <c r="BT525" s="8" t="s">
        <v>37</v>
      </c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 t="s">
        <v>42</v>
      </c>
      <c r="CF525" s="8" t="s">
        <v>145</v>
      </c>
      <c r="CG525" s="8" t="s">
        <v>146</v>
      </c>
    </row>
    <row r="526" spans="1:85" ht="15.75" customHeight="1" x14ac:dyDescent="0.35">
      <c r="A526" s="8">
        <v>519</v>
      </c>
      <c r="B526" s="8" t="s">
        <v>737</v>
      </c>
      <c r="C526" s="8"/>
      <c r="D526" s="8"/>
      <c r="E526" s="8"/>
      <c r="F526" s="8"/>
      <c r="G526" s="9">
        <v>3.6999999999999998E-5</v>
      </c>
      <c r="H526" s="9">
        <v>3.6999999999999998E-5</v>
      </c>
      <c r="I526" s="8"/>
      <c r="J526" s="8"/>
      <c r="K526" s="9">
        <v>0</v>
      </c>
      <c r="L526" s="9">
        <v>0</v>
      </c>
      <c r="M526" s="9">
        <v>1.27E-4</v>
      </c>
      <c r="N526" s="8"/>
      <c r="O526" s="8"/>
      <c r="P526" s="8"/>
      <c r="Q526" s="8"/>
      <c r="R526" s="10">
        <v>3424800</v>
      </c>
      <c r="S526" s="10">
        <v>3424800</v>
      </c>
      <c r="T526" s="8"/>
      <c r="U526" s="8"/>
      <c r="V526" s="10">
        <v>0</v>
      </c>
      <c r="W526" s="10">
        <v>0</v>
      </c>
      <c r="X526" s="10">
        <v>11754800</v>
      </c>
      <c r="Y526" s="8"/>
      <c r="Z526" s="8"/>
      <c r="AA526" s="8"/>
      <c r="AB526" s="8"/>
      <c r="AC526" s="11">
        <v>0</v>
      </c>
      <c r="AD526" s="13">
        <v>3424800</v>
      </c>
      <c r="AE526" s="8"/>
      <c r="AF526" s="8"/>
      <c r="AG526" s="11">
        <v>0</v>
      </c>
      <c r="AH526" s="12">
        <v>-11754800</v>
      </c>
      <c r="AI526" s="11">
        <v>0</v>
      </c>
      <c r="AJ526" s="8"/>
      <c r="AK526" s="8"/>
      <c r="AL526" s="8"/>
      <c r="AM526" s="8"/>
      <c r="AN526" s="10">
        <v>8493503933.6000004</v>
      </c>
      <c r="AO526" s="10">
        <v>8493503933.6000004</v>
      </c>
      <c r="AP526" s="8"/>
      <c r="AQ526" s="8"/>
      <c r="AR526" s="10">
        <v>0</v>
      </c>
      <c r="AS526" s="10">
        <v>0</v>
      </c>
      <c r="AT526" s="10">
        <v>23289197483.700001</v>
      </c>
      <c r="AU526" s="8"/>
      <c r="AV526" s="8"/>
      <c r="AW526" s="8"/>
      <c r="AX526" s="8"/>
      <c r="AY526" s="14">
        <v>44104</v>
      </c>
      <c r="AZ526" s="14">
        <v>44104</v>
      </c>
      <c r="BA526" s="8"/>
      <c r="BB526" s="8"/>
      <c r="BC526" s="14">
        <v>42460</v>
      </c>
      <c r="BD526" s="14">
        <v>42460</v>
      </c>
      <c r="BE526" s="14">
        <v>42277</v>
      </c>
      <c r="BF526" s="8"/>
      <c r="BG526" s="8"/>
      <c r="BH526" s="8"/>
      <c r="BI526" s="8"/>
      <c r="BJ526" s="8" t="s">
        <v>35</v>
      </c>
      <c r="BK526" s="8" t="s">
        <v>35</v>
      </c>
      <c r="BL526" s="8"/>
      <c r="BM526" s="8"/>
      <c r="BN526" s="8" t="s">
        <v>35</v>
      </c>
      <c r="BO526" s="8" t="s">
        <v>35</v>
      </c>
      <c r="BP526" s="8" t="s">
        <v>35</v>
      </c>
      <c r="BQ526" s="8" t="s">
        <v>31</v>
      </c>
      <c r="BR526" s="8" t="s">
        <v>49</v>
      </c>
      <c r="BS526" s="10">
        <v>232960062367301</v>
      </c>
      <c r="BT526" s="8" t="s">
        <v>57</v>
      </c>
      <c r="BU526" s="8"/>
      <c r="BV526" s="8"/>
      <c r="BW526" s="8"/>
      <c r="BX526" s="8"/>
      <c r="BY526" s="8"/>
      <c r="BZ526" s="8" t="s">
        <v>27</v>
      </c>
      <c r="CA526" s="8"/>
      <c r="CB526" s="8"/>
      <c r="CC526" s="8" t="s">
        <v>27</v>
      </c>
      <c r="CD526" s="8" t="s">
        <v>27</v>
      </c>
      <c r="CE526" s="8" t="s">
        <v>27</v>
      </c>
      <c r="CF526" s="8" t="s">
        <v>73</v>
      </c>
      <c r="CG526" s="8" t="s">
        <v>39</v>
      </c>
    </row>
    <row r="527" spans="1:85" ht="15.75" customHeight="1" x14ac:dyDescent="0.35">
      <c r="A527" s="8">
        <v>520</v>
      </c>
      <c r="B527" s="8" t="s">
        <v>738</v>
      </c>
      <c r="C527" s="8"/>
      <c r="D527" s="9">
        <v>0</v>
      </c>
      <c r="E527" s="9">
        <v>0</v>
      </c>
      <c r="F527" s="9">
        <v>2.8E-5</v>
      </c>
      <c r="G527" s="9">
        <v>1.9000000000000001E-5</v>
      </c>
      <c r="H527" s="9">
        <v>3.9999999999999998E-6</v>
      </c>
      <c r="I527" s="8"/>
      <c r="J527" s="8"/>
      <c r="K527" s="8"/>
      <c r="L527" s="8"/>
      <c r="M527" s="8"/>
      <c r="N527" s="8"/>
      <c r="O527" s="10">
        <v>0</v>
      </c>
      <c r="P527" s="10">
        <v>0</v>
      </c>
      <c r="Q527" s="10">
        <v>2547000</v>
      </c>
      <c r="R527" s="10">
        <v>1750600</v>
      </c>
      <c r="S527" s="10">
        <v>402600</v>
      </c>
      <c r="T527" s="8"/>
      <c r="U527" s="8"/>
      <c r="V527" s="8"/>
      <c r="W527" s="8"/>
      <c r="X527" s="8"/>
      <c r="Y527" s="8"/>
      <c r="Z527" s="11">
        <v>0</v>
      </c>
      <c r="AA527" s="12">
        <v>-2547000</v>
      </c>
      <c r="AB527" s="13">
        <v>796400</v>
      </c>
      <c r="AC527" s="13">
        <v>1348000</v>
      </c>
      <c r="AD527" s="13">
        <v>402600</v>
      </c>
      <c r="AE527" s="8"/>
      <c r="AF527" s="8"/>
      <c r="AG527" s="8"/>
      <c r="AH527" s="8"/>
      <c r="AI527" s="8"/>
      <c r="AJ527" s="8"/>
      <c r="AK527" s="10">
        <v>0</v>
      </c>
      <c r="AL527" s="10">
        <v>0</v>
      </c>
      <c r="AM527" s="10">
        <v>12639487584.9</v>
      </c>
      <c r="AN527" s="10">
        <v>6142516650</v>
      </c>
      <c r="AO527" s="10">
        <v>1273222454.4000001</v>
      </c>
      <c r="AP527" s="8"/>
      <c r="AQ527" s="8"/>
      <c r="AR527" s="8"/>
      <c r="AS527" s="8"/>
      <c r="AT527" s="8"/>
      <c r="AU527" s="8"/>
      <c r="AV527" s="14">
        <v>45260</v>
      </c>
      <c r="AW527" s="14">
        <v>45260</v>
      </c>
      <c r="AX527" s="14">
        <v>44926</v>
      </c>
      <c r="AY527" s="14">
        <v>44561</v>
      </c>
      <c r="AZ527" s="14">
        <v>44196</v>
      </c>
      <c r="BA527" s="8"/>
      <c r="BB527" s="8"/>
      <c r="BC527" s="8"/>
      <c r="BD527" s="8"/>
      <c r="BE527" s="8"/>
      <c r="BF527" s="8"/>
      <c r="BG527" s="8" t="s">
        <v>35</v>
      </c>
      <c r="BH527" s="8" t="s">
        <v>35</v>
      </c>
      <c r="BI527" s="8" t="s">
        <v>35</v>
      </c>
      <c r="BJ527" s="8" t="s">
        <v>35</v>
      </c>
      <c r="BK527" s="8" t="s">
        <v>35</v>
      </c>
      <c r="BL527" s="8"/>
      <c r="BM527" s="8"/>
      <c r="BN527" s="8"/>
      <c r="BO527" s="8"/>
      <c r="BP527" s="8"/>
      <c r="BQ527" s="8" t="s">
        <v>31</v>
      </c>
      <c r="BR527" s="8" t="s">
        <v>36</v>
      </c>
      <c r="BS527" s="10">
        <v>285384317114562</v>
      </c>
      <c r="BT527" s="8" t="s">
        <v>61</v>
      </c>
      <c r="BU527" s="8"/>
      <c r="BV527" s="8" t="s">
        <v>27</v>
      </c>
      <c r="BW527" s="8" t="s">
        <v>27</v>
      </c>
      <c r="BX527" s="8" t="s">
        <v>27</v>
      </c>
      <c r="BY527" s="8" t="s">
        <v>27</v>
      </c>
      <c r="BZ527" s="8" t="s">
        <v>27</v>
      </c>
      <c r="CA527" s="8"/>
      <c r="CB527" s="8"/>
      <c r="CC527" s="8"/>
      <c r="CD527" s="8"/>
      <c r="CE527" s="8"/>
      <c r="CF527" s="8" t="s">
        <v>739</v>
      </c>
      <c r="CG527" s="8" t="s">
        <v>39</v>
      </c>
    </row>
    <row r="528" spans="1:85" ht="15.75" customHeight="1" x14ac:dyDescent="0.35">
      <c r="A528" s="8">
        <v>521</v>
      </c>
      <c r="B528" s="8" t="s">
        <v>740</v>
      </c>
      <c r="C528" s="8"/>
      <c r="D528" s="8"/>
      <c r="E528" s="8"/>
      <c r="F528" s="8"/>
      <c r="G528" s="8"/>
      <c r="H528" s="8"/>
      <c r="I528" s="9">
        <v>1.9999999999999999E-6</v>
      </c>
      <c r="J528" s="9">
        <v>1.9999999999999999E-6</v>
      </c>
      <c r="K528" s="8"/>
      <c r="L528" s="8"/>
      <c r="M528" s="8"/>
      <c r="N528" s="8"/>
      <c r="O528" s="8"/>
      <c r="P528" s="8"/>
      <c r="Q528" s="8"/>
      <c r="R528" s="8"/>
      <c r="S528" s="8"/>
      <c r="T528" s="10">
        <v>146000</v>
      </c>
      <c r="U528" s="10">
        <v>146000</v>
      </c>
      <c r="V528" s="8"/>
      <c r="W528" s="8"/>
      <c r="X528" s="8"/>
      <c r="Y528" s="8"/>
      <c r="Z528" s="8"/>
      <c r="AA528" s="8"/>
      <c r="AB528" s="8"/>
      <c r="AC528" s="8"/>
      <c r="AD528" s="8"/>
      <c r="AE528" s="11">
        <v>0</v>
      </c>
      <c r="AF528" s="13">
        <v>146000</v>
      </c>
      <c r="AG528" s="8"/>
      <c r="AH528" s="8"/>
      <c r="AI528" s="8"/>
      <c r="AJ528" s="8"/>
      <c r="AK528" s="8"/>
      <c r="AL528" s="8"/>
      <c r="AM528" s="8"/>
      <c r="AN528" s="8"/>
      <c r="AO528" s="8"/>
      <c r="AP528" s="10">
        <v>514650057.60000002</v>
      </c>
      <c r="AQ528" s="10">
        <v>514650057.60000002</v>
      </c>
      <c r="AR528" s="8"/>
      <c r="AS528" s="8"/>
      <c r="AT528" s="8"/>
      <c r="AU528" s="8"/>
      <c r="AV528" s="8"/>
      <c r="AW528" s="8"/>
      <c r="AX528" s="8"/>
      <c r="AY528" s="8"/>
      <c r="AZ528" s="8"/>
      <c r="BA528" s="14">
        <v>43251</v>
      </c>
      <c r="BB528" s="14">
        <v>43251</v>
      </c>
      <c r="BC528" s="8"/>
      <c r="BD528" s="8"/>
      <c r="BE528" s="8"/>
      <c r="BF528" s="8"/>
      <c r="BG528" s="8"/>
      <c r="BH528" s="8"/>
      <c r="BI528" s="8"/>
      <c r="BJ528" s="8"/>
      <c r="BK528" s="8"/>
      <c r="BL528" s="8" t="s">
        <v>35</v>
      </c>
      <c r="BM528" s="8" t="s">
        <v>35</v>
      </c>
      <c r="BN528" s="8"/>
      <c r="BO528" s="8"/>
      <c r="BP528" s="8"/>
      <c r="BQ528" s="8" t="s">
        <v>31</v>
      </c>
      <c r="BR528" s="8" t="s">
        <v>49</v>
      </c>
      <c r="BS528" s="10">
        <v>2941803514062</v>
      </c>
      <c r="BT528" s="8" t="s">
        <v>101</v>
      </c>
      <c r="BU528" s="8"/>
      <c r="BV528" s="8"/>
      <c r="BW528" s="8"/>
      <c r="BX528" s="8"/>
      <c r="BY528" s="8"/>
      <c r="BZ528" s="8"/>
      <c r="CA528" s="8" t="s">
        <v>42</v>
      </c>
      <c r="CB528" s="8" t="s">
        <v>43</v>
      </c>
      <c r="CC528" s="8"/>
      <c r="CD528" s="8"/>
      <c r="CE528" s="8"/>
      <c r="CF528" s="8" t="s">
        <v>180</v>
      </c>
      <c r="CG528" s="8" t="s">
        <v>181</v>
      </c>
    </row>
    <row r="529" spans="1:85" ht="15.75" customHeight="1" x14ac:dyDescent="0.35">
      <c r="A529" s="8">
        <v>522</v>
      </c>
      <c r="B529" s="8" t="s">
        <v>741</v>
      </c>
      <c r="C529" s="8"/>
      <c r="D529" s="8"/>
      <c r="E529" s="8"/>
      <c r="F529" s="8"/>
      <c r="G529" s="8"/>
      <c r="H529" s="9">
        <v>2.5999999999999998E-5</v>
      </c>
      <c r="I529" s="9">
        <v>2.5999999999999998E-5</v>
      </c>
      <c r="J529" s="9">
        <v>1.9000000000000001E-5</v>
      </c>
      <c r="K529" s="9">
        <v>1.9000000000000001E-5</v>
      </c>
      <c r="L529" s="9">
        <v>7.9999999999999996E-6</v>
      </c>
      <c r="M529" s="9">
        <v>3.9999999999999998E-6</v>
      </c>
      <c r="N529" s="8"/>
      <c r="O529" s="8"/>
      <c r="P529" s="8"/>
      <c r="Q529" s="8"/>
      <c r="R529" s="8"/>
      <c r="S529" s="10">
        <v>2439824</v>
      </c>
      <c r="T529" s="10">
        <v>2439824</v>
      </c>
      <c r="U529" s="10">
        <v>1799824</v>
      </c>
      <c r="V529" s="10">
        <v>1799824</v>
      </c>
      <c r="W529" s="10">
        <v>782824</v>
      </c>
      <c r="X529" s="10">
        <v>362824</v>
      </c>
      <c r="Y529" s="8"/>
      <c r="Z529" s="8"/>
      <c r="AA529" s="8"/>
      <c r="AB529" s="8"/>
      <c r="AC529" s="8"/>
      <c r="AD529" s="11">
        <v>0</v>
      </c>
      <c r="AE529" s="13">
        <v>640000</v>
      </c>
      <c r="AF529" s="11">
        <v>0</v>
      </c>
      <c r="AG529" s="13">
        <v>1017000</v>
      </c>
      <c r="AH529" s="13">
        <v>420000</v>
      </c>
      <c r="AI529" s="11">
        <v>0</v>
      </c>
      <c r="AJ529" s="8"/>
      <c r="AK529" s="8"/>
      <c r="AL529" s="8"/>
      <c r="AM529" s="8"/>
      <c r="AN529" s="8"/>
      <c r="AO529" s="10">
        <v>9789793843.75</v>
      </c>
      <c r="AP529" s="10">
        <v>9789793843.75</v>
      </c>
      <c r="AQ529" s="10">
        <v>6554773881.25</v>
      </c>
      <c r="AR529" s="10">
        <v>7199296019.6000004</v>
      </c>
      <c r="AS529" s="10">
        <v>2265296910.3000002</v>
      </c>
      <c r="AT529" s="10">
        <v>839334876.75</v>
      </c>
      <c r="AU529" s="8"/>
      <c r="AV529" s="8"/>
      <c r="AW529" s="8"/>
      <c r="AX529" s="8"/>
      <c r="AY529" s="8"/>
      <c r="AZ529" s="14">
        <v>43646</v>
      </c>
      <c r="BA529" s="14">
        <v>43646</v>
      </c>
      <c r="BB529" s="14">
        <v>43465</v>
      </c>
      <c r="BC529" s="14">
        <v>43100</v>
      </c>
      <c r="BD529" s="14">
        <v>42735</v>
      </c>
      <c r="BE529" s="14">
        <v>42369</v>
      </c>
      <c r="BF529" s="8"/>
      <c r="BG529" s="8"/>
      <c r="BH529" s="8"/>
      <c r="BI529" s="8"/>
      <c r="BJ529" s="8"/>
      <c r="BK529" s="8" t="s">
        <v>35</v>
      </c>
      <c r="BL529" s="8" t="s">
        <v>35</v>
      </c>
      <c r="BM529" s="8" t="s">
        <v>35</v>
      </c>
      <c r="BN529" s="8" t="s">
        <v>35</v>
      </c>
      <c r="BO529" s="8" t="s">
        <v>35</v>
      </c>
      <c r="BP529" s="8" t="s">
        <v>35</v>
      </c>
      <c r="BQ529" s="8" t="s">
        <v>31</v>
      </c>
      <c r="BR529" s="8" t="s">
        <v>160</v>
      </c>
      <c r="BS529" s="10">
        <v>28602122540139.602</v>
      </c>
      <c r="BT529" s="8"/>
      <c r="BU529" s="8"/>
      <c r="BV529" s="8"/>
      <c r="BW529" s="8"/>
      <c r="BX529" s="8"/>
      <c r="BY529" s="8"/>
      <c r="BZ529" s="8" t="s">
        <v>27</v>
      </c>
      <c r="CA529" s="8" t="s">
        <v>27</v>
      </c>
      <c r="CB529" s="8" t="s">
        <v>27</v>
      </c>
      <c r="CC529" s="8" t="s">
        <v>42</v>
      </c>
      <c r="CD529" s="8" t="s">
        <v>27</v>
      </c>
      <c r="CE529" s="8" t="s">
        <v>27</v>
      </c>
      <c r="CF529" s="8" t="s">
        <v>38</v>
      </c>
      <c r="CG529" s="8" t="s">
        <v>39</v>
      </c>
    </row>
    <row r="530" spans="1:85" ht="15.75" customHeight="1" x14ac:dyDescent="0.35">
      <c r="A530" s="8">
        <v>523</v>
      </c>
      <c r="B530" s="8" t="s">
        <v>742</v>
      </c>
      <c r="C530" s="8"/>
      <c r="D530" s="8"/>
      <c r="E530" s="8"/>
      <c r="F530" s="8"/>
      <c r="G530" s="9">
        <v>6.9999999999999999E-6</v>
      </c>
      <c r="H530" s="9">
        <v>6.9999999999999999E-6</v>
      </c>
      <c r="I530" s="8"/>
      <c r="J530" s="8"/>
      <c r="K530" s="8"/>
      <c r="L530" s="8"/>
      <c r="M530" s="8"/>
      <c r="N530" s="8"/>
      <c r="O530" s="8"/>
      <c r="P530" s="8"/>
      <c r="Q530" s="8"/>
      <c r="R530" s="10">
        <v>627612</v>
      </c>
      <c r="S530" s="10">
        <v>627612</v>
      </c>
      <c r="T530" s="8"/>
      <c r="U530" s="8"/>
      <c r="V530" s="8"/>
      <c r="W530" s="8"/>
      <c r="X530" s="8"/>
      <c r="Y530" s="8"/>
      <c r="Z530" s="8"/>
      <c r="AA530" s="8"/>
      <c r="AB530" s="8"/>
      <c r="AC530" s="11">
        <v>0</v>
      </c>
      <c r="AD530" s="13">
        <v>627612</v>
      </c>
      <c r="AE530" s="8"/>
      <c r="AF530" s="8"/>
      <c r="AG530" s="8"/>
      <c r="AH530" s="8"/>
      <c r="AI530" s="8"/>
      <c r="AJ530" s="8"/>
      <c r="AK530" s="8"/>
      <c r="AL530" s="8"/>
      <c r="AM530" s="8"/>
      <c r="AN530" s="10">
        <v>1984823006.4000001</v>
      </c>
      <c r="AO530" s="10">
        <v>1984823006.4000001</v>
      </c>
      <c r="AP530" s="8"/>
      <c r="AQ530" s="8"/>
      <c r="AR530" s="8"/>
      <c r="AS530" s="8"/>
      <c r="AT530" s="8"/>
      <c r="AU530" s="8"/>
      <c r="AV530" s="8"/>
      <c r="AW530" s="8"/>
      <c r="AX530" s="8"/>
      <c r="AY530" s="14">
        <v>44196</v>
      </c>
      <c r="AZ530" s="14">
        <v>44196</v>
      </c>
      <c r="BA530" s="8"/>
      <c r="BB530" s="8"/>
      <c r="BC530" s="8"/>
      <c r="BD530" s="8"/>
      <c r="BE530" s="8"/>
      <c r="BF530" s="8"/>
      <c r="BG530" s="8"/>
      <c r="BH530" s="8"/>
      <c r="BI530" s="8"/>
      <c r="BJ530" s="8" t="s">
        <v>35</v>
      </c>
      <c r="BK530" s="8" t="s">
        <v>35</v>
      </c>
      <c r="BL530" s="8"/>
      <c r="BM530" s="8"/>
      <c r="BN530" s="8"/>
      <c r="BO530" s="8"/>
      <c r="BP530" s="8"/>
      <c r="BQ530" s="8" t="s">
        <v>31</v>
      </c>
      <c r="BR530" s="8" t="s">
        <v>36</v>
      </c>
      <c r="BS530" s="10">
        <v>53526096400135.203</v>
      </c>
      <c r="BT530" s="8" t="s">
        <v>57</v>
      </c>
      <c r="BU530" s="8"/>
      <c r="BV530" s="8"/>
      <c r="BW530" s="8"/>
      <c r="BX530" s="8"/>
      <c r="BY530" s="8" t="s">
        <v>27</v>
      </c>
      <c r="BZ530" s="8" t="s">
        <v>42</v>
      </c>
      <c r="CA530" s="8"/>
      <c r="CB530" s="8"/>
      <c r="CC530" s="8"/>
      <c r="CD530" s="8"/>
      <c r="CE530" s="8"/>
      <c r="CF530" s="8" t="s">
        <v>50</v>
      </c>
      <c r="CG530" s="8" t="s">
        <v>51</v>
      </c>
    </row>
    <row r="531" spans="1:85" ht="15.75" customHeight="1" x14ac:dyDescent="0.35">
      <c r="A531" s="8">
        <v>524</v>
      </c>
      <c r="B531" s="8" t="s">
        <v>743</v>
      </c>
      <c r="C531" s="8"/>
      <c r="D531" s="8"/>
      <c r="E531" s="8"/>
      <c r="F531" s="8"/>
      <c r="G531" s="8"/>
      <c r="H531" s="8"/>
      <c r="I531" s="8"/>
      <c r="J531" s="8"/>
      <c r="K531" s="8"/>
      <c r="L531" s="9">
        <v>7.9999999999999996E-6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10">
        <v>700000</v>
      </c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13">
        <v>700000</v>
      </c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10">
        <v>1671249944.3499999</v>
      </c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14">
        <v>42429</v>
      </c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 t="s">
        <v>35</v>
      </c>
      <c r="BP531" s="8"/>
      <c r="BQ531" s="8" t="s">
        <v>31</v>
      </c>
      <c r="BR531" s="8" t="s">
        <v>36</v>
      </c>
      <c r="BS531" s="10">
        <v>230910597313.20001</v>
      </c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 t="s">
        <v>27</v>
      </c>
      <c r="CE531" s="8"/>
      <c r="CF531" s="8" t="s">
        <v>744</v>
      </c>
      <c r="CG531" s="8" t="s">
        <v>745</v>
      </c>
    </row>
    <row r="532" spans="1:85" ht="15.75" customHeight="1" x14ac:dyDescent="0.35">
      <c r="A532" s="8">
        <v>525</v>
      </c>
      <c r="B532" s="8" t="s">
        <v>746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>
        <v>0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10">
        <v>0</v>
      </c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11">
        <v>0</v>
      </c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10">
        <v>0</v>
      </c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14">
        <v>41820</v>
      </c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 t="s">
        <v>35</v>
      </c>
      <c r="BQ532" s="8" t="s">
        <v>31</v>
      </c>
      <c r="BR532" s="8" t="s">
        <v>36</v>
      </c>
      <c r="BS532" s="10">
        <v>80692870591317.594</v>
      </c>
      <c r="BT532" s="8" t="s">
        <v>61</v>
      </c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 t="s">
        <v>43</v>
      </c>
      <c r="CF532" s="8" t="s">
        <v>75</v>
      </c>
      <c r="CG532" s="8" t="s">
        <v>76</v>
      </c>
    </row>
    <row r="533" spans="1:85" ht="15.75" customHeight="1" x14ac:dyDescent="0.35">
      <c r="A533" s="8">
        <v>526</v>
      </c>
      <c r="B533" s="8" t="s">
        <v>747</v>
      </c>
      <c r="C533" s="8"/>
      <c r="D533" s="8"/>
      <c r="E533" s="8"/>
      <c r="F533" s="8"/>
      <c r="G533" s="8"/>
      <c r="H533" s="8"/>
      <c r="I533" s="9">
        <v>0</v>
      </c>
      <c r="J533" s="9">
        <v>0</v>
      </c>
      <c r="K533" s="9">
        <v>6.9999999999999999E-6</v>
      </c>
      <c r="L533" s="9">
        <v>5.5999999999999999E-5</v>
      </c>
      <c r="M533" s="9">
        <v>5.7000000000000003E-5</v>
      </c>
      <c r="N533" s="8"/>
      <c r="O533" s="8"/>
      <c r="P533" s="8"/>
      <c r="Q533" s="8"/>
      <c r="R533" s="8"/>
      <c r="S533" s="8"/>
      <c r="T533" s="10">
        <v>0</v>
      </c>
      <c r="U533" s="10">
        <v>0</v>
      </c>
      <c r="V533" s="10">
        <v>630600</v>
      </c>
      <c r="W533" s="10">
        <v>5160000</v>
      </c>
      <c r="X533" s="10">
        <v>5252000</v>
      </c>
      <c r="Y533" s="8"/>
      <c r="Z533" s="8"/>
      <c r="AA533" s="8"/>
      <c r="AB533" s="8"/>
      <c r="AC533" s="8"/>
      <c r="AD533" s="8"/>
      <c r="AE533" s="11">
        <v>0</v>
      </c>
      <c r="AF533" s="12">
        <v>-630600</v>
      </c>
      <c r="AG533" s="12">
        <v>-4529400</v>
      </c>
      <c r="AH533" s="12">
        <v>-92000</v>
      </c>
      <c r="AI533" s="12">
        <v>-1188000</v>
      </c>
      <c r="AJ533" s="8"/>
      <c r="AK533" s="8"/>
      <c r="AL533" s="8"/>
      <c r="AM533" s="8"/>
      <c r="AN533" s="8"/>
      <c r="AO533" s="8"/>
      <c r="AP533" s="10">
        <v>0</v>
      </c>
      <c r="AQ533" s="10">
        <v>0</v>
      </c>
      <c r="AR533" s="10">
        <v>2522399948.4499998</v>
      </c>
      <c r="AS533" s="10">
        <v>13286999955.9</v>
      </c>
      <c r="AT533" s="10">
        <v>12149656915.049999</v>
      </c>
      <c r="AU533" s="8"/>
      <c r="AV533" s="8"/>
      <c r="AW533" s="8"/>
      <c r="AX533" s="8"/>
      <c r="AY533" s="8"/>
      <c r="AZ533" s="8"/>
      <c r="BA533" s="14">
        <v>43465</v>
      </c>
      <c r="BB533" s="14">
        <v>43465</v>
      </c>
      <c r="BC533" s="14">
        <v>43100</v>
      </c>
      <c r="BD533" s="14">
        <v>42460</v>
      </c>
      <c r="BE533" s="14">
        <v>42369</v>
      </c>
      <c r="BF533" s="8"/>
      <c r="BG533" s="8"/>
      <c r="BH533" s="8"/>
      <c r="BI533" s="8"/>
      <c r="BJ533" s="8"/>
      <c r="BK533" s="8"/>
      <c r="BL533" s="8" t="s">
        <v>35</v>
      </c>
      <c r="BM533" s="8" t="s">
        <v>35</v>
      </c>
      <c r="BN533" s="8" t="s">
        <v>35</v>
      </c>
      <c r="BO533" s="8" t="s">
        <v>35</v>
      </c>
      <c r="BP533" s="8" t="s">
        <v>35</v>
      </c>
      <c r="BQ533" s="8" t="s">
        <v>31</v>
      </c>
      <c r="BR533" s="8" t="s">
        <v>49</v>
      </c>
      <c r="BS533" s="10">
        <v>8580453400620</v>
      </c>
      <c r="BT533" s="8" t="s">
        <v>393</v>
      </c>
      <c r="BU533" s="8"/>
      <c r="BV533" s="8"/>
      <c r="BW533" s="8"/>
      <c r="BX533" s="8"/>
      <c r="BY533" s="8"/>
      <c r="BZ533" s="8"/>
      <c r="CA533" s="8" t="s">
        <v>42</v>
      </c>
      <c r="CB533" s="8" t="s">
        <v>42</v>
      </c>
      <c r="CC533" s="8" t="s">
        <v>27</v>
      </c>
      <c r="CD533" s="8" t="s">
        <v>42</v>
      </c>
      <c r="CE533" s="8" t="s">
        <v>42</v>
      </c>
      <c r="CF533" s="8" t="s">
        <v>50</v>
      </c>
      <c r="CG533" s="8" t="s">
        <v>51</v>
      </c>
    </row>
    <row r="534" spans="1:85" ht="15.75" customHeight="1" x14ac:dyDescent="0.35">
      <c r="A534" s="8">
        <v>527</v>
      </c>
      <c r="B534" s="8" t="s">
        <v>748</v>
      </c>
      <c r="C534" s="8"/>
      <c r="D534" s="8"/>
      <c r="E534" s="8"/>
      <c r="F534" s="8"/>
      <c r="G534" s="8"/>
      <c r="H534" s="8"/>
      <c r="I534" s="8"/>
      <c r="J534" s="8"/>
      <c r="K534" s="9">
        <v>0</v>
      </c>
      <c r="L534" s="9">
        <v>0</v>
      </c>
      <c r="M534" s="8"/>
      <c r="N534" s="8"/>
      <c r="O534" s="8"/>
      <c r="P534" s="8"/>
      <c r="Q534" s="8"/>
      <c r="R534" s="8"/>
      <c r="S534" s="8"/>
      <c r="T534" s="8"/>
      <c r="U534" s="8"/>
      <c r="V534" s="10">
        <v>0</v>
      </c>
      <c r="W534" s="10">
        <v>0</v>
      </c>
      <c r="X534" s="8"/>
      <c r="Y534" s="8"/>
      <c r="Z534" s="8"/>
      <c r="AA534" s="8"/>
      <c r="AB534" s="8"/>
      <c r="AC534" s="8"/>
      <c r="AD534" s="8"/>
      <c r="AE534" s="8"/>
      <c r="AF534" s="8"/>
      <c r="AG534" s="11">
        <v>0</v>
      </c>
      <c r="AH534" s="11">
        <v>0</v>
      </c>
      <c r="AI534" s="8"/>
      <c r="AJ534" s="8"/>
      <c r="AK534" s="8"/>
      <c r="AL534" s="8"/>
      <c r="AM534" s="8"/>
      <c r="AN534" s="8"/>
      <c r="AO534" s="8"/>
      <c r="AP534" s="8"/>
      <c r="AQ534" s="8"/>
      <c r="AR534" s="10">
        <v>0</v>
      </c>
      <c r="AS534" s="10">
        <v>0</v>
      </c>
      <c r="AT534" s="8"/>
      <c r="AU534" s="8"/>
      <c r="AV534" s="8"/>
      <c r="AW534" s="8"/>
      <c r="AX534" s="8"/>
      <c r="AY534" s="8"/>
      <c r="AZ534" s="8"/>
      <c r="BA534" s="8"/>
      <c r="BB534" s="8"/>
      <c r="BC534" s="14">
        <v>42551</v>
      </c>
      <c r="BD534" s="14">
        <v>42551</v>
      </c>
      <c r="BE534" s="8"/>
      <c r="BF534" s="8"/>
      <c r="BG534" s="8"/>
      <c r="BH534" s="8"/>
      <c r="BI534" s="8"/>
      <c r="BJ534" s="8"/>
      <c r="BK534" s="8"/>
      <c r="BL534" s="8"/>
      <c r="BM534" s="8"/>
      <c r="BN534" s="8" t="s">
        <v>749</v>
      </c>
      <c r="BO534" s="8" t="s">
        <v>749</v>
      </c>
      <c r="BP534" s="8"/>
      <c r="BQ534" s="8" t="s">
        <v>31</v>
      </c>
      <c r="BR534" s="8" t="s">
        <v>36</v>
      </c>
      <c r="BS534" s="10">
        <v>259383050061595</v>
      </c>
      <c r="BT534" s="8" t="s">
        <v>67</v>
      </c>
      <c r="BU534" s="8"/>
      <c r="BV534" s="8"/>
      <c r="BW534" s="8"/>
      <c r="BX534" s="8"/>
      <c r="BY534" s="8"/>
      <c r="BZ534" s="8"/>
      <c r="CA534" s="8"/>
      <c r="CB534" s="8"/>
      <c r="CC534" s="8" t="s">
        <v>27</v>
      </c>
      <c r="CD534" s="8" t="s">
        <v>27</v>
      </c>
      <c r="CE534" s="8"/>
      <c r="CF534" s="8" t="s">
        <v>750</v>
      </c>
      <c r="CG534" s="8" t="s">
        <v>39</v>
      </c>
    </row>
    <row r="535" spans="1:85" ht="15.75" customHeight="1" x14ac:dyDescent="0.35">
      <c r="A535" s="8">
        <v>528</v>
      </c>
      <c r="B535" s="8" t="s">
        <v>751</v>
      </c>
      <c r="C535" s="8"/>
      <c r="D535" s="8"/>
      <c r="E535" s="8"/>
      <c r="F535" s="8"/>
      <c r="G535" s="9">
        <v>0</v>
      </c>
      <c r="H535" s="9">
        <v>0</v>
      </c>
      <c r="I535" s="9">
        <v>3.0899999999999998E-4</v>
      </c>
      <c r="J535" s="8"/>
      <c r="K535" s="8"/>
      <c r="L535" s="8"/>
      <c r="M535" s="8"/>
      <c r="N535" s="8"/>
      <c r="O535" s="8"/>
      <c r="P535" s="8"/>
      <c r="Q535" s="8"/>
      <c r="R535" s="10">
        <v>0</v>
      </c>
      <c r="S535" s="10">
        <v>0</v>
      </c>
      <c r="T535" s="10">
        <v>28586000</v>
      </c>
      <c r="U535" s="8"/>
      <c r="V535" s="8"/>
      <c r="W535" s="8"/>
      <c r="X535" s="8"/>
      <c r="Y535" s="8"/>
      <c r="Z535" s="8"/>
      <c r="AA535" s="8"/>
      <c r="AB535" s="8"/>
      <c r="AC535" s="11">
        <v>0</v>
      </c>
      <c r="AD535" s="12">
        <v>-28586000</v>
      </c>
      <c r="AE535" s="13">
        <v>28586000</v>
      </c>
      <c r="AF535" s="8"/>
      <c r="AG535" s="8"/>
      <c r="AH535" s="8"/>
      <c r="AI535" s="8"/>
      <c r="AJ535" s="8"/>
      <c r="AK535" s="8"/>
      <c r="AL535" s="8"/>
      <c r="AM535" s="8"/>
      <c r="AN535" s="10">
        <v>0</v>
      </c>
      <c r="AO535" s="10">
        <v>0</v>
      </c>
      <c r="AP535" s="10">
        <v>109383548724.39999</v>
      </c>
      <c r="AQ535" s="8"/>
      <c r="AR535" s="8"/>
      <c r="AS535" s="8"/>
      <c r="AT535" s="8"/>
      <c r="AU535" s="8"/>
      <c r="AV535" s="8"/>
      <c r="AW535" s="8"/>
      <c r="AX535" s="8"/>
      <c r="AY535" s="14">
        <v>43921</v>
      </c>
      <c r="AZ535" s="14">
        <v>43921</v>
      </c>
      <c r="BA535" s="14">
        <v>43830</v>
      </c>
      <c r="BB535" s="8"/>
      <c r="BC535" s="8"/>
      <c r="BD535" s="8"/>
      <c r="BE535" s="8"/>
      <c r="BF535" s="8"/>
      <c r="BG535" s="8"/>
      <c r="BH535" s="8"/>
      <c r="BI535" s="8"/>
      <c r="BJ535" s="8" t="s">
        <v>35</v>
      </c>
      <c r="BK535" s="8" t="s">
        <v>35</v>
      </c>
      <c r="BL535" s="8" t="s">
        <v>35</v>
      </c>
      <c r="BM535" s="8"/>
      <c r="BN535" s="8"/>
      <c r="BO535" s="8"/>
      <c r="BP535" s="8"/>
      <c r="BQ535" s="8" t="s">
        <v>31</v>
      </c>
      <c r="BR535" s="8" t="s">
        <v>49</v>
      </c>
      <c r="BS535" s="10">
        <v>5461419903908.4004</v>
      </c>
      <c r="BT535" s="8" t="s">
        <v>101</v>
      </c>
      <c r="BU535" s="8"/>
      <c r="BV535" s="8"/>
      <c r="BW535" s="8"/>
      <c r="BX535" s="8"/>
      <c r="BY535" s="8" t="s">
        <v>43</v>
      </c>
      <c r="BZ535" s="8" t="s">
        <v>43</v>
      </c>
      <c r="CA535" s="8" t="s">
        <v>43</v>
      </c>
      <c r="CB535" s="8"/>
      <c r="CC535" s="8"/>
      <c r="CD535" s="8"/>
      <c r="CE535" s="8"/>
      <c r="CF535" s="8" t="s">
        <v>82</v>
      </c>
      <c r="CG535" s="8" t="s">
        <v>39</v>
      </c>
    </row>
    <row r="536" spans="1:85" ht="15.75" customHeight="1" x14ac:dyDescent="0.35">
      <c r="A536" s="8">
        <v>529</v>
      </c>
      <c r="B536" s="8" t="s">
        <v>752</v>
      </c>
      <c r="C536" s="8"/>
      <c r="D536" s="8"/>
      <c r="E536" s="8"/>
      <c r="F536" s="8"/>
      <c r="G536" s="8"/>
      <c r="H536" s="8"/>
      <c r="I536" s="8"/>
      <c r="J536" s="9">
        <v>5.0000000000000001E-4</v>
      </c>
      <c r="K536" s="9">
        <v>5.0000000000000001E-4</v>
      </c>
      <c r="L536" s="9">
        <v>5.0000000000000001E-4</v>
      </c>
      <c r="M536" s="9">
        <v>5.0000000000000001E-4</v>
      </c>
      <c r="N536" s="8"/>
      <c r="O536" s="8"/>
      <c r="P536" s="8"/>
      <c r="Q536" s="8"/>
      <c r="R536" s="8"/>
      <c r="S536" s="8"/>
      <c r="T536" s="8"/>
      <c r="U536" s="10">
        <v>46217200</v>
      </c>
      <c r="V536" s="10">
        <v>46217200</v>
      </c>
      <c r="W536" s="10">
        <v>46217200</v>
      </c>
      <c r="X536" s="10">
        <v>46217200</v>
      </c>
      <c r="Y536" s="8"/>
      <c r="Z536" s="8"/>
      <c r="AA536" s="8"/>
      <c r="AB536" s="8"/>
      <c r="AC536" s="8"/>
      <c r="AD536" s="8"/>
      <c r="AE536" s="8"/>
      <c r="AF536" s="11">
        <v>0</v>
      </c>
      <c r="AG536" s="11">
        <v>0</v>
      </c>
      <c r="AH536" s="11">
        <v>0</v>
      </c>
      <c r="AI536" s="11">
        <v>0</v>
      </c>
      <c r="AJ536" s="8"/>
      <c r="AK536" s="8"/>
      <c r="AL536" s="8"/>
      <c r="AM536" s="8"/>
      <c r="AN536" s="8"/>
      <c r="AO536" s="8"/>
      <c r="AP536" s="8"/>
      <c r="AQ536" s="10">
        <v>147317324956.75</v>
      </c>
      <c r="AR536" s="10">
        <v>147317324956.75</v>
      </c>
      <c r="AS536" s="10">
        <v>133741022612.10001</v>
      </c>
      <c r="AT536" s="10">
        <v>91567827498.449997</v>
      </c>
      <c r="AU536" s="8"/>
      <c r="AV536" s="8"/>
      <c r="AW536" s="8"/>
      <c r="AX536" s="8"/>
      <c r="AY536" s="8"/>
      <c r="AZ536" s="8"/>
      <c r="BA536" s="8"/>
      <c r="BB536" s="14">
        <v>42916</v>
      </c>
      <c r="BC536" s="14">
        <v>42916</v>
      </c>
      <c r="BD536" s="14">
        <v>42735</v>
      </c>
      <c r="BE536" s="14">
        <v>42277</v>
      </c>
      <c r="BF536" s="8"/>
      <c r="BG536" s="8"/>
      <c r="BH536" s="8"/>
      <c r="BI536" s="8"/>
      <c r="BJ536" s="8"/>
      <c r="BK536" s="8"/>
      <c r="BL536" s="8"/>
      <c r="BM536" s="8" t="s">
        <v>35</v>
      </c>
      <c r="BN536" s="8" t="s">
        <v>35</v>
      </c>
      <c r="BO536" s="8" t="s">
        <v>35</v>
      </c>
      <c r="BP536" s="8" t="s">
        <v>35</v>
      </c>
      <c r="BQ536" s="8" t="s">
        <v>31</v>
      </c>
      <c r="BR536" s="8" t="s">
        <v>49</v>
      </c>
      <c r="BS536" s="10">
        <v>604070170205792</v>
      </c>
      <c r="BT536" s="8" t="s">
        <v>290</v>
      </c>
      <c r="BU536" s="8"/>
      <c r="BV536" s="8"/>
      <c r="BW536" s="8"/>
      <c r="BX536" s="8"/>
      <c r="BY536" s="8"/>
      <c r="BZ536" s="8"/>
      <c r="CA536" s="8"/>
      <c r="CB536" s="8" t="s">
        <v>27</v>
      </c>
      <c r="CC536" s="8" t="s">
        <v>27</v>
      </c>
      <c r="CD536" s="8" t="s">
        <v>27</v>
      </c>
      <c r="CE536" s="8" t="s">
        <v>27</v>
      </c>
      <c r="CF536" s="8" t="s">
        <v>82</v>
      </c>
      <c r="CG536" s="8" t="s">
        <v>39</v>
      </c>
    </row>
    <row r="537" spans="1:85" ht="15.75" customHeight="1" x14ac:dyDescent="0.35">
      <c r="A537" s="8">
        <v>530</v>
      </c>
      <c r="B537" s="8" t="s">
        <v>753</v>
      </c>
      <c r="C537" s="8"/>
      <c r="D537" s="8"/>
      <c r="E537" s="8"/>
      <c r="F537" s="9">
        <v>0</v>
      </c>
      <c r="G537" s="9">
        <v>0</v>
      </c>
      <c r="H537" s="9">
        <v>1.493E-3</v>
      </c>
      <c r="I537" s="9">
        <v>1.7750000000000001E-3</v>
      </c>
      <c r="J537" s="9">
        <v>2.7060000000000001E-3</v>
      </c>
      <c r="K537" s="9">
        <v>1.8439999999999999E-3</v>
      </c>
      <c r="L537" s="9">
        <v>2.8210000000000002E-3</v>
      </c>
      <c r="M537" s="9">
        <v>1.4090000000000001E-3</v>
      </c>
      <c r="N537" s="8"/>
      <c r="O537" s="8"/>
      <c r="P537" s="8"/>
      <c r="Q537" s="10">
        <v>0</v>
      </c>
      <c r="R537" s="10">
        <v>0</v>
      </c>
      <c r="S537" s="10">
        <v>137950416</v>
      </c>
      <c r="T537" s="10">
        <v>163980016</v>
      </c>
      <c r="U537" s="10">
        <v>250002416</v>
      </c>
      <c r="V537" s="10">
        <v>170342616</v>
      </c>
      <c r="W537" s="10">
        <v>260698016</v>
      </c>
      <c r="X537" s="10">
        <v>130236016</v>
      </c>
      <c r="Y537" s="8"/>
      <c r="Z537" s="8"/>
      <c r="AA537" s="8"/>
      <c r="AB537" s="11">
        <v>0</v>
      </c>
      <c r="AC537" s="12">
        <v>-137950416</v>
      </c>
      <c r="AD537" s="12">
        <v>-26029600</v>
      </c>
      <c r="AE537" s="12">
        <v>-86022400</v>
      </c>
      <c r="AF537" s="13">
        <v>79659800</v>
      </c>
      <c r="AG537" s="12">
        <v>-90355400</v>
      </c>
      <c r="AH537" s="13">
        <v>130462000</v>
      </c>
      <c r="AI537" s="13">
        <v>1193600</v>
      </c>
      <c r="AJ537" s="8"/>
      <c r="AK537" s="8"/>
      <c r="AL537" s="8"/>
      <c r="AM537" s="10">
        <v>0</v>
      </c>
      <c r="AN537" s="10">
        <v>0</v>
      </c>
      <c r="AO537" s="10">
        <v>436268190056.40002</v>
      </c>
      <c r="AP537" s="10">
        <v>627465055329.19995</v>
      </c>
      <c r="AQ537" s="10">
        <v>910483077537.5</v>
      </c>
      <c r="AR537" s="10">
        <v>681370464113.5</v>
      </c>
      <c r="AS537" s="10">
        <v>754394884175.09998</v>
      </c>
      <c r="AT537" s="10">
        <v>301280065360.04999</v>
      </c>
      <c r="AU537" s="8"/>
      <c r="AV537" s="8"/>
      <c r="AW537" s="8"/>
      <c r="AX537" s="14">
        <v>44347</v>
      </c>
      <c r="AY537" s="14">
        <v>44347</v>
      </c>
      <c r="AZ537" s="14">
        <v>44196</v>
      </c>
      <c r="BA537" s="14">
        <v>43830</v>
      </c>
      <c r="BB537" s="14">
        <v>43465</v>
      </c>
      <c r="BC537" s="14">
        <v>43100</v>
      </c>
      <c r="BD537" s="14">
        <v>42735</v>
      </c>
      <c r="BE537" s="14">
        <v>42369</v>
      </c>
      <c r="BF537" s="8"/>
      <c r="BG537" s="8"/>
      <c r="BH537" s="8"/>
      <c r="BI537" s="8" t="s">
        <v>35</v>
      </c>
      <c r="BJ537" s="8" t="s">
        <v>35</v>
      </c>
      <c r="BK537" s="8" t="s">
        <v>35</v>
      </c>
      <c r="BL537" s="8" t="s">
        <v>35</v>
      </c>
      <c r="BM537" s="8" t="s">
        <v>35</v>
      </c>
      <c r="BN537" s="8" t="s">
        <v>35</v>
      </c>
      <c r="BO537" s="8" t="s">
        <v>35</v>
      </c>
      <c r="BP537" s="8" t="s">
        <v>35</v>
      </c>
      <c r="BQ537" s="8" t="s">
        <v>31</v>
      </c>
      <c r="BR537" s="8" t="s">
        <v>49</v>
      </c>
      <c r="BS537" s="10">
        <v>18779121175076.398</v>
      </c>
      <c r="BT537" s="8" t="s">
        <v>57</v>
      </c>
      <c r="BU537" s="8"/>
      <c r="BV537" s="8"/>
      <c r="BW537" s="8"/>
      <c r="BX537" s="8" t="s">
        <v>27</v>
      </c>
      <c r="BY537" s="8" t="s">
        <v>42</v>
      </c>
      <c r="BZ537" s="8" t="s">
        <v>42</v>
      </c>
      <c r="CA537" s="8" t="s">
        <v>42</v>
      </c>
      <c r="CB537" s="8" t="s">
        <v>43</v>
      </c>
      <c r="CC537" s="8" t="s">
        <v>43</v>
      </c>
      <c r="CD537" s="8" t="s">
        <v>42</v>
      </c>
      <c r="CE537" s="8" t="s">
        <v>27</v>
      </c>
      <c r="CF537" s="8" t="s">
        <v>50</v>
      </c>
      <c r="CG537" s="8" t="s">
        <v>51</v>
      </c>
    </row>
    <row r="538" spans="1:85" ht="15.75" customHeight="1" x14ac:dyDescent="0.35">
      <c r="A538" s="8">
        <v>531</v>
      </c>
      <c r="B538" s="8" t="s">
        <v>754</v>
      </c>
      <c r="C538" s="8"/>
      <c r="D538" s="8"/>
      <c r="E538" s="8"/>
      <c r="F538" s="8"/>
      <c r="G538" s="8"/>
      <c r="H538" s="8"/>
      <c r="I538" s="8"/>
      <c r="J538" s="9">
        <v>3.0000000000000001E-6</v>
      </c>
      <c r="K538" s="9">
        <v>3.0000000000000001E-6</v>
      </c>
      <c r="L538" s="9">
        <v>1.9999999999999999E-6</v>
      </c>
      <c r="M538" s="9">
        <v>9.9999999999999995E-7</v>
      </c>
      <c r="N538" s="8"/>
      <c r="O538" s="8"/>
      <c r="P538" s="8"/>
      <c r="Q538" s="8"/>
      <c r="R538" s="8"/>
      <c r="S538" s="8"/>
      <c r="T538" s="8"/>
      <c r="U538" s="10">
        <v>233200</v>
      </c>
      <c r="V538" s="10">
        <v>233200</v>
      </c>
      <c r="W538" s="10">
        <v>223200</v>
      </c>
      <c r="X538" s="10">
        <v>129956</v>
      </c>
      <c r="Y538" s="8"/>
      <c r="Z538" s="8"/>
      <c r="AA538" s="8"/>
      <c r="AB538" s="8"/>
      <c r="AC538" s="8"/>
      <c r="AD538" s="8"/>
      <c r="AE538" s="8"/>
      <c r="AF538" s="11">
        <v>0</v>
      </c>
      <c r="AG538" s="13">
        <v>10000</v>
      </c>
      <c r="AH538" s="13">
        <v>93244</v>
      </c>
      <c r="AI538" s="11">
        <v>0</v>
      </c>
      <c r="AJ538" s="8"/>
      <c r="AK538" s="8"/>
      <c r="AL538" s="8"/>
      <c r="AM538" s="8"/>
      <c r="AN538" s="8"/>
      <c r="AO538" s="8"/>
      <c r="AP538" s="8"/>
      <c r="AQ538" s="10">
        <v>822029980.79999995</v>
      </c>
      <c r="AR538" s="10">
        <v>822029980.79999995</v>
      </c>
      <c r="AS538" s="10">
        <v>645885018.29999995</v>
      </c>
      <c r="AT538" s="10">
        <v>276156471.89999998</v>
      </c>
      <c r="AU538" s="8"/>
      <c r="AV538" s="8"/>
      <c r="AW538" s="8"/>
      <c r="AX538" s="8"/>
      <c r="AY538" s="8"/>
      <c r="AZ538" s="8"/>
      <c r="BA538" s="8"/>
      <c r="BB538" s="14">
        <v>43039</v>
      </c>
      <c r="BC538" s="14">
        <v>43039</v>
      </c>
      <c r="BD538" s="14">
        <v>42735</v>
      </c>
      <c r="BE538" s="14">
        <v>42338</v>
      </c>
      <c r="BF538" s="8"/>
      <c r="BG538" s="8"/>
      <c r="BH538" s="8"/>
      <c r="BI538" s="8"/>
      <c r="BJ538" s="8"/>
      <c r="BK538" s="8"/>
      <c r="BL538" s="8"/>
      <c r="BM538" s="8" t="s">
        <v>35</v>
      </c>
      <c r="BN538" s="8" t="s">
        <v>35</v>
      </c>
      <c r="BO538" s="8" t="s">
        <v>35</v>
      </c>
      <c r="BP538" s="8" t="s">
        <v>35</v>
      </c>
      <c r="BQ538" s="8" t="s">
        <v>31</v>
      </c>
      <c r="BR538" s="8" t="s">
        <v>36</v>
      </c>
      <c r="BS538" s="10">
        <v>982314741114</v>
      </c>
      <c r="BT538" s="8"/>
      <c r="BU538" s="8"/>
      <c r="BV538" s="8"/>
      <c r="BW538" s="8"/>
      <c r="BX538" s="8"/>
      <c r="BY538" s="8"/>
      <c r="BZ538" s="8"/>
      <c r="CA538" s="8"/>
      <c r="CB538" s="8"/>
      <c r="CC538" s="8" t="s">
        <v>42</v>
      </c>
      <c r="CD538" s="8" t="s">
        <v>42</v>
      </c>
      <c r="CE538" s="8" t="s">
        <v>42</v>
      </c>
      <c r="CF538" s="8" t="s">
        <v>755</v>
      </c>
      <c r="CG538" s="8" t="s">
        <v>39</v>
      </c>
    </row>
    <row r="539" spans="1:85" ht="15.75" customHeight="1" x14ac:dyDescent="0.35">
      <c r="A539" s="8">
        <v>532</v>
      </c>
      <c r="B539" s="8" t="s">
        <v>756</v>
      </c>
      <c r="C539" s="8"/>
      <c r="D539" s="8"/>
      <c r="E539" s="8"/>
      <c r="F539" s="9">
        <v>0</v>
      </c>
      <c r="G539" s="9">
        <v>0</v>
      </c>
      <c r="H539" s="9">
        <v>4.3999999999999999E-5</v>
      </c>
      <c r="I539" s="8"/>
      <c r="J539" s="8"/>
      <c r="K539" s="8"/>
      <c r="L539" s="8"/>
      <c r="M539" s="8"/>
      <c r="N539" s="8"/>
      <c r="O539" s="8"/>
      <c r="P539" s="8"/>
      <c r="Q539" s="10">
        <v>0</v>
      </c>
      <c r="R539" s="10">
        <v>0</v>
      </c>
      <c r="S539" s="10">
        <v>4057306</v>
      </c>
      <c r="T539" s="8"/>
      <c r="U539" s="8"/>
      <c r="V539" s="8"/>
      <c r="W539" s="8"/>
      <c r="X539" s="8"/>
      <c r="Y539" s="8"/>
      <c r="Z539" s="8"/>
      <c r="AA539" s="8"/>
      <c r="AB539" s="11">
        <v>0</v>
      </c>
      <c r="AC539" s="12">
        <v>-4057306</v>
      </c>
      <c r="AD539" s="13">
        <v>4057306</v>
      </c>
      <c r="AE539" s="8"/>
      <c r="AF539" s="8"/>
      <c r="AG539" s="8"/>
      <c r="AH539" s="8"/>
      <c r="AI539" s="8"/>
      <c r="AJ539" s="8"/>
      <c r="AK539" s="8"/>
      <c r="AL539" s="8"/>
      <c r="AM539" s="10">
        <v>0</v>
      </c>
      <c r="AN539" s="10">
        <v>0</v>
      </c>
      <c r="AO539" s="10">
        <v>12831230271.6</v>
      </c>
      <c r="AP539" s="8"/>
      <c r="AQ539" s="8"/>
      <c r="AR539" s="8"/>
      <c r="AS539" s="8"/>
      <c r="AT539" s="8"/>
      <c r="AU539" s="8"/>
      <c r="AV539" s="8"/>
      <c r="AW539" s="8"/>
      <c r="AX539" s="14">
        <v>44377</v>
      </c>
      <c r="AY539" s="14">
        <v>44377</v>
      </c>
      <c r="AZ539" s="14">
        <v>44196</v>
      </c>
      <c r="BA539" s="8"/>
      <c r="BB539" s="8"/>
      <c r="BC539" s="8"/>
      <c r="BD539" s="8"/>
      <c r="BE539" s="8"/>
      <c r="BF539" s="8"/>
      <c r="BG539" s="8"/>
      <c r="BH539" s="8"/>
      <c r="BI539" s="8" t="s">
        <v>35</v>
      </c>
      <c r="BJ539" s="8" t="s">
        <v>35</v>
      </c>
      <c r="BK539" s="8" t="s">
        <v>35</v>
      </c>
      <c r="BL539" s="8"/>
      <c r="BM539" s="8"/>
      <c r="BN539" s="8"/>
      <c r="BO539" s="8"/>
      <c r="BP539" s="8"/>
      <c r="BQ539" s="8" t="s">
        <v>31</v>
      </c>
      <c r="BR539" s="8" t="s">
        <v>36</v>
      </c>
      <c r="BS539" s="10">
        <v>3860470317361.2002</v>
      </c>
      <c r="BT539" s="8"/>
      <c r="BU539" s="8"/>
      <c r="BV539" s="8"/>
      <c r="BW539" s="8"/>
      <c r="BX539" s="8" t="s">
        <v>42</v>
      </c>
      <c r="BY539" s="8" t="s">
        <v>42</v>
      </c>
      <c r="BZ539" s="8" t="s">
        <v>43</v>
      </c>
      <c r="CA539" s="8"/>
      <c r="CB539" s="8"/>
      <c r="CC539" s="8"/>
      <c r="CD539" s="8"/>
      <c r="CE539" s="8"/>
      <c r="CF539" s="8" t="s">
        <v>70</v>
      </c>
      <c r="CG539" s="8" t="s">
        <v>71</v>
      </c>
    </row>
    <row r="540" spans="1:85" ht="15.75" customHeight="1" x14ac:dyDescent="0.35">
      <c r="A540" s="8">
        <v>533</v>
      </c>
      <c r="B540" s="8" t="s">
        <v>757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>
        <v>0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10">
        <v>0</v>
      </c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11">
        <v>0</v>
      </c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10">
        <v>0</v>
      </c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14">
        <v>41973</v>
      </c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 t="s">
        <v>35</v>
      </c>
      <c r="BQ540" s="8" t="s">
        <v>31</v>
      </c>
      <c r="BR540" s="8" t="s">
        <v>49</v>
      </c>
      <c r="BS540" s="10">
        <v>508165451029408</v>
      </c>
      <c r="BT540" s="8" t="s">
        <v>61</v>
      </c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 t="s">
        <v>42</v>
      </c>
      <c r="CF540" s="8" t="s">
        <v>639</v>
      </c>
      <c r="CG540" s="8" t="s">
        <v>115</v>
      </c>
    </row>
    <row r="541" spans="1:85" ht="15.75" customHeight="1" x14ac:dyDescent="0.35">
      <c r="A541" s="8">
        <v>534</v>
      </c>
      <c r="B541" s="8" t="s">
        <v>758</v>
      </c>
      <c r="C541" s="8"/>
      <c r="D541" s="8"/>
      <c r="E541" s="9">
        <v>1.2E-5</v>
      </c>
      <c r="F541" s="9">
        <v>1.2E-5</v>
      </c>
      <c r="G541" s="8"/>
      <c r="H541" s="8"/>
      <c r="I541" s="8"/>
      <c r="J541" s="8"/>
      <c r="K541" s="8"/>
      <c r="L541" s="8"/>
      <c r="M541" s="8"/>
      <c r="N541" s="8"/>
      <c r="O541" s="8"/>
      <c r="P541" s="10">
        <v>1118000</v>
      </c>
      <c r="Q541" s="10">
        <v>1118000</v>
      </c>
      <c r="R541" s="8"/>
      <c r="S541" s="8"/>
      <c r="T541" s="8"/>
      <c r="U541" s="8"/>
      <c r="V541" s="8"/>
      <c r="W541" s="8"/>
      <c r="X541" s="8"/>
      <c r="Y541" s="8"/>
      <c r="Z541" s="8"/>
      <c r="AA541" s="11">
        <v>0</v>
      </c>
      <c r="AB541" s="13">
        <v>1118000</v>
      </c>
      <c r="AC541" s="8"/>
      <c r="AD541" s="8"/>
      <c r="AE541" s="8"/>
      <c r="AF541" s="8"/>
      <c r="AG541" s="8"/>
      <c r="AH541" s="8"/>
      <c r="AI541" s="8"/>
      <c r="AJ541" s="8"/>
      <c r="AK541" s="8"/>
      <c r="AL541" s="10">
        <v>4416100059.8400002</v>
      </c>
      <c r="AM541" s="10">
        <v>4416100059.8400002</v>
      </c>
      <c r="AN541" s="8"/>
      <c r="AO541" s="8"/>
      <c r="AP541" s="8"/>
      <c r="AQ541" s="8"/>
      <c r="AR541" s="8"/>
      <c r="AS541" s="8"/>
      <c r="AT541" s="8"/>
      <c r="AU541" s="8"/>
      <c r="AV541" s="8"/>
      <c r="AW541" s="14">
        <v>44651</v>
      </c>
      <c r="AX541" s="14">
        <v>44651</v>
      </c>
      <c r="AY541" s="8"/>
      <c r="AZ541" s="8"/>
      <c r="BA541" s="8"/>
      <c r="BB541" s="8"/>
      <c r="BC541" s="8"/>
      <c r="BD541" s="8"/>
      <c r="BE541" s="8"/>
      <c r="BF541" s="8"/>
      <c r="BG541" s="8"/>
      <c r="BH541" s="8" t="s">
        <v>35</v>
      </c>
      <c r="BI541" s="8" t="s">
        <v>35</v>
      </c>
      <c r="BJ541" s="8"/>
      <c r="BK541" s="8"/>
      <c r="BL541" s="8"/>
      <c r="BM541" s="8"/>
      <c r="BN541" s="8"/>
      <c r="BO541" s="8"/>
      <c r="BP541" s="8"/>
      <c r="BQ541" s="8" t="s">
        <v>31</v>
      </c>
      <c r="BR541" s="8" t="s">
        <v>36</v>
      </c>
      <c r="BS541" s="10">
        <v>803618439346.80005</v>
      </c>
      <c r="BT541" s="8"/>
      <c r="BU541" s="8"/>
      <c r="BV541" s="8"/>
      <c r="BW541" s="8"/>
      <c r="BX541" s="8" t="s">
        <v>43</v>
      </c>
      <c r="BY541" s="8"/>
      <c r="BZ541" s="8"/>
      <c r="CA541" s="8"/>
      <c r="CB541" s="8"/>
      <c r="CC541" s="8"/>
      <c r="CD541" s="8"/>
      <c r="CE541" s="8"/>
      <c r="CF541" s="8" t="s">
        <v>759</v>
      </c>
      <c r="CG541" s="8" t="s">
        <v>39</v>
      </c>
    </row>
    <row r="542" spans="1:85" ht="15.75" customHeight="1" x14ac:dyDescent="0.35">
      <c r="A542" s="8">
        <v>535</v>
      </c>
      <c r="B542" s="8" t="s">
        <v>760</v>
      </c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>
        <v>0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10">
        <v>0</v>
      </c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11">
        <v>0</v>
      </c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10">
        <v>0</v>
      </c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14">
        <v>41790</v>
      </c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 t="s">
        <v>35</v>
      </c>
      <c r="BQ542" s="8" t="s">
        <v>31</v>
      </c>
      <c r="BR542" s="8" t="s">
        <v>36</v>
      </c>
      <c r="BS542" s="10">
        <v>47513679712989.602</v>
      </c>
      <c r="BT542" s="8" t="s">
        <v>57</v>
      </c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 t="s">
        <v>27</v>
      </c>
      <c r="CF542" s="8" t="s">
        <v>145</v>
      </c>
      <c r="CG542" s="8" t="s">
        <v>146</v>
      </c>
    </row>
    <row r="543" spans="1:85" ht="15.75" customHeight="1" x14ac:dyDescent="0.35">
      <c r="A543" s="8">
        <v>536</v>
      </c>
      <c r="B543" s="8" t="s">
        <v>761</v>
      </c>
      <c r="C543" s="8"/>
      <c r="D543" s="8"/>
      <c r="E543" s="8"/>
      <c r="F543" s="8"/>
      <c r="G543" s="9">
        <v>2.24E-4</v>
      </c>
      <c r="H543" s="9">
        <v>2.24E-4</v>
      </c>
      <c r="I543" s="9">
        <v>1.7799999999999999E-4</v>
      </c>
      <c r="J543" s="9">
        <v>6.3E-5</v>
      </c>
      <c r="K543" s="8"/>
      <c r="L543" s="8"/>
      <c r="M543" s="8"/>
      <c r="N543" s="8"/>
      <c r="O543" s="8"/>
      <c r="P543" s="8"/>
      <c r="Q543" s="8"/>
      <c r="R543" s="10">
        <v>20678400</v>
      </c>
      <c r="S543" s="10">
        <v>20678400</v>
      </c>
      <c r="T543" s="10">
        <v>16412200</v>
      </c>
      <c r="U543" s="10">
        <v>5849000</v>
      </c>
      <c r="V543" s="8"/>
      <c r="W543" s="8"/>
      <c r="X543" s="8"/>
      <c r="Y543" s="8"/>
      <c r="Z543" s="8"/>
      <c r="AA543" s="8"/>
      <c r="AB543" s="8"/>
      <c r="AC543" s="11">
        <v>0</v>
      </c>
      <c r="AD543" s="13">
        <v>4266200</v>
      </c>
      <c r="AE543" s="13">
        <v>10563200</v>
      </c>
      <c r="AF543" s="13">
        <v>5849000</v>
      </c>
      <c r="AG543" s="8"/>
      <c r="AH543" s="8"/>
      <c r="AI543" s="8"/>
      <c r="AJ543" s="8"/>
      <c r="AK543" s="8"/>
      <c r="AL543" s="8"/>
      <c r="AM543" s="8"/>
      <c r="AN543" s="10">
        <v>59967360037.699997</v>
      </c>
      <c r="AO543" s="10">
        <v>59967360037.699997</v>
      </c>
      <c r="AP543" s="10">
        <v>62800835336.800003</v>
      </c>
      <c r="AQ543" s="10">
        <v>21301456181.25</v>
      </c>
      <c r="AR543" s="8"/>
      <c r="AS543" s="8"/>
      <c r="AT543" s="8"/>
      <c r="AU543" s="8"/>
      <c r="AV543" s="8"/>
      <c r="AW543" s="8"/>
      <c r="AX543" s="8"/>
      <c r="AY543" s="14">
        <v>44043</v>
      </c>
      <c r="AZ543" s="14">
        <v>44043</v>
      </c>
      <c r="BA543" s="14">
        <v>43830</v>
      </c>
      <c r="BB543" s="14">
        <v>43465</v>
      </c>
      <c r="BC543" s="8"/>
      <c r="BD543" s="8"/>
      <c r="BE543" s="8"/>
      <c r="BF543" s="8"/>
      <c r="BG543" s="8"/>
      <c r="BH543" s="8"/>
      <c r="BI543" s="8"/>
      <c r="BJ543" s="8" t="s">
        <v>35</v>
      </c>
      <c r="BK543" s="8" t="s">
        <v>35</v>
      </c>
      <c r="BL543" s="8" t="s">
        <v>35</v>
      </c>
      <c r="BM543" s="8" t="s">
        <v>35</v>
      </c>
      <c r="BN543" s="8"/>
      <c r="BO543" s="8"/>
      <c r="BP543" s="8"/>
      <c r="BQ543" s="8" t="s">
        <v>31</v>
      </c>
      <c r="BR543" s="8" t="s">
        <v>160</v>
      </c>
      <c r="BS543" s="10">
        <v>1008383713287.6</v>
      </c>
      <c r="BT543" s="8" t="s">
        <v>57</v>
      </c>
      <c r="BU543" s="8"/>
      <c r="BV543" s="8"/>
      <c r="BW543" s="8"/>
      <c r="BX543" s="8"/>
      <c r="BY543" s="8" t="s">
        <v>27</v>
      </c>
      <c r="BZ543" s="8" t="s">
        <v>27</v>
      </c>
      <c r="CA543" s="8" t="s">
        <v>42</v>
      </c>
      <c r="CB543" s="8" t="s">
        <v>42</v>
      </c>
      <c r="CC543" s="8"/>
      <c r="CD543" s="8"/>
      <c r="CE543" s="8"/>
      <c r="CF543" s="8" t="s">
        <v>232</v>
      </c>
      <c r="CG543" s="8" t="s">
        <v>232</v>
      </c>
    </row>
    <row r="544" spans="1:85" ht="15.75" customHeight="1" x14ac:dyDescent="0.35">
      <c r="A544" s="8">
        <v>537</v>
      </c>
      <c r="B544" s="8" t="s">
        <v>762</v>
      </c>
      <c r="C544" s="8"/>
      <c r="D544" s="8"/>
      <c r="E544" s="8"/>
      <c r="F544" s="8"/>
      <c r="G544" s="8"/>
      <c r="H544" s="8"/>
      <c r="I544" s="8"/>
      <c r="J544" s="8"/>
      <c r="K544" s="8"/>
      <c r="L544" s="9">
        <v>0</v>
      </c>
      <c r="M544" s="9">
        <v>0</v>
      </c>
      <c r="N544" s="8"/>
      <c r="O544" s="8"/>
      <c r="P544" s="8"/>
      <c r="Q544" s="8"/>
      <c r="R544" s="8"/>
      <c r="S544" s="8"/>
      <c r="T544" s="8"/>
      <c r="U544" s="8"/>
      <c r="V544" s="8"/>
      <c r="W544" s="10">
        <v>0</v>
      </c>
      <c r="X544" s="10">
        <v>0</v>
      </c>
      <c r="Y544" s="8"/>
      <c r="Z544" s="8"/>
      <c r="AA544" s="8"/>
      <c r="AB544" s="8"/>
      <c r="AC544" s="8"/>
      <c r="AD544" s="8"/>
      <c r="AE544" s="8"/>
      <c r="AF544" s="8"/>
      <c r="AG544" s="8"/>
      <c r="AH544" s="11">
        <v>0</v>
      </c>
      <c r="AI544" s="11">
        <v>0</v>
      </c>
      <c r="AJ544" s="8"/>
      <c r="AK544" s="8"/>
      <c r="AL544" s="8"/>
      <c r="AM544" s="8"/>
      <c r="AN544" s="8"/>
      <c r="AO544" s="8"/>
      <c r="AP544" s="8"/>
      <c r="AQ544" s="8"/>
      <c r="AR544" s="8"/>
      <c r="AS544" s="10">
        <v>0</v>
      </c>
      <c r="AT544" s="10">
        <v>0</v>
      </c>
      <c r="AU544" s="8"/>
      <c r="AV544" s="8"/>
      <c r="AW544" s="8"/>
      <c r="AX544" s="8"/>
      <c r="AY544" s="8"/>
      <c r="AZ544" s="8"/>
      <c r="BA544" s="8"/>
      <c r="BB544" s="8"/>
      <c r="BC544" s="8"/>
      <c r="BD544" s="14">
        <v>42247</v>
      </c>
      <c r="BE544" s="14">
        <v>42247</v>
      </c>
      <c r="BF544" s="8"/>
      <c r="BG544" s="8"/>
      <c r="BH544" s="8"/>
      <c r="BI544" s="8"/>
      <c r="BJ544" s="8"/>
      <c r="BK544" s="8"/>
      <c r="BL544" s="8"/>
      <c r="BM544" s="8"/>
      <c r="BN544" s="8"/>
      <c r="BO544" s="8" t="s">
        <v>35</v>
      </c>
      <c r="BP544" s="8" t="s">
        <v>35</v>
      </c>
      <c r="BQ544" s="8" t="s">
        <v>31</v>
      </c>
      <c r="BR544" s="8" t="s">
        <v>160</v>
      </c>
      <c r="BS544" s="10">
        <v>0</v>
      </c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 t="s">
        <v>43</v>
      </c>
      <c r="CE544" s="8" t="s">
        <v>42</v>
      </c>
      <c r="CF544" s="8" t="s">
        <v>98</v>
      </c>
      <c r="CG544" s="8" t="s">
        <v>99</v>
      </c>
    </row>
    <row r="545" spans="1:85" ht="15.75" customHeight="1" x14ac:dyDescent="0.35">
      <c r="A545" s="8">
        <v>538</v>
      </c>
      <c r="B545" s="8" t="s">
        <v>763</v>
      </c>
      <c r="C545" s="8"/>
      <c r="D545" s="8"/>
      <c r="E545" s="8"/>
      <c r="F545" s="8"/>
      <c r="G545" s="8"/>
      <c r="H545" s="9">
        <v>3.0000000000000001E-6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10">
        <v>249000</v>
      </c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13">
        <v>249000</v>
      </c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10">
        <v>905737487.39999998</v>
      </c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14">
        <v>43890</v>
      </c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 t="s">
        <v>35</v>
      </c>
      <c r="BL545" s="8"/>
      <c r="BM545" s="8"/>
      <c r="BN545" s="8"/>
      <c r="BO545" s="8"/>
      <c r="BP545" s="8"/>
      <c r="BQ545" s="8" t="s">
        <v>31</v>
      </c>
      <c r="BR545" s="8" t="s">
        <v>36</v>
      </c>
      <c r="BS545" s="10">
        <v>7067292083048.4004</v>
      </c>
      <c r="BT545" s="8"/>
      <c r="BU545" s="8"/>
      <c r="BV545" s="8"/>
      <c r="BW545" s="8"/>
      <c r="BX545" s="8"/>
      <c r="BY545" s="8"/>
      <c r="BZ545" s="8" t="s">
        <v>27</v>
      </c>
      <c r="CA545" s="8"/>
      <c r="CB545" s="8"/>
      <c r="CC545" s="8"/>
      <c r="CD545" s="8"/>
      <c r="CE545" s="8"/>
      <c r="CF545" s="8" t="s">
        <v>98</v>
      </c>
      <c r="CG545" s="8" t="s">
        <v>99</v>
      </c>
    </row>
    <row r="546" spans="1:85" ht="15.75" customHeight="1" x14ac:dyDescent="0.35">
      <c r="A546" s="8">
        <v>539</v>
      </c>
      <c r="B546" s="8" t="s">
        <v>764</v>
      </c>
      <c r="C546" s="8"/>
      <c r="D546" s="8"/>
      <c r="E546" s="8"/>
      <c r="F546" s="8"/>
      <c r="G546" s="8"/>
      <c r="H546" s="8"/>
      <c r="I546" s="8"/>
      <c r="J546" s="8"/>
      <c r="K546" s="8"/>
      <c r="L546" s="9">
        <v>0</v>
      </c>
      <c r="M546" s="9">
        <v>0</v>
      </c>
      <c r="N546" s="8"/>
      <c r="O546" s="8"/>
      <c r="P546" s="8"/>
      <c r="Q546" s="8"/>
      <c r="R546" s="8"/>
      <c r="S546" s="8"/>
      <c r="T546" s="8"/>
      <c r="U546" s="8"/>
      <c r="V546" s="8"/>
      <c r="W546" s="10">
        <v>0</v>
      </c>
      <c r="X546" s="10">
        <v>0</v>
      </c>
      <c r="Y546" s="8"/>
      <c r="Z546" s="8"/>
      <c r="AA546" s="8"/>
      <c r="AB546" s="8"/>
      <c r="AC546" s="8"/>
      <c r="AD546" s="8"/>
      <c r="AE546" s="8"/>
      <c r="AF546" s="8"/>
      <c r="AG546" s="8"/>
      <c r="AH546" s="11">
        <v>0</v>
      </c>
      <c r="AI546" s="12">
        <v>-247420</v>
      </c>
      <c r="AJ546" s="8"/>
      <c r="AK546" s="8"/>
      <c r="AL546" s="8"/>
      <c r="AM546" s="8"/>
      <c r="AN546" s="8"/>
      <c r="AO546" s="8"/>
      <c r="AP546" s="8"/>
      <c r="AQ546" s="8"/>
      <c r="AR546" s="8"/>
      <c r="AS546" s="10">
        <v>0</v>
      </c>
      <c r="AT546" s="10">
        <v>0</v>
      </c>
      <c r="AU546" s="8"/>
      <c r="AV546" s="8"/>
      <c r="AW546" s="8"/>
      <c r="AX546" s="8"/>
      <c r="AY546" s="8"/>
      <c r="AZ546" s="8"/>
      <c r="BA546" s="8"/>
      <c r="BB546" s="8"/>
      <c r="BC546" s="8"/>
      <c r="BD546" s="14">
        <v>42369</v>
      </c>
      <c r="BE546" s="14">
        <v>42369</v>
      </c>
      <c r="BF546" s="8"/>
      <c r="BG546" s="8"/>
      <c r="BH546" s="8"/>
      <c r="BI546" s="8"/>
      <c r="BJ546" s="8"/>
      <c r="BK546" s="8"/>
      <c r="BL546" s="8"/>
      <c r="BM546" s="8"/>
      <c r="BN546" s="8"/>
      <c r="BO546" s="8" t="s">
        <v>35</v>
      </c>
      <c r="BP546" s="8" t="s">
        <v>35</v>
      </c>
      <c r="BQ546" s="8" t="s">
        <v>31</v>
      </c>
      <c r="BR546" s="8" t="s">
        <v>49</v>
      </c>
      <c r="BS546" s="10">
        <v>0</v>
      </c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 t="s">
        <v>43</v>
      </c>
      <c r="CE546" s="8" t="s">
        <v>42</v>
      </c>
      <c r="CF546" s="8" t="s">
        <v>82</v>
      </c>
      <c r="CG546" s="8" t="s">
        <v>39</v>
      </c>
    </row>
    <row r="547" spans="1:85" ht="15.75" customHeight="1" x14ac:dyDescent="0.35">
      <c r="A547" s="8">
        <v>540</v>
      </c>
      <c r="B547" s="8" t="s">
        <v>765</v>
      </c>
      <c r="C547" s="8"/>
      <c r="D547" s="9">
        <v>6.0000000000000002E-6</v>
      </c>
      <c r="E547" s="9">
        <v>6.0000000000000002E-6</v>
      </c>
      <c r="F547" s="8"/>
      <c r="G547" s="8"/>
      <c r="H547" s="8"/>
      <c r="I547" s="8"/>
      <c r="J547" s="8"/>
      <c r="K547" s="8"/>
      <c r="L547" s="9">
        <v>0</v>
      </c>
      <c r="M547" s="9">
        <v>0</v>
      </c>
      <c r="N547" s="8"/>
      <c r="O547" s="10">
        <v>529200</v>
      </c>
      <c r="P547" s="10">
        <v>529200</v>
      </c>
      <c r="Q547" s="8"/>
      <c r="R547" s="8"/>
      <c r="S547" s="8"/>
      <c r="T547" s="8"/>
      <c r="U547" s="8"/>
      <c r="V547" s="8"/>
      <c r="W547" s="10">
        <v>0</v>
      </c>
      <c r="X547" s="10">
        <v>0</v>
      </c>
      <c r="Y547" s="8"/>
      <c r="Z547" s="11">
        <v>0</v>
      </c>
      <c r="AA547" s="13">
        <v>529200</v>
      </c>
      <c r="AB547" s="8"/>
      <c r="AC547" s="8"/>
      <c r="AD547" s="8"/>
      <c r="AE547" s="8"/>
      <c r="AF547" s="8"/>
      <c r="AG547" s="8"/>
      <c r="AH547" s="11">
        <v>0</v>
      </c>
      <c r="AI547" s="12">
        <v>-3940000</v>
      </c>
      <c r="AJ547" s="8"/>
      <c r="AK547" s="10">
        <v>2751840066.0999999</v>
      </c>
      <c r="AL547" s="10">
        <v>2751840066.0999999</v>
      </c>
      <c r="AM547" s="8"/>
      <c r="AN547" s="8"/>
      <c r="AO547" s="8"/>
      <c r="AP547" s="8"/>
      <c r="AQ547" s="8"/>
      <c r="AR547" s="8"/>
      <c r="AS547" s="10">
        <v>0</v>
      </c>
      <c r="AT547" s="10">
        <v>0</v>
      </c>
      <c r="AU547" s="8"/>
      <c r="AV547" s="14">
        <v>45107</v>
      </c>
      <c r="AW547" s="14">
        <v>45107</v>
      </c>
      <c r="AX547" s="8"/>
      <c r="AY547" s="8"/>
      <c r="AZ547" s="8"/>
      <c r="BA547" s="8"/>
      <c r="BB547" s="8"/>
      <c r="BC547" s="8"/>
      <c r="BD547" s="14">
        <v>42369</v>
      </c>
      <c r="BE547" s="14">
        <v>42369</v>
      </c>
      <c r="BF547" s="8"/>
      <c r="BG547" s="8" t="s">
        <v>35</v>
      </c>
      <c r="BH547" s="8" t="s">
        <v>35</v>
      </c>
      <c r="BI547" s="8"/>
      <c r="BJ547" s="8"/>
      <c r="BK547" s="8"/>
      <c r="BL547" s="8"/>
      <c r="BM547" s="8"/>
      <c r="BN547" s="8"/>
      <c r="BO547" s="8" t="s">
        <v>35</v>
      </c>
      <c r="BP547" s="8" t="s">
        <v>35</v>
      </c>
      <c r="BQ547" s="8" t="s">
        <v>31</v>
      </c>
      <c r="BR547" s="8" t="s">
        <v>160</v>
      </c>
      <c r="BS547" s="10">
        <v>629452923144</v>
      </c>
      <c r="BT547" s="8" t="s">
        <v>91</v>
      </c>
      <c r="BU547" s="8"/>
      <c r="BV547" s="8"/>
      <c r="BW547" s="8" t="s">
        <v>43</v>
      </c>
      <c r="BX547" s="8"/>
      <c r="BY547" s="8"/>
      <c r="BZ547" s="8"/>
      <c r="CA547" s="8"/>
      <c r="CB547" s="8"/>
      <c r="CC547" s="8"/>
      <c r="CD547" s="8" t="s">
        <v>42</v>
      </c>
      <c r="CE547" s="8" t="s">
        <v>27</v>
      </c>
      <c r="CF547" s="8" t="s">
        <v>65</v>
      </c>
      <c r="CG547" s="8" t="s">
        <v>65</v>
      </c>
    </row>
    <row r="548" spans="1:85" ht="15.75" customHeight="1" x14ac:dyDescent="0.35">
      <c r="A548" s="8">
        <v>541</v>
      </c>
      <c r="B548" s="8" t="s">
        <v>766</v>
      </c>
      <c r="C548" s="8"/>
      <c r="D548" s="8"/>
      <c r="E548" s="9">
        <v>2.4000000000000001E-5</v>
      </c>
      <c r="F548" s="9">
        <v>2.4000000000000001E-5</v>
      </c>
      <c r="G548" s="9">
        <v>3.1999999999999999E-5</v>
      </c>
      <c r="H548" s="9">
        <v>1.5999999999999999E-5</v>
      </c>
      <c r="I548" s="9">
        <v>1.9999999999999999E-6</v>
      </c>
      <c r="J548" s="9">
        <v>2.9E-5</v>
      </c>
      <c r="K548" s="9">
        <v>0</v>
      </c>
      <c r="L548" s="8"/>
      <c r="M548" s="8"/>
      <c r="N548" s="8"/>
      <c r="O548" s="8"/>
      <c r="P548" s="10">
        <v>2250000</v>
      </c>
      <c r="Q548" s="10">
        <v>2250000</v>
      </c>
      <c r="R548" s="10">
        <v>2970000</v>
      </c>
      <c r="S548" s="10">
        <v>1490106</v>
      </c>
      <c r="T548" s="10">
        <v>189560</v>
      </c>
      <c r="U548" s="10">
        <v>2686422</v>
      </c>
      <c r="V548" s="10">
        <v>23130</v>
      </c>
      <c r="W548" s="8"/>
      <c r="X548" s="8"/>
      <c r="Y548" s="8"/>
      <c r="Z548" s="8"/>
      <c r="AA548" s="11">
        <v>0</v>
      </c>
      <c r="AB548" s="12">
        <v>-720000</v>
      </c>
      <c r="AC548" s="13">
        <v>1479894</v>
      </c>
      <c r="AD548" s="13">
        <v>1300546</v>
      </c>
      <c r="AE548" s="12">
        <v>-2496862</v>
      </c>
      <c r="AF548" s="13">
        <v>2663292</v>
      </c>
      <c r="AG548" s="13">
        <v>23130</v>
      </c>
      <c r="AH548" s="8"/>
      <c r="AI548" s="8"/>
      <c r="AJ548" s="8"/>
      <c r="AK548" s="8"/>
      <c r="AL548" s="10">
        <v>11868750037.799999</v>
      </c>
      <c r="AM548" s="10">
        <v>11868750037.799999</v>
      </c>
      <c r="AN548" s="10">
        <v>10654875037.799999</v>
      </c>
      <c r="AO548" s="10">
        <v>4302681058.6000004</v>
      </c>
      <c r="AP548" s="10">
        <v>661090531.20000005</v>
      </c>
      <c r="AQ548" s="10">
        <v>9033094008</v>
      </c>
      <c r="AR548" s="10">
        <v>77774567.700000003</v>
      </c>
      <c r="AS548" s="8"/>
      <c r="AT548" s="8"/>
      <c r="AU548" s="8"/>
      <c r="AV548" s="8"/>
      <c r="AW548" s="14">
        <v>44865</v>
      </c>
      <c r="AX548" s="14">
        <v>44865</v>
      </c>
      <c r="AY548" s="14">
        <v>44500</v>
      </c>
      <c r="AZ548" s="14">
        <v>44135</v>
      </c>
      <c r="BA548" s="14">
        <v>43738</v>
      </c>
      <c r="BB548" s="14">
        <v>43373</v>
      </c>
      <c r="BC548" s="14">
        <v>43008</v>
      </c>
      <c r="BD548" s="8"/>
      <c r="BE548" s="8"/>
      <c r="BF548" s="8"/>
      <c r="BG548" s="8"/>
      <c r="BH548" s="8" t="s">
        <v>35</v>
      </c>
      <c r="BI548" s="8" t="s">
        <v>35</v>
      </c>
      <c r="BJ548" s="8" t="s">
        <v>35</v>
      </c>
      <c r="BK548" s="8" t="s">
        <v>35</v>
      </c>
      <c r="BL548" s="8" t="s">
        <v>35</v>
      </c>
      <c r="BM548" s="8" t="s">
        <v>35</v>
      </c>
      <c r="BN548" s="8" t="s">
        <v>35</v>
      </c>
      <c r="BO548" s="8"/>
      <c r="BP548" s="8"/>
      <c r="BQ548" s="8" t="s">
        <v>31</v>
      </c>
      <c r="BR548" s="8" t="s">
        <v>36</v>
      </c>
      <c r="BS548" s="10">
        <v>72392677027010.406</v>
      </c>
      <c r="BT548" s="8"/>
      <c r="BU548" s="8"/>
      <c r="BV548" s="8"/>
      <c r="BW548" s="8" t="s">
        <v>27</v>
      </c>
      <c r="BX548" s="8" t="s">
        <v>27</v>
      </c>
      <c r="BY548" s="8" t="s">
        <v>27</v>
      </c>
      <c r="BZ548" s="8" t="s">
        <v>27</v>
      </c>
      <c r="CA548" s="8" t="s">
        <v>42</v>
      </c>
      <c r="CB548" s="8" t="s">
        <v>27</v>
      </c>
      <c r="CC548" s="8" t="s">
        <v>43</v>
      </c>
      <c r="CD548" s="8"/>
      <c r="CE548" s="8"/>
      <c r="CF548" s="8" t="s">
        <v>65</v>
      </c>
      <c r="CG548" s="8" t="s">
        <v>65</v>
      </c>
    </row>
    <row r="549" spans="1:85" ht="15.75" customHeight="1" x14ac:dyDescent="0.35">
      <c r="A549" s="8">
        <v>542</v>
      </c>
      <c r="B549" s="8" t="s">
        <v>767</v>
      </c>
      <c r="C549" s="8"/>
      <c r="D549" s="8"/>
      <c r="E549" s="8"/>
      <c r="F549" s="9">
        <v>1.94E-4</v>
      </c>
      <c r="G549" s="9">
        <v>1.94E-4</v>
      </c>
      <c r="H549" s="9">
        <v>1.64E-4</v>
      </c>
      <c r="I549" s="8"/>
      <c r="J549" s="8"/>
      <c r="K549" s="8"/>
      <c r="L549" s="8"/>
      <c r="M549" s="8"/>
      <c r="N549" s="8"/>
      <c r="O549" s="8"/>
      <c r="P549" s="8"/>
      <c r="Q549" s="10">
        <v>17934400</v>
      </c>
      <c r="R549" s="10">
        <v>17934400</v>
      </c>
      <c r="S549" s="10">
        <v>15171000</v>
      </c>
      <c r="T549" s="8"/>
      <c r="U549" s="8"/>
      <c r="V549" s="8"/>
      <c r="W549" s="8"/>
      <c r="X549" s="8"/>
      <c r="Y549" s="8"/>
      <c r="Z549" s="8"/>
      <c r="AA549" s="8"/>
      <c r="AB549" s="11">
        <v>0</v>
      </c>
      <c r="AC549" s="13">
        <v>2763400</v>
      </c>
      <c r="AD549" s="13">
        <v>15171000</v>
      </c>
      <c r="AE549" s="8"/>
      <c r="AF549" s="8"/>
      <c r="AG549" s="8"/>
      <c r="AH549" s="8"/>
      <c r="AI549" s="8"/>
      <c r="AJ549" s="8"/>
      <c r="AK549" s="8"/>
      <c r="AL549" s="8"/>
      <c r="AM549" s="10">
        <v>53803199884.5</v>
      </c>
      <c r="AN549" s="10">
        <v>53803199884.5</v>
      </c>
      <c r="AO549" s="10">
        <v>47978287437.599998</v>
      </c>
      <c r="AP549" s="8"/>
      <c r="AQ549" s="8"/>
      <c r="AR549" s="8"/>
      <c r="AS549" s="8"/>
      <c r="AT549" s="8"/>
      <c r="AU549" s="8"/>
      <c r="AV549" s="8"/>
      <c r="AW549" s="8"/>
      <c r="AX549" s="14">
        <v>44347</v>
      </c>
      <c r="AY549" s="14">
        <v>44347</v>
      </c>
      <c r="AZ549" s="14">
        <v>44196</v>
      </c>
      <c r="BA549" s="8"/>
      <c r="BB549" s="8"/>
      <c r="BC549" s="8"/>
      <c r="BD549" s="8"/>
      <c r="BE549" s="8"/>
      <c r="BF549" s="8"/>
      <c r="BG549" s="8"/>
      <c r="BH549" s="8"/>
      <c r="BI549" s="8" t="s">
        <v>35</v>
      </c>
      <c r="BJ549" s="8" t="s">
        <v>35</v>
      </c>
      <c r="BK549" s="8" t="s">
        <v>35</v>
      </c>
      <c r="BL549" s="8"/>
      <c r="BM549" s="8"/>
      <c r="BN549" s="8"/>
      <c r="BO549" s="8"/>
      <c r="BP549" s="8"/>
      <c r="BQ549" s="8" t="s">
        <v>31</v>
      </c>
      <c r="BR549" s="8" t="s">
        <v>36</v>
      </c>
      <c r="BS549" s="10">
        <v>30339029377878</v>
      </c>
      <c r="BT549" s="8"/>
      <c r="BU549" s="8"/>
      <c r="BV549" s="8"/>
      <c r="BW549" s="8"/>
      <c r="BX549" s="8" t="s">
        <v>27</v>
      </c>
      <c r="BY549" s="8" t="s">
        <v>42</v>
      </c>
      <c r="BZ549" s="8" t="s">
        <v>43</v>
      </c>
      <c r="CA549" s="8"/>
      <c r="CB549" s="8"/>
      <c r="CC549" s="8"/>
      <c r="CD549" s="8"/>
      <c r="CE549" s="8"/>
      <c r="CF549" s="8" t="s">
        <v>284</v>
      </c>
      <c r="CG549" s="8" t="s">
        <v>198</v>
      </c>
    </row>
    <row r="550" spans="1:85" ht="15.75" customHeight="1" x14ac:dyDescent="0.35">
      <c r="A550" s="8">
        <v>543</v>
      </c>
      <c r="B550" s="8" t="s">
        <v>768</v>
      </c>
      <c r="C550" s="8"/>
      <c r="D550" s="8"/>
      <c r="E550" s="9">
        <v>2.1999999999999999E-5</v>
      </c>
      <c r="F550" s="9">
        <v>2.1999999999999999E-5</v>
      </c>
      <c r="G550" s="9">
        <v>1.5999999999999999E-5</v>
      </c>
      <c r="H550" s="9">
        <v>4.3999999999999999E-5</v>
      </c>
      <c r="I550" s="9">
        <v>6.3E-5</v>
      </c>
      <c r="J550" s="9">
        <v>2.0000000000000002E-5</v>
      </c>
      <c r="K550" s="8"/>
      <c r="L550" s="8"/>
      <c r="M550" s="8"/>
      <c r="N550" s="8"/>
      <c r="O550" s="8"/>
      <c r="P550" s="10">
        <v>2059858</v>
      </c>
      <c r="Q550" s="10">
        <v>2059858</v>
      </c>
      <c r="R550" s="10">
        <v>1439858</v>
      </c>
      <c r="S550" s="10">
        <v>4059710</v>
      </c>
      <c r="T550" s="10">
        <v>5823910</v>
      </c>
      <c r="U550" s="10">
        <v>1807680</v>
      </c>
      <c r="V550" s="8"/>
      <c r="W550" s="8"/>
      <c r="X550" s="8"/>
      <c r="Y550" s="8"/>
      <c r="Z550" s="8"/>
      <c r="AA550" s="11">
        <v>0</v>
      </c>
      <c r="AB550" s="13">
        <v>620000</v>
      </c>
      <c r="AC550" s="12">
        <v>-2619852</v>
      </c>
      <c r="AD550" s="12">
        <v>-1764200</v>
      </c>
      <c r="AE550" s="13">
        <v>4016230</v>
      </c>
      <c r="AF550" s="13">
        <v>1807680</v>
      </c>
      <c r="AG550" s="8"/>
      <c r="AH550" s="8"/>
      <c r="AI550" s="8"/>
      <c r="AJ550" s="8"/>
      <c r="AK550" s="8"/>
      <c r="AL550" s="10">
        <v>9217864489.6000004</v>
      </c>
      <c r="AM550" s="10">
        <v>9217864489.6000004</v>
      </c>
      <c r="AN550" s="10">
        <v>5052183172.5</v>
      </c>
      <c r="AO550" s="10">
        <v>12838832791.200001</v>
      </c>
      <c r="AP550" s="10">
        <v>22285032612</v>
      </c>
      <c r="AQ550" s="10">
        <v>6583384587.5</v>
      </c>
      <c r="AR550" s="8"/>
      <c r="AS550" s="8"/>
      <c r="AT550" s="8"/>
      <c r="AU550" s="8"/>
      <c r="AV550" s="8"/>
      <c r="AW550" s="14">
        <v>44681</v>
      </c>
      <c r="AX550" s="14">
        <v>44681</v>
      </c>
      <c r="AY550" s="14">
        <v>44561</v>
      </c>
      <c r="AZ550" s="14">
        <v>44196</v>
      </c>
      <c r="BA550" s="14">
        <v>43830</v>
      </c>
      <c r="BB550" s="14">
        <v>43465</v>
      </c>
      <c r="BC550" s="8"/>
      <c r="BD550" s="8"/>
      <c r="BE550" s="8"/>
      <c r="BF550" s="8"/>
      <c r="BG550" s="8"/>
      <c r="BH550" s="8" t="s">
        <v>35</v>
      </c>
      <c r="BI550" s="8" t="s">
        <v>35</v>
      </c>
      <c r="BJ550" s="8" t="s">
        <v>35</v>
      </c>
      <c r="BK550" s="8" t="s">
        <v>35</v>
      </c>
      <c r="BL550" s="8" t="s">
        <v>35</v>
      </c>
      <c r="BM550" s="8" t="s">
        <v>35</v>
      </c>
      <c r="BN550" s="8"/>
      <c r="BO550" s="8"/>
      <c r="BP550" s="8"/>
      <c r="BQ550" s="8" t="s">
        <v>31</v>
      </c>
      <c r="BR550" s="8" t="s">
        <v>36</v>
      </c>
      <c r="BS550" s="10">
        <v>2958822114225.6001</v>
      </c>
      <c r="BT550" s="8" t="s">
        <v>57</v>
      </c>
      <c r="BU550" s="8"/>
      <c r="BV550" s="8"/>
      <c r="BW550" s="8" t="s">
        <v>27</v>
      </c>
      <c r="BX550" s="8" t="s">
        <v>27</v>
      </c>
      <c r="BY550" s="8" t="s">
        <v>42</v>
      </c>
      <c r="BZ550" s="8" t="s">
        <v>42</v>
      </c>
      <c r="CA550" s="8" t="s">
        <v>43</v>
      </c>
      <c r="CB550" s="8" t="s">
        <v>42</v>
      </c>
      <c r="CC550" s="8"/>
      <c r="CD550" s="8"/>
      <c r="CE550" s="8"/>
      <c r="CF550" s="8" t="s">
        <v>173</v>
      </c>
      <c r="CG550" s="8" t="s">
        <v>174</v>
      </c>
    </row>
    <row r="551" spans="1:85" ht="15.75" customHeight="1" x14ac:dyDescent="0.35">
      <c r="A551" s="8">
        <v>544</v>
      </c>
      <c r="B551" s="8" t="s">
        <v>769</v>
      </c>
      <c r="C551" s="8"/>
      <c r="D551" s="9">
        <v>6.9999999999999999E-6</v>
      </c>
      <c r="E551" s="9">
        <v>6.9999999999999999E-6</v>
      </c>
      <c r="F551" s="9">
        <v>1.2999999999999999E-5</v>
      </c>
      <c r="G551" s="9">
        <v>1.0000000000000001E-5</v>
      </c>
      <c r="H551" s="9">
        <v>1.2999999999999999E-5</v>
      </c>
      <c r="I551" s="9">
        <v>7.9999999999999996E-6</v>
      </c>
      <c r="J551" s="8"/>
      <c r="K551" s="8"/>
      <c r="L551" s="8"/>
      <c r="M551" s="8"/>
      <c r="N551" s="8"/>
      <c r="O551" s="10">
        <v>644100</v>
      </c>
      <c r="P551" s="10">
        <v>644100</v>
      </c>
      <c r="Q551" s="10">
        <v>1167400</v>
      </c>
      <c r="R551" s="10">
        <v>937600</v>
      </c>
      <c r="S551" s="10">
        <v>1174400</v>
      </c>
      <c r="T551" s="10">
        <v>777600</v>
      </c>
      <c r="U551" s="8"/>
      <c r="V551" s="8"/>
      <c r="W551" s="8"/>
      <c r="X551" s="8"/>
      <c r="Y551" s="8"/>
      <c r="Z551" s="11">
        <v>0</v>
      </c>
      <c r="AA551" s="12">
        <v>-523300</v>
      </c>
      <c r="AB551" s="13">
        <v>229800</v>
      </c>
      <c r="AC551" s="12">
        <v>-236800</v>
      </c>
      <c r="AD551" s="13">
        <v>396800</v>
      </c>
      <c r="AE551" s="13">
        <v>777600</v>
      </c>
      <c r="AF551" s="8"/>
      <c r="AG551" s="8"/>
      <c r="AH551" s="8"/>
      <c r="AI551" s="8"/>
      <c r="AJ551" s="8"/>
      <c r="AK551" s="10">
        <v>3864444382.5</v>
      </c>
      <c r="AL551" s="10">
        <v>3864444382.5</v>
      </c>
      <c r="AM551" s="10">
        <v>5793222490.5500002</v>
      </c>
      <c r="AN551" s="10">
        <v>3289857030</v>
      </c>
      <c r="AO551" s="10">
        <v>3714039950.4000001</v>
      </c>
      <c r="AP551" s="10">
        <v>2975465177.1999998</v>
      </c>
      <c r="AQ551" s="8"/>
      <c r="AR551" s="8"/>
      <c r="AS551" s="8"/>
      <c r="AT551" s="8"/>
      <c r="AU551" s="8"/>
      <c r="AV551" s="14">
        <v>45199</v>
      </c>
      <c r="AW551" s="14">
        <v>45199</v>
      </c>
      <c r="AX551" s="14">
        <v>44926</v>
      </c>
      <c r="AY551" s="14">
        <v>44561</v>
      </c>
      <c r="AZ551" s="14">
        <v>44196</v>
      </c>
      <c r="BA551" s="14">
        <v>43830</v>
      </c>
      <c r="BB551" s="8"/>
      <c r="BC551" s="8"/>
      <c r="BD551" s="8"/>
      <c r="BE551" s="8"/>
      <c r="BF551" s="8"/>
      <c r="BG551" s="8" t="s">
        <v>35</v>
      </c>
      <c r="BH551" s="8" t="s">
        <v>35</v>
      </c>
      <c r="BI551" s="8" t="s">
        <v>35</v>
      </c>
      <c r="BJ551" s="8" t="s">
        <v>35</v>
      </c>
      <c r="BK551" s="8" t="s">
        <v>35</v>
      </c>
      <c r="BL551" s="8" t="s">
        <v>35</v>
      </c>
      <c r="BM551" s="8"/>
      <c r="BN551" s="8"/>
      <c r="BO551" s="8"/>
      <c r="BP551" s="8"/>
      <c r="BQ551" s="8" t="s">
        <v>31</v>
      </c>
      <c r="BR551" s="8" t="s">
        <v>36</v>
      </c>
      <c r="BS551" s="10">
        <v>0</v>
      </c>
      <c r="BT551" s="8"/>
      <c r="BU551" s="8"/>
      <c r="BV551" s="8" t="s">
        <v>27</v>
      </c>
      <c r="BW551" s="8" t="s">
        <v>27</v>
      </c>
      <c r="BX551" s="8" t="s">
        <v>27</v>
      </c>
      <c r="BY551" s="8" t="s">
        <v>27</v>
      </c>
      <c r="BZ551" s="8" t="s">
        <v>27</v>
      </c>
      <c r="CA551" s="8" t="s">
        <v>42</v>
      </c>
      <c r="CB551" s="8"/>
      <c r="CC551" s="8"/>
      <c r="CD551" s="8"/>
      <c r="CE551" s="8"/>
      <c r="CF551" s="8" t="s">
        <v>232</v>
      </c>
      <c r="CG551" s="8" t="s">
        <v>232</v>
      </c>
    </row>
    <row r="552" spans="1:85" ht="15.75" customHeight="1" x14ac:dyDescent="0.35">
      <c r="A552" s="8">
        <v>545</v>
      </c>
      <c r="B552" s="8" t="s">
        <v>770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>
        <v>8.8199999999999997E-4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10">
        <v>81501144</v>
      </c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11">
        <v>0</v>
      </c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10">
        <v>244503432110</v>
      </c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14">
        <v>42063</v>
      </c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 t="s">
        <v>35</v>
      </c>
      <c r="BQ552" s="8" t="s">
        <v>31</v>
      </c>
      <c r="BR552" s="8" t="s">
        <v>36</v>
      </c>
      <c r="BS552" s="10">
        <v>15733629444081.6</v>
      </c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 t="s">
        <v>42</v>
      </c>
      <c r="CF552" s="8" t="s">
        <v>232</v>
      </c>
      <c r="CG552" s="8" t="s">
        <v>232</v>
      </c>
    </row>
    <row r="553" spans="1:85" ht="15.75" customHeight="1" x14ac:dyDescent="0.35">
      <c r="A553" s="8">
        <v>546</v>
      </c>
      <c r="B553" s="8" t="s">
        <v>771</v>
      </c>
      <c r="C553" s="8"/>
      <c r="D553" s="8"/>
      <c r="E553" s="9">
        <v>1.13E-4</v>
      </c>
      <c r="F553" s="9">
        <v>1.13E-4</v>
      </c>
      <c r="G553" s="9">
        <v>1.13E-4</v>
      </c>
      <c r="H553" s="9">
        <v>8.5000000000000006E-5</v>
      </c>
      <c r="I553" s="8"/>
      <c r="J553" s="8"/>
      <c r="K553" s="8"/>
      <c r="L553" s="8"/>
      <c r="M553" s="8"/>
      <c r="N553" s="8"/>
      <c r="O553" s="8"/>
      <c r="P553" s="10">
        <v>10412800</v>
      </c>
      <c r="Q553" s="10">
        <v>10412800</v>
      </c>
      <c r="R553" s="10">
        <v>10412800</v>
      </c>
      <c r="S553" s="10">
        <v>7817600</v>
      </c>
      <c r="T553" s="8"/>
      <c r="U553" s="8"/>
      <c r="V553" s="8"/>
      <c r="W553" s="8"/>
      <c r="X553" s="8"/>
      <c r="Y553" s="8"/>
      <c r="Z553" s="8"/>
      <c r="AA553" s="11">
        <v>0</v>
      </c>
      <c r="AB553" s="11">
        <v>0</v>
      </c>
      <c r="AC553" s="13">
        <v>2595200</v>
      </c>
      <c r="AD553" s="13">
        <v>7817600</v>
      </c>
      <c r="AE553" s="8"/>
      <c r="AF553" s="8"/>
      <c r="AG553" s="8"/>
      <c r="AH553" s="8"/>
      <c r="AI553" s="8"/>
      <c r="AJ553" s="8"/>
      <c r="AK553" s="8"/>
      <c r="AL553" s="10">
        <v>49070319942</v>
      </c>
      <c r="AM553" s="10">
        <v>49070319942</v>
      </c>
      <c r="AN553" s="10">
        <v>32019359961.599998</v>
      </c>
      <c r="AO553" s="10">
        <v>19387647955.200001</v>
      </c>
      <c r="AP553" s="8"/>
      <c r="AQ553" s="8"/>
      <c r="AR553" s="8"/>
      <c r="AS553" s="8"/>
      <c r="AT553" s="8"/>
      <c r="AU553" s="8"/>
      <c r="AV553" s="8"/>
      <c r="AW553" s="14">
        <v>44834</v>
      </c>
      <c r="AX553" s="14">
        <v>44834</v>
      </c>
      <c r="AY553" s="14">
        <v>44469</v>
      </c>
      <c r="AZ553" s="14">
        <v>44104</v>
      </c>
      <c r="BA553" s="8"/>
      <c r="BB553" s="8"/>
      <c r="BC553" s="8"/>
      <c r="BD553" s="8"/>
      <c r="BE553" s="8"/>
      <c r="BF553" s="8"/>
      <c r="BG553" s="8"/>
      <c r="BH553" s="8" t="s">
        <v>35</v>
      </c>
      <c r="BI553" s="8" t="s">
        <v>35</v>
      </c>
      <c r="BJ553" s="8" t="s">
        <v>35</v>
      </c>
      <c r="BK553" s="8" t="s">
        <v>35</v>
      </c>
      <c r="BL553" s="8"/>
      <c r="BM553" s="8"/>
      <c r="BN553" s="8"/>
      <c r="BO553" s="8"/>
      <c r="BP553" s="8"/>
      <c r="BQ553" s="8" t="s">
        <v>31</v>
      </c>
      <c r="BR553" s="8" t="s">
        <v>36</v>
      </c>
      <c r="BS553" s="10">
        <v>29116341956168.398</v>
      </c>
      <c r="BT553" s="8"/>
      <c r="BU553" s="8"/>
      <c r="BV553" s="8"/>
      <c r="BW553" s="8" t="s">
        <v>43</v>
      </c>
      <c r="BX553" s="8" t="s">
        <v>42</v>
      </c>
      <c r="BY553" s="8" t="s">
        <v>42</v>
      </c>
      <c r="BZ553" s="8" t="s">
        <v>27</v>
      </c>
      <c r="CA553" s="8"/>
      <c r="CB553" s="8"/>
      <c r="CC553" s="8"/>
      <c r="CD553" s="8"/>
      <c r="CE553" s="8"/>
      <c r="CF553" s="8" t="s">
        <v>232</v>
      </c>
      <c r="CG553" s="8" t="s">
        <v>232</v>
      </c>
    </row>
    <row r="554" spans="1:85" ht="15.75" customHeight="1" x14ac:dyDescent="0.35">
      <c r="A554" s="8">
        <v>547</v>
      </c>
      <c r="B554" s="8" t="s">
        <v>772</v>
      </c>
      <c r="C554" s="8"/>
      <c r="D554" s="8"/>
      <c r="E554" s="8"/>
      <c r="F554" s="8"/>
      <c r="G554" s="9">
        <v>0</v>
      </c>
      <c r="H554" s="9">
        <v>0</v>
      </c>
      <c r="I554" s="9">
        <v>0</v>
      </c>
      <c r="J554" s="9">
        <v>0</v>
      </c>
      <c r="K554" s="9">
        <v>1.9999999999999999E-6</v>
      </c>
      <c r="L554" s="9">
        <v>3.0000000000000001E-6</v>
      </c>
      <c r="M554" s="9">
        <v>6.0000000000000002E-6</v>
      </c>
      <c r="N554" s="8"/>
      <c r="O554" s="8"/>
      <c r="P554" s="8"/>
      <c r="Q554" s="8"/>
      <c r="R554" s="10">
        <v>0</v>
      </c>
      <c r="S554" s="10">
        <v>0</v>
      </c>
      <c r="T554" s="10">
        <v>0</v>
      </c>
      <c r="U554" s="10">
        <v>0</v>
      </c>
      <c r="V554" s="10">
        <v>180000</v>
      </c>
      <c r="W554" s="10">
        <v>300000</v>
      </c>
      <c r="X554" s="10">
        <v>580000</v>
      </c>
      <c r="Y554" s="8"/>
      <c r="Z554" s="8"/>
      <c r="AA554" s="8"/>
      <c r="AB554" s="8"/>
      <c r="AC554" s="11">
        <v>0</v>
      </c>
      <c r="AD554" s="11">
        <v>0</v>
      </c>
      <c r="AE554" s="11">
        <v>0</v>
      </c>
      <c r="AF554" s="12">
        <v>-180000</v>
      </c>
      <c r="AG554" s="12">
        <v>-120000</v>
      </c>
      <c r="AH554" s="12">
        <v>-280000</v>
      </c>
      <c r="AI554" s="13">
        <v>260000</v>
      </c>
      <c r="AJ554" s="8"/>
      <c r="AK554" s="8"/>
      <c r="AL554" s="8"/>
      <c r="AM554" s="8"/>
      <c r="AN554" s="10">
        <v>0</v>
      </c>
      <c r="AO554" s="10">
        <v>0</v>
      </c>
      <c r="AP554" s="10">
        <v>0</v>
      </c>
      <c r="AQ554" s="10">
        <v>0</v>
      </c>
      <c r="AR554" s="10">
        <v>719999950.04999995</v>
      </c>
      <c r="AS554" s="10">
        <v>868125066.60000002</v>
      </c>
      <c r="AT554" s="10">
        <v>1341736645.6500001</v>
      </c>
      <c r="AU554" s="8"/>
      <c r="AV554" s="8"/>
      <c r="AW554" s="8"/>
      <c r="AX554" s="8"/>
      <c r="AY554" s="14">
        <v>44196</v>
      </c>
      <c r="AZ554" s="14">
        <v>44196</v>
      </c>
      <c r="BA554" s="14">
        <v>43281</v>
      </c>
      <c r="BB554" s="14">
        <v>43281</v>
      </c>
      <c r="BC554" s="14">
        <v>43100</v>
      </c>
      <c r="BD554" s="14">
        <v>42735</v>
      </c>
      <c r="BE554" s="14">
        <v>42369</v>
      </c>
      <c r="BF554" s="8"/>
      <c r="BG554" s="8"/>
      <c r="BH554" s="8"/>
      <c r="BI554" s="8"/>
      <c r="BJ554" s="8" t="s">
        <v>35</v>
      </c>
      <c r="BK554" s="8" t="s">
        <v>35</v>
      </c>
      <c r="BL554" s="8" t="s">
        <v>35</v>
      </c>
      <c r="BM554" s="8" t="s">
        <v>35</v>
      </c>
      <c r="BN554" s="8" t="s">
        <v>35</v>
      </c>
      <c r="BO554" s="8" t="s">
        <v>35</v>
      </c>
      <c r="BP554" s="8" t="s">
        <v>35</v>
      </c>
      <c r="BQ554" s="8" t="s">
        <v>31</v>
      </c>
      <c r="BR554" s="8" t="s">
        <v>36</v>
      </c>
      <c r="BS554" s="10">
        <v>28129436494914</v>
      </c>
      <c r="BT554" s="8"/>
      <c r="BU554" s="8"/>
      <c r="BV554" s="8"/>
      <c r="BW554" s="8"/>
      <c r="BX554" s="8"/>
      <c r="BY554" s="8" t="s">
        <v>42</v>
      </c>
      <c r="BZ554" s="8" t="s">
        <v>42</v>
      </c>
      <c r="CA554" s="8" t="s">
        <v>43</v>
      </c>
      <c r="CB554" s="8" t="s">
        <v>27</v>
      </c>
      <c r="CC554" s="8" t="s">
        <v>42</v>
      </c>
      <c r="CD554" s="8" t="s">
        <v>27</v>
      </c>
      <c r="CE554" s="8" t="s">
        <v>27</v>
      </c>
      <c r="CF554" s="8" t="s">
        <v>773</v>
      </c>
      <c r="CG554" s="8" t="s">
        <v>232</v>
      </c>
    </row>
    <row r="555" spans="1:85" ht="15.75" customHeight="1" x14ac:dyDescent="0.35">
      <c r="A555" s="8">
        <v>548</v>
      </c>
      <c r="B555" s="8" t="s">
        <v>774</v>
      </c>
      <c r="C555" s="8"/>
      <c r="D555" s="9">
        <v>0</v>
      </c>
      <c r="E555" s="9">
        <v>0</v>
      </c>
      <c r="F555" s="9">
        <v>3.4E-5</v>
      </c>
      <c r="G555" s="9">
        <v>0</v>
      </c>
      <c r="H555" s="8"/>
      <c r="I555" s="8"/>
      <c r="J555" s="8"/>
      <c r="K555" s="8"/>
      <c r="L555" s="8"/>
      <c r="M555" s="8"/>
      <c r="N555" s="8"/>
      <c r="O555" s="10">
        <v>0</v>
      </c>
      <c r="P555" s="10">
        <v>0</v>
      </c>
      <c r="Q555" s="10">
        <v>3152562</v>
      </c>
      <c r="R555" s="10">
        <v>0</v>
      </c>
      <c r="S555" s="8"/>
      <c r="T555" s="8"/>
      <c r="U555" s="8"/>
      <c r="V555" s="8"/>
      <c r="W555" s="8"/>
      <c r="X555" s="8"/>
      <c r="Y555" s="8"/>
      <c r="Z555" s="11">
        <v>0</v>
      </c>
      <c r="AA555" s="12">
        <v>-3152562</v>
      </c>
      <c r="AB555" s="13">
        <v>3152562</v>
      </c>
      <c r="AC555" s="11">
        <v>0</v>
      </c>
      <c r="AD555" s="8"/>
      <c r="AE555" s="8"/>
      <c r="AF555" s="8"/>
      <c r="AG555" s="8"/>
      <c r="AH555" s="8"/>
      <c r="AI555" s="8"/>
      <c r="AJ555" s="8"/>
      <c r="AK555" s="10">
        <v>0</v>
      </c>
      <c r="AL555" s="10">
        <v>0</v>
      </c>
      <c r="AM555" s="10">
        <v>15644588981.450001</v>
      </c>
      <c r="AN555" s="10">
        <v>0</v>
      </c>
      <c r="AO555" s="8"/>
      <c r="AP555" s="8"/>
      <c r="AQ555" s="8"/>
      <c r="AR555" s="8"/>
      <c r="AS555" s="8"/>
      <c r="AT555" s="8"/>
      <c r="AU555" s="8"/>
      <c r="AV555" s="14">
        <v>45046</v>
      </c>
      <c r="AW555" s="14">
        <v>45046</v>
      </c>
      <c r="AX555" s="14">
        <v>44926</v>
      </c>
      <c r="AY555" s="14">
        <v>44561</v>
      </c>
      <c r="AZ555" s="8"/>
      <c r="BA555" s="8"/>
      <c r="BB555" s="8"/>
      <c r="BC555" s="8"/>
      <c r="BD555" s="8"/>
      <c r="BE555" s="8"/>
      <c r="BF555" s="8"/>
      <c r="BG555" s="8" t="s">
        <v>35</v>
      </c>
      <c r="BH555" s="8" t="s">
        <v>35</v>
      </c>
      <c r="BI555" s="8" t="s">
        <v>35</v>
      </c>
      <c r="BJ555" s="8" t="s">
        <v>35</v>
      </c>
      <c r="BK555" s="8"/>
      <c r="BL555" s="8"/>
      <c r="BM555" s="8"/>
      <c r="BN555" s="8"/>
      <c r="BO555" s="8"/>
      <c r="BP555" s="8"/>
      <c r="BQ555" s="8" t="s">
        <v>31</v>
      </c>
      <c r="BR555" s="8" t="s">
        <v>36</v>
      </c>
      <c r="BS555" s="10">
        <v>4263599683891.2002</v>
      </c>
      <c r="BT555" s="8"/>
      <c r="BU555" s="8"/>
      <c r="BV555" s="8" t="s">
        <v>27</v>
      </c>
      <c r="BW555" s="8" t="s">
        <v>27</v>
      </c>
      <c r="BX555" s="8" t="s">
        <v>27</v>
      </c>
      <c r="BY555" s="8" t="s">
        <v>27</v>
      </c>
      <c r="BZ555" s="8"/>
      <c r="CA555" s="8"/>
      <c r="CB555" s="8"/>
      <c r="CC555" s="8"/>
      <c r="CD555" s="8"/>
      <c r="CE555" s="8"/>
      <c r="CF555" s="8" t="s">
        <v>335</v>
      </c>
      <c r="CG555" s="8" t="s">
        <v>118</v>
      </c>
    </row>
    <row r="556" spans="1:85" ht="15.75" customHeight="1" x14ac:dyDescent="0.35">
      <c r="A556" s="8">
        <v>549</v>
      </c>
      <c r="B556" s="8" t="s">
        <v>775</v>
      </c>
      <c r="C556" s="8"/>
      <c r="D556" s="8"/>
      <c r="E556" s="8"/>
      <c r="F556" s="8"/>
      <c r="G556" s="8"/>
      <c r="H556" s="8"/>
      <c r="I556" s="9">
        <v>1.02E-4</v>
      </c>
      <c r="J556" s="9">
        <v>1.02E-4</v>
      </c>
      <c r="K556" s="9">
        <v>5.8E-5</v>
      </c>
      <c r="L556" s="8"/>
      <c r="M556" s="8"/>
      <c r="N556" s="8"/>
      <c r="O556" s="8"/>
      <c r="P556" s="8"/>
      <c r="Q556" s="8"/>
      <c r="R556" s="8"/>
      <c r="S556" s="8"/>
      <c r="T556" s="10">
        <v>9381526</v>
      </c>
      <c r="U556" s="10">
        <v>9381526</v>
      </c>
      <c r="V556" s="10">
        <v>5399484</v>
      </c>
      <c r="W556" s="8"/>
      <c r="X556" s="8"/>
      <c r="Y556" s="8"/>
      <c r="Z556" s="8"/>
      <c r="AA556" s="8"/>
      <c r="AB556" s="8"/>
      <c r="AC556" s="8"/>
      <c r="AD556" s="8"/>
      <c r="AE556" s="11">
        <v>0</v>
      </c>
      <c r="AF556" s="13">
        <v>3982042</v>
      </c>
      <c r="AG556" s="13">
        <v>5399484</v>
      </c>
      <c r="AH556" s="8"/>
      <c r="AI556" s="8"/>
      <c r="AJ556" s="8"/>
      <c r="AK556" s="8"/>
      <c r="AL556" s="8"/>
      <c r="AM556" s="8"/>
      <c r="AN556" s="8"/>
      <c r="AO556" s="8"/>
      <c r="AP556" s="10">
        <v>34166552468.75</v>
      </c>
      <c r="AQ556" s="10">
        <v>34166552468.75</v>
      </c>
      <c r="AR556" s="10">
        <v>21597935943.25</v>
      </c>
      <c r="AS556" s="8"/>
      <c r="AT556" s="8"/>
      <c r="AU556" s="8"/>
      <c r="AV556" s="8"/>
      <c r="AW556" s="8"/>
      <c r="AX556" s="8"/>
      <c r="AY556" s="8"/>
      <c r="AZ556" s="8"/>
      <c r="BA556" s="14">
        <v>43465</v>
      </c>
      <c r="BB556" s="14">
        <v>43465</v>
      </c>
      <c r="BC556" s="14">
        <v>43100</v>
      </c>
      <c r="BD556" s="8"/>
      <c r="BE556" s="8"/>
      <c r="BF556" s="8"/>
      <c r="BG556" s="8"/>
      <c r="BH556" s="8"/>
      <c r="BI556" s="8"/>
      <c r="BJ556" s="8"/>
      <c r="BK556" s="8"/>
      <c r="BL556" s="8" t="s">
        <v>35</v>
      </c>
      <c r="BM556" s="8" t="s">
        <v>35</v>
      </c>
      <c r="BN556" s="8" t="s">
        <v>35</v>
      </c>
      <c r="BO556" s="8"/>
      <c r="BP556" s="8"/>
      <c r="BQ556" s="8" t="s">
        <v>31</v>
      </c>
      <c r="BR556" s="8" t="s">
        <v>160</v>
      </c>
      <c r="BS556" s="10">
        <v>2957174669323.2002</v>
      </c>
      <c r="BT556" s="8" t="s">
        <v>67</v>
      </c>
      <c r="BU556" s="8"/>
      <c r="BV556" s="8"/>
      <c r="BW556" s="8"/>
      <c r="BX556" s="8"/>
      <c r="BY556" s="8"/>
      <c r="BZ556" s="8"/>
      <c r="CA556" s="8" t="s">
        <v>27</v>
      </c>
      <c r="CB556" s="8" t="s">
        <v>27</v>
      </c>
      <c r="CC556" s="8" t="s">
        <v>43</v>
      </c>
      <c r="CD556" s="8"/>
      <c r="CE556" s="8"/>
      <c r="CF556" s="8" t="s">
        <v>232</v>
      </c>
      <c r="CG556" s="8" t="s">
        <v>232</v>
      </c>
    </row>
    <row r="557" spans="1:85" ht="15.75" customHeight="1" x14ac:dyDescent="0.35">
      <c r="A557" s="8">
        <v>550</v>
      </c>
      <c r="B557" s="8" t="s">
        <v>776</v>
      </c>
      <c r="C557" s="8"/>
      <c r="D557" s="9">
        <v>0</v>
      </c>
      <c r="E557" s="9">
        <v>0</v>
      </c>
      <c r="F557" s="9">
        <v>1.9999999999999999E-6</v>
      </c>
      <c r="G557" s="9">
        <v>9.9999999999999995E-7</v>
      </c>
      <c r="H557" s="9">
        <v>9.9999999999999995E-7</v>
      </c>
      <c r="I557" s="9">
        <v>5.8E-5</v>
      </c>
      <c r="J557" s="9">
        <v>4.5000000000000003E-5</v>
      </c>
      <c r="K557" s="9">
        <v>5.7000000000000003E-5</v>
      </c>
      <c r="L557" s="9">
        <v>9.1000000000000003E-5</v>
      </c>
      <c r="M557" s="9">
        <v>8.6000000000000003E-5</v>
      </c>
      <c r="N557" s="8"/>
      <c r="O557" s="10">
        <v>0</v>
      </c>
      <c r="P557" s="10">
        <v>0</v>
      </c>
      <c r="Q557" s="10">
        <v>179800</v>
      </c>
      <c r="R557" s="10">
        <v>112200</v>
      </c>
      <c r="S557" s="10">
        <v>112200</v>
      </c>
      <c r="T557" s="10">
        <v>5327600</v>
      </c>
      <c r="U557" s="10">
        <v>4195600</v>
      </c>
      <c r="V557" s="10">
        <v>5229800</v>
      </c>
      <c r="W557" s="10">
        <v>8400400</v>
      </c>
      <c r="X557" s="10">
        <v>7983200</v>
      </c>
      <c r="Y557" s="8"/>
      <c r="Z557" s="11">
        <v>0</v>
      </c>
      <c r="AA557" s="12">
        <v>-179800</v>
      </c>
      <c r="AB557" s="13">
        <v>67600</v>
      </c>
      <c r="AC557" s="11">
        <v>0</v>
      </c>
      <c r="AD557" s="12">
        <v>-5215400</v>
      </c>
      <c r="AE557" s="13">
        <v>1132000</v>
      </c>
      <c r="AF557" s="12">
        <v>-1034200</v>
      </c>
      <c r="AG557" s="12">
        <v>-3170600</v>
      </c>
      <c r="AH557" s="13">
        <v>417200</v>
      </c>
      <c r="AI557" s="11">
        <v>0</v>
      </c>
      <c r="AJ557" s="8"/>
      <c r="AK557" s="10">
        <v>0</v>
      </c>
      <c r="AL557" s="10">
        <v>0</v>
      </c>
      <c r="AM557" s="10">
        <v>892257554.64999998</v>
      </c>
      <c r="AN557" s="10">
        <v>393688027.5</v>
      </c>
      <c r="AO557" s="10">
        <v>354832498.80000001</v>
      </c>
      <c r="AP557" s="10">
        <v>20385916047.200001</v>
      </c>
      <c r="AQ557" s="10">
        <v>15279943481.25</v>
      </c>
      <c r="AR557" s="10">
        <v>20919200044.950001</v>
      </c>
      <c r="AS557" s="10">
        <v>24308657456.099998</v>
      </c>
      <c r="AT557" s="10">
        <v>18467848588.5</v>
      </c>
      <c r="AU557" s="8"/>
      <c r="AV557" s="14">
        <v>45046</v>
      </c>
      <c r="AW557" s="14">
        <v>45046</v>
      </c>
      <c r="AX557" s="14">
        <v>44926</v>
      </c>
      <c r="AY557" s="14">
        <v>44561</v>
      </c>
      <c r="AZ557" s="14">
        <v>44196</v>
      </c>
      <c r="BA557" s="14">
        <v>43830</v>
      </c>
      <c r="BB557" s="14">
        <v>43465</v>
      </c>
      <c r="BC557" s="14">
        <v>43100</v>
      </c>
      <c r="BD557" s="14">
        <v>42735</v>
      </c>
      <c r="BE557" s="14">
        <v>42369</v>
      </c>
      <c r="BF557" s="8"/>
      <c r="BG557" s="8" t="s">
        <v>35</v>
      </c>
      <c r="BH557" s="8" t="s">
        <v>35</v>
      </c>
      <c r="BI557" s="8" t="s">
        <v>35</v>
      </c>
      <c r="BJ557" s="8" t="s">
        <v>35</v>
      </c>
      <c r="BK557" s="8" t="s">
        <v>35</v>
      </c>
      <c r="BL557" s="8" t="s">
        <v>35</v>
      </c>
      <c r="BM557" s="8" t="s">
        <v>35</v>
      </c>
      <c r="BN557" s="8" t="s">
        <v>35</v>
      </c>
      <c r="BO557" s="8" t="s">
        <v>35</v>
      </c>
      <c r="BP557" s="8" t="s">
        <v>35</v>
      </c>
      <c r="BQ557" s="8" t="s">
        <v>31</v>
      </c>
      <c r="BR557" s="8" t="s">
        <v>36</v>
      </c>
      <c r="BS557" s="10">
        <v>5581707620826</v>
      </c>
      <c r="BT557" s="8" t="s">
        <v>46</v>
      </c>
      <c r="BU557" s="8"/>
      <c r="BV557" s="8" t="s">
        <v>27</v>
      </c>
      <c r="BW557" s="8" t="s">
        <v>27</v>
      </c>
      <c r="BX557" s="8" t="s">
        <v>27</v>
      </c>
      <c r="BY557" s="8" t="s">
        <v>27</v>
      </c>
      <c r="BZ557" s="8" t="s">
        <v>43</v>
      </c>
      <c r="CA557" s="8" t="s">
        <v>27</v>
      </c>
      <c r="CB557" s="8" t="s">
        <v>27</v>
      </c>
      <c r="CC557" s="8" t="s">
        <v>27</v>
      </c>
      <c r="CD557" s="8" t="s">
        <v>27</v>
      </c>
      <c r="CE557" s="8" t="s">
        <v>27</v>
      </c>
      <c r="CF557" s="8" t="s">
        <v>639</v>
      </c>
      <c r="CG557" s="8" t="s">
        <v>115</v>
      </c>
    </row>
    <row r="558" spans="1:85" ht="15.75" customHeight="1" x14ac:dyDescent="0.35">
      <c r="A558" s="8">
        <v>551</v>
      </c>
      <c r="B558" s="8" t="s">
        <v>777</v>
      </c>
      <c r="C558" s="8"/>
      <c r="D558" s="8"/>
      <c r="E558" s="8"/>
      <c r="F558" s="8"/>
      <c r="G558" s="8"/>
      <c r="H558" s="8"/>
      <c r="I558" s="8"/>
      <c r="J558" s="8"/>
      <c r="K558" s="8"/>
      <c r="L558" s="9">
        <v>1.0000000000000001E-5</v>
      </c>
      <c r="M558" s="9">
        <v>1.0000000000000001E-5</v>
      </c>
      <c r="N558" s="8"/>
      <c r="O558" s="8"/>
      <c r="P558" s="8"/>
      <c r="Q558" s="8"/>
      <c r="R558" s="8"/>
      <c r="S558" s="8"/>
      <c r="T558" s="8"/>
      <c r="U558" s="8"/>
      <c r="V558" s="8"/>
      <c r="W558" s="10">
        <v>919188</v>
      </c>
      <c r="X558" s="10">
        <v>913588</v>
      </c>
      <c r="Y558" s="8"/>
      <c r="Z558" s="8"/>
      <c r="AA558" s="8"/>
      <c r="AB558" s="8"/>
      <c r="AC558" s="8"/>
      <c r="AD558" s="8"/>
      <c r="AE558" s="8"/>
      <c r="AF558" s="8"/>
      <c r="AG558" s="8"/>
      <c r="AH558" s="13">
        <v>5600</v>
      </c>
      <c r="AI558" s="12">
        <v>-286268</v>
      </c>
      <c r="AJ558" s="8"/>
      <c r="AK558" s="8"/>
      <c r="AL558" s="8"/>
      <c r="AM558" s="8"/>
      <c r="AN558" s="8"/>
      <c r="AO558" s="8"/>
      <c r="AP558" s="8"/>
      <c r="AQ558" s="8"/>
      <c r="AR558" s="8"/>
      <c r="AS558" s="10">
        <v>2206051216.1999998</v>
      </c>
      <c r="AT558" s="10">
        <v>2113438866.1500001</v>
      </c>
      <c r="AU558" s="8"/>
      <c r="AV558" s="8"/>
      <c r="AW558" s="8"/>
      <c r="AX558" s="8"/>
      <c r="AY558" s="8"/>
      <c r="AZ558" s="8"/>
      <c r="BA558" s="8"/>
      <c r="BB558" s="8"/>
      <c r="BC558" s="8"/>
      <c r="BD558" s="14">
        <v>42400</v>
      </c>
      <c r="BE558" s="14">
        <v>42369</v>
      </c>
      <c r="BF558" s="8"/>
      <c r="BG558" s="8"/>
      <c r="BH558" s="8"/>
      <c r="BI558" s="8"/>
      <c r="BJ558" s="8"/>
      <c r="BK558" s="8"/>
      <c r="BL558" s="8"/>
      <c r="BM558" s="8"/>
      <c r="BN558" s="8"/>
      <c r="BO558" s="8" t="s">
        <v>35</v>
      </c>
      <c r="BP558" s="8" t="s">
        <v>35</v>
      </c>
      <c r="BQ558" s="8" t="s">
        <v>31</v>
      </c>
      <c r="BR558" s="8" t="s">
        <v>36</v>
      </c>
      <c r="BS558" s="10">
        <v>2530908526834.7998</v>
      </c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 t="s">
        <v>42</v>
      </c>
      <c r="CE558" s="8" t="s">
        <v>43</v>
      </c>
      <c r="CF558" s="8" t="s">
        <v>70</v>
      </c>
      <c r="CG558" s="8" t="s">
        <v>71</v>
      </c>
    </row>
    <row r="559" spans="1:85" ht="15.75" customHeight="1" x14ac:dyDescent="0.35">
      <c r="A559" s="8">
        <v>552</v>
      </c>
      <c r="B559" s="8" t="s">
        <v>778</v>
      </c>
      <c r="C559" s="8"/>
      <c r="D559" s="8"/>
      <c r="E559" s="8"/>
      <c r="F559" s="8"/>
      <c r="G559" s="8"/>
      <c r="H559" s="8"/>
      <c r="I559" s="9">
        <v>0</v>
      </c>
      <c r="J559" s="9">
        <v>0</v>
      </c>
      <c r="K559" s="9">
        <v>5.0000000000000004E-6</v>
      </c>
      <c r="L559" s="8"/>
      <c r="M559" s="8"/>
      <c r="N559" s="8"/>
      <c r="O559" s="8"/>
      <c r="P559" s="8"/>
      <c r="Q559" s="8"/>
      <c r="R559" s="8"/>
      <c r="S559" s="8"/>
      <c r="T559" s="10">
        <v>0</v>
      </c>
      <c r="U559" s="10">
        <v>0</v>
      </c>
      <c r="V559" s="10">
        <v>480000</v>
      </c>
      <c r="W559" s="8"/>
      <c r="X559" s="8"/>
      <c r="Y559" s="8"/>
      <c r="Z559" s="8"/>
      <c r="AA559" s="8"/>
      <c r="AB559" s="8"/>
      <c r="AC559" s="8"/>
      <c r="AD559" s="8"/>
      <c r="AE559" s="11">
        <v>0</v>
      </c>
      <c r="AF559" s="12">
        <v>-480000</v>
      </c>
      <c r="AG559" s="13">
        <v>480000</v>
      </c>
      <c r="AH559" s="8"/>
      <c r="AI559" s="8"/>
      <c r="AJ559" s="8"/>
      <c r="AK559" s="8"/>
      <c r="AL559" s="8"/>
      <c r="AM559" s="8"/>
      <c r="AN559" s="8"/>
      <c r="AO559" s="8"/>
      <c r="AP559" s="10">
        <v>0</v>
      </c>
      <c r="AQ559" s="10">
        <v>0</v>
      </c>
      <c r="AR559" s="10">
        <v>1920000002.45</v>
      </c>
      <c r="AS559" s="8"/>
      <c r="AT559" s="8"/>
      <c r="AU559" s="8"/>
      <c r="AV559" s="8"/>
      <c r="AW559" s="8"/>
      <c r="AX559" s="8"/>
      <c r="AY559" s="8"/>
      <c r="AZ559" s="8"/>
      <c r="BA559" s="14">
        <v>43373</v>
      </c>
      <c r="BB559" s="14">
        <v>43373</v>
      </c>
      <c r="BC559" s="14">
        <v>43100</v>
      </c>
      <c r="BD559" s="8"/>
      <c r="BE559" s="8"/>
      <c r="BF559" s="8"/>
      <c r="BG559" s="8"/>
      <c r="BH559" s="8"/>
      <c r="BI559" s="8"/>
      <c r="BJ559" s="8"/>
      <c r="BK559" s="8"/>
      <c r="BL559" s="8" t="s">
        <v>35</v>
      </c>
      <c r="BM559" s="8" t="s">
        <v>35</v>
      </c>
      <c r="BN559" s="8" t="s">
        <v>35</v>
      </c>
      <c r="BO559" s="8"/>
      <c r="BP559" s="8"/>
      <c r="BQ559" s="8" t="s">
        <v>31</v>
      </c>
      <c r="BR559" s="8" t="s">
        <v>36</v>
      </c>
      <c r="BS559" s="10">
        <v>4880974599352.7998</v>
      </c>
      <c r="BT559" s="8" t="s">
        <v>57</v>
      </c>
      <c r="BU559" s="8"/>
      <c r="BV559" s="8"/>
      <c r="BW559" s="8"/>
      <c r="BX559" s="8"/>
      <c r="BY559" s="8"/>
      <c r="BZ559" s="8"/>
      <c r="CA559" s="8" t="s">
        <v>27</v>
      </c>
      <c r="CB559" s="8" t="s">
        <v>42</v>
      </c>
      <c r="CC559" s="8" t="s">
        <v>42</v>
      </c>
      <c r="CD559" s="8"/>
      <c r="CE559" s="8"/>
      <c r="CF559" s="8" t="s">
        <v>145</v>
      </c>
      <c r="CG559" s="8" t="s">
        <v>146</v>
      </c>
    </row>
    <row r="560" spans="1:85" ht="15.75" customHeight="1" x14ac:dyDescent="0.35">
      <c r="A560" s="8">
        <v>553</v>
      </c>
      <c r="B560" s="8" t="s">
        <v>779</v>
      </c>
      <c r="C560" s="8"/>
      <c r="D560" s="8"/>
      <c r="E560" s="8"/>
      <c r="F560" s="8"/>
      <c r="G560" s="8"/>
      <c r="H560" s="8"/>
      <c r="I560" s="8"/>
      <c r="J560" s="9">
        <v>0</v>
      </c>
      <c r="K560" s="9">
        <v>0</v>
      </c>
      <c r="L560" s="9">
        <v>1.7E-5</v>
      </c>
      <c r="M560" s="9">
        <v>3.0000000000000001E-5</v>
      </c>
      <c r="N560" s="8"/>
      <c r="O560" s="8"/>
      <c r="P560" s="8"/>
      <c r="Q560" s="8"/>
      <c r="R560" s="8"/>
      <c r="S560" s="8"/>
      <c r="T560" s="8"/>
      <c r="U560" s="10">
        <v>0</v>
      </c>
      <c r="V560" s="10">
        <v>0</v>
      </c>
      <c r="W560" s="10">
        <v>1570400</v>
      </c>
      <c r="X560" s="10">
        <v>2736400</v>
      </c>
      <c r="Y560" s="8"/>
      <c r="Z560" s="8"/>
      <c r="AA560" s="8"/>
      <c r="AB560" s="8"/>
      <c r="AC560" s="8"/>
      <c r="AD560" s="8"/>
      <c r="AE560" s="8"/>
      <c r="AF560" s="11">
        <v>0</v>
      </c>
      <c r="AG560" s="12">
        <v>-1570400</v>
      </c>
      <c r="AH560" s="12">
        <v>-1166000</v>
      </c>
      <c r="AI560" s="12">
        <v>-1505600</v>
      </c>
      <c r="AJ560" s="8"/>
      <c r="AK560" s="8"/>
      <c r="AL560" s="8"/>
      <c r="AM560" s="8"/>
      <c r="AN560" s="8"/>
      <c r="AO560" s="8"/>
      <c r="AP560" s="8"/>
      <c r="AQ560" s="10">
        <v>0</v>
      </c>
      <c r="AR560" s="10">
        <v>0</v>
      </c>
      <c r="AS560" s="10">
        <v>4544344939.5</v>
      </c>
      <c r="AT560" s="10">
        <v>6330221015.8500004</v>
      </c>
      <c r="AU560" s="8"/>
      <c r="AV560" s="8"/>
      <c r="AW560" s="8"/>
      <c r="AX560" s="8"/>
      <c r="AY560" s="8"/>
      <c r="AZ560" s="8"/>
      <c r="BA560" s="8"/>
      <c r="BB560" s="14">
        <v>42916</v>
      </c>
      <c r="BC560" s="14">
        <v>42916</v>
      </c>
      <c r="BD560" s="14">
        <v>42735</v>
      </c>
      <c r="BE560" s="14">
        <v>42369</v>
      </c>
      <c r="BF560" s="8"/>
      <c r="BG560" s="8"/>
      <c r="BH560" s="8"/>
      <c r="BI560" s="8"/>
      <c r="BJ560" s="8"/>
      <c r="BK560" s="8"/>
      <c r="BL560" s="8"/>
      <c r="BM560" s="8" t="s">
        <v>35</v>
      </c>
      <c r="BN560" s="8" t="s">
        <v>35</v>
      </c>
      <c r="BO560" s="8" t="s">
        <v>35</v>
      </c>
      <c r="BP560" s="8" t="s">
        <v>35</v>
      </c>
      <c r="BQ560" s="8" t="s">
        <v>31</v>
      </c>
      <c r="BR560" s="8" t="s">
        <v>53</v>
      </c>
      <c r="BS560" s="10">
        <v>16129938708224.4</v>
      </c>
      <c r="BT560" s="8" t="s">
        <v>61</v>
      </c>
      <c r="BU560" s="8"/>
      <c r="BV560" s="8"/>
      <c r="BW560" s="8"/>
      <c r="BX560" s="8"/>
      <c r="BY560" s="8"/>
      <c r="BZ560" s="8"/>
      <c r="CA560" s="8"/>
      <c r="CB560" s="8" t="s">
        <v>27</v>
      </c>
      <c r="CC560" s="8" t="s">
        <v>42</v>
      </c>
      <c r="CD560" s="8" t="s">
        <v>42</v>
      </c>
      <c r="CE560" s="8" t="s">
        <v>42</v>
      </c>
      <c r="CF560" s="8" t="s">
        <v>780</v>
      </c>
      <c r="CG560" s="8" t="s">
        <v>39</v>
      </c>
    </row>
    <row r="561" spans="1:85" ht="15.75" customHeight="1" x14ac:dyDescent="0.35">
      <c r="A561" s="8">
        <v>554</v>
      </c>
      <c r="B561" s="8" t="s">
        <v>781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>
        <v>0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10">
        <v>0</v>
      </c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11">
        <v>0</v>
      </c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10">
        <v>0</v>
      </c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14">
        <v>41820</v>
      </c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 t="s">
        <v>35</v>
      </c>
      <c r="BQ561" s="8" t="s">
        <v>31</v>
      </c>
      <c r="BR561" s="8" t="s">
        <v>36</v>
      </c>
      <c r="BS561" s="10">
        <v>1769327817366090</v>
      </c>
      <c r="BT561" s="8" t="s">
        <v>61</v>
      </c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 t="s">
        <v>43</v>
      </c>
      <c r="CF561" s="8" t="s">
        <v>782</v>
      </c>
      <c r="CG561" s="8" t="s">
        <v>76</v>
      </c>
    </row>
    <row r="562" spans="1:85" ht="15.75" customHeight="1" x14ac:dyDescent="0.35">
      <c r="A562" s="8">
        <v>555</v>
      </c>
      <c r="B562" s="8" t="s">
        <v>783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>
        <v>6.2000000000000003E-5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10">
        <v>5744000</v>
      </c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11">
        <v>0</v>
      </c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10">
        <v>15392085321.4</v>
      </c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14">
        <v>42004</v>
      </c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 t="s">
        <v>35</v>
      </c>
      <c r="BQ562" s="8" t="s">
        <v>31</v>
      </c>
      <c r="BR562" s="8" t="s">
        <v>49</v>
      </c>
      <c r="BS562" s="10">
        <v>19706444188141.199</v>
      </c>
      <c r="BT562" s="8" t="s">
        <v>37</v>
      </c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 t="s">
        <v>27</v>
      </c>
      <c r="CF562" s="8" t="s">
        <v>212</v>
      </c>
      <c r="CG562" s="8" t="s">
        <v>213</v>
      </c>
    </row>
    <row r="563" spans="1:85" ht="15.75" customHeight="1" x14ac:dyDescent="0.35">
      <c r="A563" s="8">
        <v>556</v>
      </c>
      <c r="B563" s="8" t="s">
        <v>784</v>
      </c>
      <c r="C563" s="8"/>
      <c r="D563" s="9">
        <v>0</v>
      </c>
      <c r="E563" s="9">
        <v>9.8999999999999994E-5</v>
      </c>
      <c r="F563" s="9">
        <v>7.4999999999999993E-5</v>
      </c>
      <c r="G563" s="9">
        <v>0</v>
      </c>
      <c r="H563" s="9">
        <v>5.0000000000000004E-6</v>
      </c>
      <c r="I563" s="9">
        <v>1.1E-5</v>
      </c>
      <c r="J563" s="9">
        <v>1.7E-5</v>
      </c>
      <c r="K563" s="9">
        <v>1.7E-5</v>
      </c>
      <c r="L563" s="9">
        <v>2.5999999999999998E-5</v>
      </c>
      <c r="M563" s="8"/>
      <c r="N563" s="8"/>
      <c r="O563" s="10">
        <v>0</v>
      </c>
      <c r="P563" s="10">
        <v>9170000</v>
      </c>
      <c r="Q563" s="10">
        <v>6933800</v>
      </c>
      <c r="R563" s="10">
        <v>0</v>
      </c>
      <c r="S563" s="10">
        <v>440800</v>
      </c>
      <c r="T563" s="10">
        <v>979400</v>
      </c>
      <c r="U563" s="10">
        <v>1592000</v>
      </c>
      <c r="V563" s="10">
        <v>1592000</v>
      </c>
      <c r="W563" s="10">
        <v>2368400</v>
      </c>
      <c r="X563" s="8"/>
      <c r="Y563" s="8"/>
      <c r="Z563" s="12">
        <v>-9170000</v>
      </c>
      <c r="AA563" s="13">
        <v>2236200</v>
      </c>
      <c r="AB563" s="13">
        <v>6933800</v>
      </c>
      <c r="AC563" s="12">
        <v>-440800</v>
      </c>
      <c r="AD563" s="12">
        <v>-538600</v>
      </c>
      <c r="AE563" s="12">
        <v>-612600</v>
      </c>
      <c r="AF563" s="11">
        <v>0</v>
      </c>
      <c r="AG563" s="12">
        <v>-776400</v>
      </c>
      <c r="AH563" s="13">
        <v>2368400</v>
      </c>
      <c r="AI563" s="8"/>
      <c r="AJ563" s="8"/>
      <c r="AK563" s="10">
        <v>0</v>
      </c>
      <c r="AL563" s="10">
        <v>55478499957.900002</v>
      </c>
      <c r="AM563" s="10">
        <v>34408982513.949997</v>
      </c>
      <c r="AN563" s="10">
        <v>0</v>
      </c>
      <c r="AO563" s="10">
        <v>1394030055.5999999</v>
      </c>
      <c r="AP563" s="10">
        <v>3747647330.8000002</v>
      </c>
      <c r="AQ563" s="10">
        <v>5797900231.25</v>
      </c>
      <c r="AR563" s="10">
        <v>6367999992.3000002</v>
      </c>
      <c r="AS563" s="10">
        <v>6853557552</v>
      </c>
      <c r="AT563" s="8"/>
      <c r="AU563" s="8"/>
      <c r="AV563" s="14">
        <v>45322</v>
      </c>
      <c r="AW563" s="14">
        <v>45291</v>
      </c>
      <c r="AX563" s="14">
        <v>44926</v>
      </c>
      <c r="AY563" s="14">
        <v>44530</v>
      </c>
      <c r="AZ563" s="14">
        <v>44196</v>
      </c>
      <c r="BA563" s="14">
        <v>43830</v>
      </c>
      <c r="BB563" s="14">
        <v>43465</v>
      </c>
      <c r="BC563" s="14">
        <v>43100</v>
      </c>
      <c r="BD563" s="14">
        <v>42735</v>
      </c>
      <c r="BE563" s="8"/>
      <c r="BF563" s="8"/>
      <c r="BG563" s="8" t="s">
        <v>35</v>
      </c>
      <c r="BH563" s="8" t="s">
        <v>35</v>
      </c>
      <c r="BI563" s="8" t="s">
        <v>35</v>
      </c>
      <c r="BJ563" s="8" t="s">
        <v>35</v>
      </c>
      <c r="BK563" s="8" t="s">
        <v>35</v>
      </c>
      <c r="BL563" s="8" t="s">
        <v>35</v>
      </c>
      <c r="BM563" s="8" t="s">
        <v>35</v>
      </c>
      <c r="BN563" s="8" t="s">
        <v>35</v>
      </c>
      <c r="BO563" s="8" t="s">
        <v>35</v>
      </c>
      <c r="BP563" s="8"/>
      <c r="BQ563" s="8" t="s">
        <v>31</v>
      </c>
      <c r="BR563" s="8" t="s">
        <v>49</v>
      </c>
      <c r="BS563" s="10">
        <v>631544883386577</v>
      </c>
      <c r="BT563" s="8" t="s">
        <v>33</v>
      </c>
      <c r="BU563" s="8"/>
      <c r="BV563" s="8" t="s">
        <v>27</v>
      </c>
      <c r="BW563" s="8" t="s">
        <v>27</v>
      </c>
      <c r="BX563" s="8" t="s">
        <v>42</v>
      </c>
      <c r="BY563" s="8" t="s">
        <v>27</v>
      </c>
      <c r="BZ563" s="8" t="s">
        <v>27</v>
      </c>
      <c r="CA563" s="8" t="s">
        <v>27</v>
      </c>
      <c r="CB563" s="8" t="s">
        <v>27</v>
      </c>
      <c r="CC563" s="8" t="s">
        <v>27</v>
      </c>
      <c r="CD563" s="8" t="s">
        <v>27</v>
      </c>
      <c r="CE563" s="8"/>
      <c r="CF563" s="8" t="s">
        <v>85</v>
      </c>
      <c r="CG563" s="8" t="s">
        <v>39</v>
      </c>
    </row>
    <row r="564" spans="1:85" ht="15.75" customHeight="1" x14ac:dyDescent="0.35">
      <c r="A564" s="8">
        <v>557</v>
      </c>
      <c r="B564" s="8" t="s">
        <v>785</v>
      </c>
      <c r="C564" s="8"/>
      <c r="D564" s="8"/>
      <c r="E564" s="8"/>
      <c r="F564" s="8"/>
      <c r="G564" s="8"/>
      <c r="H564" s="8"/>
      <c r="I564" s="9">
        <v>3.0000000000000001E-6</v>
      </c>
      <c r="J564" s="9">
        <v>3.0000000000000001E-6</v>
      </c>
      <c r="K564" s="8"/>
      <c r="L564" s="8"/>
      <c r="M564" s="8"/>
      <c r="N564" s="8"/>
      <c r="O564" s="8"/>
      <c r="P564" s="8"/>
      <c r="Q564" s="8"/>
      <c r="R564" s="8"/>
      <c r="S564" s="8"/>
      <c r="T564" s="10">
        <v>315012</v>
      </c>
      <c r="U564" s="10">
        <v>315012</v>
      </c>
      <c r="V564" s="8"/>
      <c r="W564" s="8"/>
      <c r="X564" s="8"/>
      <c r="Y564" s="8"/>
      <c r="Z564" s="8"/>
      <c r="AA564" s="8"/>
      <c r="AB564" s="8"/>
      <c r="AC564" s="8"/>
      <c r="AD564" s="8"/>
      <c r="AE564" s="11">
        <v>0</v>
      </c>
      <c r="AF564" s="13">
        <v>315012</v>
      </c>
      <c r="AG564" s="8"/>
      <c r="AH564" s="8"/>
      <c r="AI564" s="8"/>
      <c r="AJ564" s="8"/>
      <c r="AK564" s="8"/>
      <c r="AL564" s="8"/>
      <c r="AM564" s="8"/>
      <c r="AN564" s="8"/>
      <c r="AO564" s="8"/>
      <c r="AP564" s="10">
        <v>1059227888</v>
      </c>
      <c r="AQ564" s="10">
        <v>1059227888</v>
      </c>
      <c r="AR564" s="8"/>
      <c r="AS564" s="8"/>
      <c r="AT564" s="8"/>
      <c r="AU564" s="8"/>
      <c r="AV564" s="8"/>
      <c r="AW564" s="8"/>
      <c r="AX564" s="8"/>
      <c r="AY564" s="8"/>
      <c r="AZ564" s="8"/>
      <c r="BA564" s="14">
        <v>43373</v>
      </c>
      <c r="BB564" s="14">
        <v>43373</v>
      </c>
      <c r="BC564" s="8"/>
      <c r="BD564" s="8"/>
      <c r="BE564" s="8"/>
      <c r="BF564" s="8"/>
      <c r="BG564" s="8"/>
      <c r="BH564" s="8"/>
      <c r="BI564" s="8"/>
      <c r="BJ564" s="8"/>
      <c r="BK564" s="8"/>
      <c r="BL564" s="8" t="s">
        <v>35</v>
      </c>
      <c r="BM564" s="8" t="s">
        <v>35</v>
      </c>
      <c r="BN564" s="8"/>
      <c r="BO564" s="8"/>
      <c r="BP564" s="8"/>
      <c r="BQ564" s="8" t="s">
        <v>31</v>
      </c>
      <c r="BR564" s="8" t="s">
        <v>160</v>
      </c>
      <c r="BS564" s="10">
        <v>3785028136027.2002</v>
      </c>
      <c r="BT564" s="8" t="s">
        <v>41</v>
      </c>
      <c r="BU564" s="8"/>
      <c r="BV564" s="8"/>
      <c r="BW564" s="8"/>
      <c r="BX564" s="8"/>
      <c r="BY564" s="8"/>
      <c r="BZ564" s="8"/>
      <c r="CA564" s="8"/>
      <c r="CB564" s="8" t="s">
        <v>43</v>
      </c>
      <c r="CC564" s="8"/>
      <c r="CD564" s="8"/>
      <c r="CE564" s="8"/>
      <c r="CF564" s="8" t="s">
        <v>232</v>
      </c>
      <c r="CG564" s="8" t="s">
        <v>232</v>
      </c>
    </row>
    <row r="565" spans="1:85" ht="15.75" customHeight="1" x14ac:dyDescent="0.35">
      <c r="A565" s="8">
        <v>558</v>
      </c>
      <c r="B565" s="8" t="s">
        <v>786</v>
      </c>
      <c r="C565" s="8"/>
      <c r="D565" s="8"/>
      <c r="E565" s="8"/>
      <c r="F565" s="8"/>
      <c r="G565" s="9">
        <v>5.0000000000000004E-6</v>
      </c>
      <c r="H565" s="9">
        <v>5.0000000000000004E-6</v>
      </c>
      <c r="I565" s="9">
        <v>5.0000000000000004E-6</v>
      </c>
      <c r="J565" s="9">
        <v>5.0000000000000004E-6</v>
      </c>
      <c r="K565" s="9">
        <v>9.0000000000000002E-6</v>
      </c>
      <c r="L565" s="9">
        <v>9.0000000000000002E-6</v>
      </c>
      <c r="M565" s="9">
        <v>1.1E-5</v>
      </c>
      <c r="N565" s="8"/>
      <c r="O565" s="8"/>
      <c r="P565" s="8"/>
      <c r="Q565" s="8"/>
      <c r="R565" s="10">
        <v>444800</v>
      </c>
      <c r="S565" s="10">
        <v>444800</v>
      </c>
      <c r="T565" s="10">
        <v>444800</v>
      </c>
      <c r="U565" s="10">
        <v>444800</v>
      </c>
      <c r="V565" s="10">
        <v>844800</v>
      </c>
      <c r="W565" s="10">
        <v>844800</v>
      </c>
      <c r="X565" s="10">
        <v>1044800</v>
      </c>
      <c r="Y565" s="8"/>
      <c r="Z565" s="8"/>
      <c r="AA565" s="8"/>
      <c r="AB565" s="8"/>
      <c r="AC565" s="11">
        <v>0</v>
      </c>
      <c r="AD565" s="11">
        <v>0</v>
      </c>
      <c r="AE565" s="11">
        <v>0</v>
      </c>
      <c r="AF565" s="12">
        <v>-400000</v>
      </c>
      <c r="AG565" s="11">
        <v>0</v>
      </c>
      <c r="AH565" s="12">
        <v>-200000</v>
      </c>
      <c r="AI565" s="11">
        <v>0</v>
      </c>
      <c r="AJ565" s="8"/>
      <c r="AK565" s="8"/>
      <c r="AL565" s="8"/>
      <c r="AM565" s="8"/>
      <c r="AN565" s="10">
        <v>1406679955.2</v>
      </c>
      <c r="AO565" s="10">
        <v>1406679955.2</v>
      </c>
      <c r="AP565" s="10">
        <v>1702015012.8</v>
      </c>
      <c r="AQ565" s="10">
        <v>1619915875</v>
      </c>
      <c r="AR565" s="10">
        <v>2444639992.5</v>
      </c>
      <c r="AS565" s="10">
        <v>2444639992.5</v>
      </c>
      <c r="AT565" s="10">
        <v>2625059970.9000001</v>
      </c>
      <c r="AU565" s="8"/>
      <c r="AV565" s="8"/>
      <c r="AW565" s="8"/>
      <c r="AX565" s="8"/>
      <c r="AY565" s="14">
        <v>44196</v>
      </c>
      <c r="AZ565" s="14">
        <v>44196</v>
      </c>
      <c r="BA565" s="14">
        <v>43830</v>
      </c>
      <c r="BB565" s="14">
        <v>43465</v>
      </c>
      <c r="BC565" s="14">
        <v>42735</v>
      </c>
      <c r="BD565" s="14">
        <v>42735</v>
      </c>
      <c r="BE565" s="14">
        <v>42185</v>
      </c>
      <c r="BF565" s="8"/>
      <c r="BG565" s="8"/>
      <c r="BH565" s="8"/>
      <c r="BI565" s="8"/>
      <c r="BJ565" s="8" t="s">
        <v>35</v>
      </c>
      <c r="BK565" s="8" t="s">
        <v>35</v>
      </c>
      <c r="BL565" s="8" t="s">
        <v>35</v>
      </c>
      <c r="BM565" s="8" t="s">
        <v>35</v>
      </c>
      <c r="BN565" s="8" t="s">
        <v>35</v>
      </c>
      <c r="BO565" s="8" t="s">
        <v>35</v>
      </c>
      <c r="BP565" s="8" t="s">
        <v>35</v>
      </c>
      <c r="BQ565" s="8" t="s">
        <v>31</v>
      </c>
      <c r="BR565" s="8" t="s">
        <v>36</v>
      </c>
      <c r="BS565" s="10">
        <v>17749776303.599998</v>
      </c>
      <c r="BT565" s="8"/>
      <c r="BU565" s="8"/>
      <c r="BV565" s="8"/>
      <c r="BW565" s="8"/>
      <c r="BX565" s="8"/>
      <c r="BY565" s="8" t="s">
        <v>27</v>
      </c>
      <c r="BZ565" s="8" t="s">
        <v>42</v>
      </c>
      <c r="CA565" s="8" t="s">
        <v>27</v>
      </c>
      <c r="CB565" s="8"/>
      <c r="CC565" s="8"/>
      <c r="CD565" s="8"/>
      <c r="CE565" s="8"/>
      <c r="CF565" s="8" t="s">
        <v>65</v>
      </c>
      <c r="CG565" s="8" t="s">
        <v>65</v>
      </c>
    </row>
    <row r="566" spans="1:85" ht="15.75" customHeight="1" x14ac:dyDescent="0.35">
      <c r="A566" s="8">
        <v>559</v>
      </c>
      <c r="B566" s="8" t="s">
        <v>787</v>
      </c>
      <c r="C566" s="8"/>
      <c r="D566" s="8"/>
      <c r="E566" s="8"/>
      <c r="F566" s="8"/>
      <c r="G566" s="8"/>
      <c r="H566" s="8"/>
      <c r="I566" s="8"/>
      <c r="J566" s="8"/>
      <c r="K566" s="9">
        <v>6.2000000000000003E-5</v>
      </c>
      <c r="L566" s="9">
        <v>6.2000000000000003E-5</v>
      </c>
      <c r="M566" s="9">
        <v>9.7E-5</v>
      </c>
      <c r="N566" s="8"/>
      <c r="O566" s="8"/>
      <c r="P566" s="8"/>
      <c r="Q566" s="8"/>
      <c r="R566" s="8"/>
      <c r="S566" s="8"/>
      <c r="T566" s="8"/>
      <c r="U566" s="8"/>
      <c r="V566" s="10">
        <v>5700980</v>
      </c>
      <c r="W566" s="10">
        <v>5700980</v>
      </c>
      <c r="X566" s="10">
        <v>8920152</v>
      </c>
      <c r="Y566" s="8"/>
      <c r="Z566" s="8"/>
      <c r="AA566" s="8"/>
      <c r="AB566" s="8"/>
      <c r="AC566" s="8"/>
      <c r="AD566" s="8"/>
      <c r="AE566" s="8"/>
      <c r="AF566" s="8"/>
      <c r="AG566" s="11">
        <v>0</v>
      </c>
      <c r="AH566" s="12">
        <v>-3219172</v>
      </c>
      <c r="AI566" s="12">
        <v>-2566012</v>
      </c>
      <c r="AJ566" s="8"/>
      <c r="AK566" s="8"/>
      <c r="AL566" s="8"/>
      <c r="AM566" s="8"/>
      <c r="AN566" s="8"/>
      <c r="AO566" s="8"/>
      <c r="AP566" s="8"/>
      <c r="AQ566" s="8"/>
      <c r="AR566" s="10">
        <v>15998375155.35</v>
      </c>
      <c r="AS566" s="10">
        <v>15998375155.35</v>
      </c>
      <c r="AT566" s="10">
        <v>20635336234.049999</v>
      </c>
      <c r="AU566" s="8"/>
      <c r="AV566" s="8"/>
      <c r="AW566" s="8"/>
      <c r="AX566" s="8"/>
      <c r="AY566" s="8"/>
      <c r="AZ566" s="8"/>
      <c r="BA566" s="8"/>
      <c r="BB566" s="8"/>
      <c r="BC566" s="14">
        <v>42613</v>
      </c>
      <c r="BD566" s="14">
        <v>42613</v>
      </c>
      <c r="BE566" s="14">
        <v>42369</v>
      </c>
      <c r="BF566" s="8"/>
      <c r="BG566" s="8"/>
      <c r="BH566" s="8"/>
      <c r="BI566" s="8"/>
      <c r="BJ566" s="8"/>
      <c r="BK566" s="8"/>
      <c r="BL566" s="8"/>
      <c r="BM566" s="8"/>
      <c r="BN566" s="8" t="s">
        <v>35</v>
      </c>
      <c r="BO566" s="8" t="s">
        <v>35</v>
      </c>
      <c r="BP566" s="8" t="s">
        <v>35</v>
      </c>
      <c r="BQ566" s="8" t="s">
        <v>31</v>
      </c>
      <c r="BR566" s="8" t="s">
        <v>36</v>
      </c>
      <c r="BS566" s="10">
        <v>818167521975.59998</v>
      </c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 t="s">
        <v>27</v>
      </c>
      <c r="CE566" s="8" t="s">
        <v>42</v>
      </c>
      <c r="CF566" s="8" t="s">
        <v>82</v>
      </c>
      <c r="CG566" s="8" t="s">
        <v>39</v>
      </c>
    </row>
    <row r="567" spans="1:85" ht="15.75" customHeight="1" x14ac:dyDescent="0.35">
      <c r="A567" s="8">
        <v>560</v>
      </c>
      <c r="B567" s="8" t="s">
        <v>788</v>
      </c>
      <c r="C567" s="8"/>
      <c r="D567" s="8"/>
      <c r="E567" s="8"/>
      <c r="F567" s="8"/>
      <c r="G567" s="8"/>
      <c r="H567" s="8"/>
      <c r="I567" s="9">
        <v>1.9999999999999999E-6</v>
      </c>
      <c r="J567" s="9">
        <v>1.9999999999999999E-6</v>
      </c>
      <c r="K567" s="9">
        <v>1.9000000000000001E-5</v>
      </c>
      <c r="L567" s="9">
        <v>1.9000000000000001E-5</v>
      </c>
      <c r="M567" s="9">
        <v>2.4000000000000001E-5</v>
      </c>
      <c r="N567" s="8"/>
      <c r="O567" s="8"/>
      <c r="P567" s="8"/>
      <c r="Q567" s="8"/>
      <c r="R567" s="8"/>
      <c r="S567" s="8"/>
      <c r="T567" s="10">
        <v>216800</v>
      </c>
      <c r="U567" s="10">
        <v>216800</v>
      </c>
      <c r="V567" s="10">
        <v>1788212</v>
      </c>
      <c r="W567" s="10">
        <v>1788212</v>
      </c>
      <c r="X567" s="10">
        <v>2231440</v>
      </c>
      <c r="Y567" s="8"/>
      <c r="Z567" s="8"/>
      <c r="AA567" s="8"/>
      <c r="AB567" s="8"/>
      <c r="AC567" s="8"/>
      <c r="AD567" s="8"/>
      <c r="AE567" s="11">
        <v>0</v>
      </c>
      <c r="AF567" s="12">
        <v>-1571412</v>
      </c>
      <c r="AG567" s="11">
        <v>0</v>
      </c>
      <c r="AH567" s="12">
        <v>-443228</v>
      </c>
      <c r="AI567" s="11">
        <v>0</v>
      </c>
      <c r="AJ567" s="8"/>
      <c r="AK567" s="8"/>
      <c r="AL567" s="8"/>
      <c r="AM567" s="8"/>
      <c r="AN567" s="8"/>
      <c r="AO567" s="8"/>
      <c r="AP567" s="10">
        <v>728989950</v>
      </c>
      <c r="AQ567" s="10">
        <v>728989950</v>
      </c>
      <c r="AR567" s="10">
        <v>5006993566.8299999</v>
      </c>
      <c r="AS567" s="10">
        <v>5006993566.8299999</v>
      </c>
      <c r="AT567" s="10">
        <v>4741809949.8000002</v>
      </c>
      <c r="AU567" s="8"/>
      <c r="AV567" s="8"/>
      <c r="AW567" s="8"/>
      <c r="AX567" s="8"/>
      <c r="AY567" s="8"/>
      <c r="AZ567" s="8"/>
      <c r="BA567" s="14">
        <v>43373</v>
      </c>
      <c r="BB567" s="14">
        <v>43373</v>
      </c>
      <c r="BC567" s="14">
        <v>42643</v>
      </c>
      <c r="BD567" s="14">
        <v>42643</v>
      </c>
      <c r="BE567" s="14">
        <v>42338</v>
      </c>
      <c r="BF567" s="8"/>
      <c r="BG567" s="8"/>
      <c r="BH567" s="8"/>
      <c r="BI567" s="8"/>
      <c r="BJ567" s="8"/>
      <c r="BK567" s="8"/>
      <c r="BL567" s="8" t="s">
        <v>35</v>
      </c>
      <c r="BM567" s="8" t="s">
        <v>35</v>
      </c>
      <c r="BN567" s="8" t="s">
        <v>35</v>
      </c>
      <c r="BO567" s="8" t="s">
        <v>35</v>
      </c>
      <c r="BP567" s="8" t="s">
        <v>35</v>
      </c>
      <c r="BQ567" s="8" t="s">
        <v>31</v>
      </c>
      <c r="BR567" s="8" t="s">
        <v>49</v>
      </c>
      <c r="BS567" s="10">
        <v>102131296058.39999</v>
      </c>
      <c r="BT567" s="8" t="s">
        <v>101</v>
      </c>
      <c r="BU567" s="8"/>
      <c r="BV567" s="8"/>
      <c r="BW567" s="8"/>
      <c r="BX567" s="8"/>
      <c r="BY567" s="8"/>
      <c r="BZ567" s="8"/>
      <c r="CA567" s="8" t="s">
        <v>27</v>
      </c>
      <c r="CB567" s="8" t="s">
        <v>43</v>
      </c>
      <c r="CC567" s="8" t="s">
        <v>27</v>
      </c>
      <c r="CD567" s="8" t="s">
        <v>27</v>
      </c>
      <c r="CE567" s="8" t="s">
        <v>42</v>
      </c>
      <c r="CF567" s="8" t="s">
        <v>70</v>
      </c>
      <c r="CG567" s="8" t="s">
        <v>71</v>
      </c>
    </row>
    <row r="568" spans="1:85" ht="15.75" customHeight="1" x14ac:dyDescent="0.35">
      <c r="A568" s="8">
        <v>561</v>
      </c>
      <c r="B568" s="8" t="s">
        <v>789</v>
      </c>
      <c r="C568" s="8"/>
      <c r="D568" s="8"/>
      <c r="E568" s="8"/>
      <c r="F568" s="8"/>
      <c r="G568" s="8"/>
      <c r="H568" s="8"/>
      <c r="I568" s="8"/>
      <c r="J568" s="9">
        <v>0</v>
      </c>
      <c r="K568" s="9">
        <v>0</v>
      </c>
      <c r="L568" s="9">
        <v>1.0000000000000001E-5</v>
      </c>
      <c r="M568" s="9">
        <v>0</v>
      </c>
      <c r="N568" s="8"/>
      <c r="O568" s="8"/>
      <c r="P568" s="8"/>
      <c r="Q568" s="8"/>
      <c r="R568" s="8"/>
      <c r="S568" s="8"/>
      <c r="T568" s="8"/>
      <c r="U568" s="10">
        <v>0</v>
      </c>
      <c r="V568" s="10">
        <v>0</v>
      </c>
      <c r="W568" s="10">
        <v>960000</v>
      </c>
      <c r="X568" s="10">
        <v>0</v>
      </c>
      <c r="Y568" s="8"/>
      <c r="Z568" s="8"/>
      <c r="AA568" s="8"/>
      <c r="AB568" s="8"/>
      <c r="AC568" s="8"/>
      <c r="AD568" s="8"/>
      <c r="AE568" s="8"/>
      <c r="AF568" s="11">
        <v>0</v>
      </c>
      <c r="AG568" s="12">
        <v>-960000</v>
      </c>
      <c r="AH568" s="13">
        <v>960000</v>
      </c>
      <c r="AI568" s="11">
        <v>0</v>
      </c>
      <c r="AJ568" s="8"/>
      <c r="AK568" s="8"/>
      <c r="AL568" s="8"/>
      <c r="AM568" s="8"/>
      <c r="AN568" s="8"/>
      <c r="AO568" s="8"/>
      <c r="AP568" s="8"/>
      <c r="AQ568" s="10">
        <v>0</v>
      </c>
      <c r="AR568" s="10">
        <v>0</v>
      </c>
      <c r="AS568" s="10">
        <v>2754000031.4699998</v>
      </c>
      <c r="AT568" s="10">
        <v>0</v>
      </c>
      <c r="AU568" s="8"/>
      <c r="AV568" s="8"/>
      <c r="AW568" s="8"/>
      <c r="AX568" s="8"/>
      <c r="AY568" s="8"/>
      <c r="AZ568" s="8"/>
      <c r="BA568" s="8"/>
      <c r="BB568" s="14">
        <v>43069</v>
      </c>
      <c r="BC568" s="14">
        <v>43069</v>
      </c>
      <c r="BD568" s="14">
        <v>42674</v>
      </c>
      <c r="BE568" s="14">
        <v>42338</v>
      </c>
      <c r="BF568" s="8"/>
      <c r="BG568" s="8"/>
      <c r="BH568" s="8"/>
      <c r="BI568" s="8"/>
      <c r="BJ568" s="8"/>
      <c r="BK568" s="8"/>
      <c r="BL568" s="8"/>
      <c r="BM568" s="8" t="s">
        <v>35</v>
      </c>
      <c r="BN568" s="8" t="s">
        <v>35</v>
      </c>
      <c r="BO568" s="8" t="s">
        <v>35</v>
      </c>
      <c r="BP568" s="8" t="s">
        <v>35</v>
      </c>
      <c r="BQ568" s="8" t="s">
        <v>31</v>
      </c>
      <c r="BR568" s="8" t="s">
        <v>36</v>
      </c>
      <c r="BS568" s="10">
        <v>354881279521486</v>
      </c>
      <c r="BT568" s="8"/>
      <c r="BU568" s="8"/>
      <c r="BV568" s="8"/>
      <c r="BW568" s="8"/>
      <c r="BX568" s="8"/>
      <c r="BY568" s="8"/>
      <c r="BZ568" s="8"/>
      <c r="CA568" s="8"/>
      <c r="CB568" s="8" t="s">
        <v>43</v>
      </c>
      <c r="CC568" s="8" t="s">
        <v>43</v>
      </c>
      <c r="CD568" s="8" t="s">
        <v>43</v>
      </c>
      <c r="CE568" s="8" t="s">
        <v>43</v>
      </c>
      <c r="CF568" s="8" t="s">
        <v>682</v>
      </c>
      <c r="CG568" s="8" t="s">
        <v>461</v>
      </c>
    </row>
    <row r="569" spans="1:85" ht="15.75" customHeight="1" x14ac:dyDescent="0.35">
      <c r="A569" s="8">
        <v>562</v>
      </c>
      <c r="B569" s="8" t="s">
        <v>790</v>
      </c>
      <c r="C569" s="8"/>
      <c r="D569" s="8"/>
      <c r="E569" s="8"/>
      <c r="F569" s="8"/>
      <c r="G569" s="8"/>
      <c r="H569" s="8"/>
      <c r="I569" s="8"/>
      <c r="J569" s="9">
        <v>1.0000000000000001E-5</v>
      </c>
      <c r="K569" s="9">
        <v>1.0000000000000001E-5</v>
      </c>
      <c r="L569" s="9">
        <v>2.0999999999999999E-5</v>
      </c>
      <c r="M569" s="9">
        <v>1.0000000000000001E-5</v>
      </c>
      <c r="N569" s="8"/>
      <c r="O569" s="8"/>
      <c r="P569" s="8"/>
      <c r="Q569" s="8"/>
      <c r="R569" s="8"/>
      <c r="S569" s="8"/>
      <c r="T569" s="8"/>
      <c r="U569" s="10">
        <v>960000</v>
      </c>
      <c r="V569" s="10">
        <v>960000</v>
      </c>
      <c r="W569" s="10">
        <v>1920000</v>
      </c>
      <c r="X569" s="10">
        <v>960000</v>
      </c>
      <c r="Y569" s="8"/>
      <c r="Z569" s="8"/>
      <c r="AA569" s="8"/>
      <c r="AB569" s="8"/>
      <c r="AC569" s="8"/>
      <c r="AD569" s="8"/>
      <c r="AE569" s="8"/>
      <c r="AF569" s="11">
        <v>0</v>
      </c>
      <c r="AG569" s="12">
        <v>-960000</v>
      </c>
      <c r="AH569" s="13">
        <v>960000</v>
      </c>
      <c r="AI569" s="11">
        <v>0</v>
      </c>
      <c r="AJ569" s="8"/>
      <c r="AK569" s="8"/>
      <c r="AL569" s="8"/>
      <c r="AM569" s="8"/>
      <c r="AN569" s="8"/>
      <c r="AO569" s="8"/>
      <c r="AP569" s="8"/>
      <c r="AQ569" s="10">
        <v>3840000004.9000001</v>
      </c>
      <c r="AR569" s="10">
        <v>3840000004.9000001</v>
      </c>
      <c r="AS569" s="10">
        <v>5508000062.9399996</v>
      </c>
      <c r="AT569" s="10">
        <v>2220805544.25</v>
      </c>
      <c r="AU569" s="8"/>
      <c r="AV569" s="8"/>
      <c r="AW569" s="8"/>
      <c r="AX569" s="8"/>
      <c r="AY569" s="8"/>
      <c r="AZ569" s="8"/>
      <c r="BA569" s="8"/>
      <c r="BB569" s="14">
        <v>43100</v>
      </c>
      <c r="BC569" s="14">
        <v>43100</v>
      </c>
      <c r="BD569" s="14">
        <v>42674</v>
      </c>
      <c r="BE569" s="14">
        <v>42369</v>
      </c>
      <c r="BF569" s="8"/>
      <c r="BG569" s="8"/>
      <c r="BH569" s="8"/>
      <c r="BI569" s="8"/>
      <c r="BJ569" s="8"/>
      <c r="BK569" s="8"/>
      <c r="BL569" s="8"/>
      <c r="BM569" s="8" t="s">
        <v>35</v>
      </c>
      <c r="BN569" s="8" t="s">
        <v>35</v>
      </c>
      <c r="BO569" s="8" t="s">
        <v>35</v>
      </c>
      <c r="BP569" s="8" t="s">
        <v>35</v>
      </c>
      <c r="BQ569" s="8" t="s">
        <v>31</v>
      </c>
      <c r="BR569" s="8" t="s">
        <v>36</v>
      </c>
      <c r="BS569" s="10">
        <v>0</v>
      </c>
      <c r="BT569" s="8"/>
      <c r="BU569" s="8"/>
      <c r="BV569" s="8"/>
      <c r="BW569" s="8"/>
      <c r="BX569" s="8"/>
      <c r="BY569" s="8"/>
      <c r="BZ569" s="8"/>
      <c r="CA569" s="8"/>
      <c r="CB569" s="8" t="s">
        <v>27</v>
      </c>
      <c r="CC569" s="8" t="s">
        <v>43</v>
      </c>
      <c r="CD569" s="8" t="s">
        <v>43</v>
      </c>
      <c r="CE569" s="8" t="s">
        <v>43</v>
      </c>
      <c r="CF569" s="8" t="s">
        <v>682</v>
      </c>
      <c r="CG569" s="8" t="s">
        <v>461</v>
      </c>
    </row>
    <row r="570" spans="1:85" ht="15.75" customHeight="1" x14ac:dyDescent="0.35">
      <c r="A570" s="8">
        <v>563</v>
      </c>
      <c r="B570" s="8" t="s">
        <v>791</v>
      </c>
      <c r="C570" s="8"/>
      <c r="D570" s="8"/>
      <c r="E570" s="8"/>
      <c r="F570" s="8"/>
      <c r="G570" s="8"/>
      <c r="H570" s="9">
        <v>9.9999999999999995E-7</v>
      </c>
      <c r="I570" s="9">
        <v>9.9999999999999995E-7</v>
      </c>
      <c r="J570" s="8"/>
      <c r="K570" s="8"/>
      <c r="L570" s="8"/>
      <c r="M570" s="8"/>
      <c r="N570" s="8"/>
      <c r="O570" s="8"/>
      <c r="P570" s="8"/>
      <c r="Q570" s="8"/>
      <c r="R570" s="8"/>
      <c r="S570" s="10">
        <v>114000</v>
      </c>
      <c r="T570" s="10">
        <v>114000</v>
      </c>
      <c r="U570" s="8"/>
      <c r="V570" s="8"/>
      <c r="W570" s="8"/>
      <c r="X570" s="8"/>
      <c r="Y570" s="8"/>
      <c r="Z570" s="8"/>
      <c r="AA570" s="8"/>
      <c r="AB570" s="8"/>
      <c r="AC570" s="8"/>
      <c r="AD570" s="11">
        <v>0</v>
      </c>
      <c r="AE570" s="13">
        <v>114000</v>
      </c>
      <c r="AF570" s="8"/>
      <c r="AG570" s="8"/>
      <c r="AH570" s="8"/>
      <c r="AI570" s="8"/>
      <c r="AJ570" s="8"/>
      <c r="AK570" s="8"/>
      <c r="AL570" s="8"/>
      <c r="AM570" s="8"/>
      <c r="AN570" s="8"/>
      <c r="AO570" s="10">
        <v>457424988.75</v>
      </c>
      <c r="AP570" s="10">
        <v>457424988.75</v>
      </c>
      <c r="AQ570" s="8"/>
      <c r="AR570" s="8"/>
      <c r="AS570" s="8"/>
      <c r="AT570" s="8"/>
      <c r="AU570" s="8"/>
      <c r="AV570" s="8"/>
      <c r="AW570" s="8"/>
      <c r="AX570" s="8"/>
      <c r="AY570" s="8"/>
      <c r="AZ570" s="14">
        <v>43646</v>
      </c>
      <c r="BA570" s="14">
        <v>43646</v>
      </c>
      <c r="BB570" s="8"/>
      <c r="BC570" s="8"/>
      <c r="BD570" s="8"/>
      <c r="BE570" s="8"/>
      <c r="BF570" s="8"/>
      <c r="BG570" s="8"/>
      <c r="BH570" s="8"/>
      <c r="BI570" s="8"/>
      <c r="BJ570" s="8"/>
      <c r="BK570" s="8" t="s">
        <v>35</v>
      </c>
      <c r="BL570" s="8" t="s">
        <v>35</v>
      </c>
      <c r="BM570" s="8"/>
      <c r="BN570" s="8"/>
      <c r="BO570" s="8"/>
      <c r="BP570" s="8"/>
      <c r="BQ570" s="8" t="s">
        <v>31</v>
      </c>
      <c r="BR570" s="8" t="s">
        <v>36</v>
      </c>
      <c r="BS570" s="10">
        <v>113336535000767</v>
      </c>
      <c r="BT570" s="8" t="s">
        <v>41</v>
      </c>
      <c r="BU570" s="8"/>
      <c r="BV570" s="8"/>
      <c r="BW570" s="8"/>
      <c r="BX570" s="8"/>
      <c r="BY570" s="8"/>
      <c r="BZ570" s="8" t="s">
        <v>43</v>
      </c>
      <c r="CA570" s="8" t="s">
        <v>43</v>
      </c>
      <c r="CB570" s="8"/>
      <c r="CC570" s="8"/>
      <c r="CD570" s="8"/>
      <c r="CE570" s="8"/>
      <c r="CF570" s="8" t="s">
        <v>792</v>
      </c>
      <c r="CG570" s="8" t="s">
        <v>39</v>
      </c>
    </row>
    <row r="571" spans="1:85" ht="15.75" customHeight="1" x14ac:dyDescent="0.35">
      <c r="A571" s="8">
        <v>564</v>
      </c>
      <c r="B571" s="8" t="s">
        <v>793</v>
      </c>
      <c r="C571" s="8"/>
      <c r="D571" s="8"/>
      <c r="E571" s="8"/>
      <c r="F571" s="8"/>
      <c r="G571" s="8"/>
      <c r="H571" s="8"/>
      <c r="I571" s="8"/>
      <c r="J571" s="8"/>
      <c r="K571" s="8"/>
      <c r="L571" s="9">
        <v>0</v>
      </c>
      <c r="M571" s="9">
        <v>0</v>
      </c>
      <c r="N571" s="8"/>
      <c r="O571" s="8"/>
      <c r="P571" s="8"/>
      <c r="Q571" s="8"/>
      <c r="R571" s="8"/>
      <c r="S571" s="8"/>
      <c r="T571" s="8"/>
      <c r="U571" s="8"/>
      <c r="V571" s="8"/>
      <c r="W571" s="10">
        <v>0</v>
      </c>
      <c r="X571" s="10">
        <v>0</v>
      </c>
      <c r="Y571" s="8"/>
      <c r="Z571" s="8"/>
      <c r="AA571" s="8"/>
      <c r="AB571" s="8"/>
      <c r="AC571" s="8"/>
      <c r="AD571" s="8"/>
      <c r="AE571" s="8"/>
      <c r="AF571" s="8"/>
      <c r="AG571" s="8"/>
      <c r="AH571" s="11">
        <v>0</v>
      </c>
      <c r="AI571" s="11">
        <v>0</v>
      </c>
      <c r="AJ571" s="8"/>
      <c r="AK571" s="8"/>
      <c r="AL571" s="8"/>
      <c r="AM571" s="8"/>
      <c r="AN571" s="8"/>
      <c r="AO571" s="8"/>
      <c r="AP571" s="8"/>
      <c r="AQ571" s="8"/>
      <c r="AR571" s="8"/>
      <c r="AS571" s="10">
        <v>0</v>
      </c>
      <c r="AT571" s="10">
        <v>0</v>
      </c>
      <c r="AU571" s="8"/>
      <c r="AV571" s="8"/>
      <c r="AW571" s="8"/>
      <c r="AX571" s="8"/>
      <c r="AY571" s="8"/>
      <c r="AZ571" s="8"/>
      <c r="BA571" s="8"/>
      <c r="BB571" s="8"/>
      <c r="BC571" s="8"/>
      <c r="BD571" s="14">
        <v>42185</v>
      </c>
      <c r="BE571" s="14">
        <v>42185</v>
      </c>
      <c r="BF571" s="8"/>
      <c r="BG571" s="8"/>
      <c r="BH571" s="8"/>
      <c r="BI571" s="8"/>
      <c r="BJ571" s="8"/>
      <c r="BK571" s="8"/>
      <c r="BL571" s="8"/>
      <c r="BM571" s="8"/>
      <c r="BN571" s="8"/>
      <c r="BO571" s="8" t="s">
        <v>35</v>
      </c>
      <c r="BP571" s="8" t="s">
        <v>35</v>
      </c>
      <c r="BQ571" s="8" t="s">
        <v>31</v>
      </c>
      <c r="BR571" s="8" t="s">
        <v>49</v>
      </c>
      <c r="BS571" s="10">
        <v>199913709824192</v>
      </c>
      <c r="BT571" s="8" t="s">
        <v>61</v>
      </c>
      <c r="BU571" s="8"/>
      <c r="BV571" s="8"/>
      <c r="BW571" s="8"/>
      <c r="BX571" s="8"/>
      <c r="BY571" s="8"/>
      <c r="BZ571" s="8"/>
      <c r="CA571" s="8"/>
      <c r="CB571" s="8"/>
      <c r="CC571" s="8"/>
      <c r="CD571" s="8" t="s">
        <v>42</v>
      </c>
      <c r="CE571" s="8" t="s">
        <v>42</v>
      </c>
      <c r="CF571" s="8" t="s">
        <v>82</v>
      </c>
      <c r="CG571" s="8" t="s">
        <v>39</v>
      </c>
    </row>
    <row r="572" spans="1:85" ht="15.75" customHeight="1" x14ac:dyDescent="0.35">
      <c r="A572" s="8">
        <v>565</v>
      </c>
      <c r="B572" s="8" t="s">
        <v>794</v>
      </c>
      <c r="C572" s="8"/>
      <c r="D572" s="8"/>
      <c r="E572" s="8"/>
      <c r="F572" s="8"/>
      <c r="G572" s="8"/>
      <c r="H572" s="8"/>
      <c r="I572" s="8"/>
      <c r="J572" s="8"/>
      <c r="K572" s="8"/>
      <c r="L572" s="9">
        <v>0</v>
      </c>
      <c r="M572" s="9">
        <v>0</v>
      </c>
      <c r="N572" s="8"/>
      <c r="O572" s="8"/>
      <c r="P572" s="8"/>
      <c r="Q572" s="8"/>
      <c r="R572" s="8"/>
      <c r="S572" s="8"/>
      <c r="T572" s="8"/>
      <c r="U572" s="8"/>
      <c r="V572" s="8"/>
      <c r="W572" s="10">
        <v>0</v>
      </c>
      <c r="X572" s="10">
        <v>0</v>
      </c>
      <c r="Y572" s="8"/>
      <c r="Z572" s="8"/>
      <c r="AA572" s="8"/>
      <c r="AB572" s="8"/>
      <c r="AC572" s="8"/>
      <c r="AD572" s="8"/>
      <c r="AE572" s="8"/>
      <c r="AF572" s="8"/>
      <c r="AG572" s="8"/>
      <c r="AH572" s="11">
        <v>0</v>
      </c>
      <c r="AI572" s="11">
        <v>0</v>
      </c>
      <c r="AJ572" s="8"/>
      <c r="AK572" s="8"/>
      <c r="AL572" s="8"/>
      <c r="AM572" s="8"/>
      <c r="AN572" s="8"/>
      <c r="AO572" s="8"/>
      <c r="AP572" s="8"/>
      <c r="AQ572" s="8"/>
      <c r="AR572" s="8"/>
      <c r="AS572" s="10">
        <v>0</v>
      </c>
      <c r="AT572" s="10">
        <v>0</v>
      </c>
      <c r="AU572" s="8"/>
      <c r="AV572" s="8"/>
      <c r="AW572" s="8"/>
      <c r="AX572" s="8"/>
      <c r="AY572" s="8"/>
      <c r="AZ572" s="8"/>
      <c r="BA572" s="8"/>
      <c r="BB572" s="8"/>
      <c r="BC572" s="8"/>
      <c r="BD572" s="14">
        <v>42094</v>
      </c>
      <c r="BE572" s="14">
        <v>42094</v>
      </c>
      <c r="BF572" s="8"/>
      <c r="BG572" s="8"/>
      <c r="BH572" s="8"/>
      <c r="BI572" s="8"/>
      <c r="BJ572" s="8"/>
      <c r="BK572" s="8"/>
      <c r="BL572" s="8"/>
      <c r="BM572" s="8"/>
      <c r="BN572" s="8"/>
      <c r="BO572" s="8" t="s">
        <v>35</v>
      </c>
      <c r="BP572" s="8" t="s">
        <v>35</v>
      </c>
      <c r="BQ572" s="8" t="s">
        <v>31</v>
      </c>
      <c r="BR572" s="8" t="s">
        <v>36</v>
      </c>
      <c r="BS572" s="10">
        <v>335623820929.20001</v>
      </c>
      <c r="BT572" s="8" t="s">
        <v>61</v>
      </c>
      <c r="BU572" s="8"/>
      <c r="BV572" s="8"/>
      <c r="BW572" s="8"/>
      <c r="BX572" s="8"/>
      <c r="BY572" s="8"/>
      <c r="BZ572" s="8"/>
      <c r="CA572" s="8"/>
      <c r="CB572" s="8"/>
      <c r="CC572" s="8"/>
      <c r="CD572" s="8" t="s">
        <v>43</v>
      </c>
      <c r="CE572" s="8" t="s">
        <v>43</v>
      </c>
      <c r="CF572" s="8" t="s">
        <v>301</v>
      </c>
      <c r="CG572" s="8" t="s">
        <v>302</v>
      </c>
    </row>
    <row r="573" spans="1:85" ht="15.75" customHeight="1" x14ac:dyDescent="0.35">
      <c r="A573" s="8">
        <v>566</v>
      </c>
      <c r="B573" s="8" t="s">
        <v>795</v>
      </c>
      <c r="C573" s="8"/>
      <c r="D573" s="8"/>
      <c r="E573" s="8"/>
      <c r="F573" s="8"/>
      <c r="G573" s="8"/>
      <c r="H573" s="9">
        <v>0</v>
      </c>
      <c r="I573" s="9">
        <v>0</v>
      </c>
      <c r="J573" s="9">
        <v>1.1559999999999999E-3</v>
      </c>
      <c r="K573" s="9">
        <v>9.2599999999999996E-4</v>
      </c>
      <c r="L573" s="9">
        <v>5.0000000000000001E-4</v>
      </c>
      <c r="M573" s="9">
        <v>1.4300000000000001E-4</v>
      </c>
      <c r="N573" s="8"/>
      <c r="O573" s="8"/>
      <c r="P573" s="8"/>
      <c r="Q573" s="8"/>
      <c r="R573" s="8"/>
      <c r="S573" s="10">
        <v>0</v>
      </c>
      <c r="T573" s="10">
        <v>0</v>
      </c>
      <c r="U573" s="10">
        <v>106817200</v>
      </c>
      <c r="V573" s="10">
        <v>85594800</v>
      </c>
      <c r="W573" s="10">
        <v>46217200</v>
      </c>
      <c r="X573" s="10">
        <v>13236400</v>
      </c>
      <c r="Y573" s="8"/>
      <c r="Z573" s="8"/>
      <c r="AA573" s="8"/>
      <c r="AB573" s="8"/>
      <c r="AC573" s="8"/>
      <c r="AD573" s="11">
        <v>0</v>
      </c>
      <c r="AE573" s="12">
        <v>-106817200</v>
      </c>
      <c r="AF573" s="13">
        <v>21222400</v>
      </c>
      <c r="AG573" s="13">
        <v>39377600</v>
      </c>
      <c r="AH573" s="13">
        <v>32980800</v>
      </c>
      <c r="AI573" s="11">
        <v>0</v>
      </c>
      <c r="AJ573" s="8"/>
      <c r="AK573" s="8"/>
      <c r="AL573" s="8"/>
      <c r="AM573" s="8"/>
      <c r="AN573" s="8"/>
      <c r="AO573" s="10">
        <v>0</v>
      </c>
      <c r="AP573" s="10">
        <v>0</v>
      </c>
      <c r="AQ573" s="10">
        <v>389017252512.5</v>
      </c>
      <c r="AR573" s="10">
        <v>342379200092</v>
      </c>
      <c r="AS573" s="10">
        <v>133741022612.10001</v>
      </c>
      <c r="AT573" s="10">
        <v>35469324199.599998</v>
      </c>
      <c r="AU573" s="8"/>
      <c r="AV573" s="8"/>
      <c r="AW573" s="8"/>
      <c r="AX573" s="8"/>
      <c r="AY573" s="8"/>
      <c r="AZ573" s="14">
        <v>43555</v>
      </c>
      <c r="BA573" s="14">
        <v>43555</v>
      </c>
      <c r="BB573" s="14">
        <v>43465</v>
      </c>
      <c r="BC573" s="14">
        <v>43100</v>
      </c>
      <c r="BD573" s="14">
        <v>42735</v>
      </c>
      <c r="BE573" s="14">
        <v>42004</v>
      </c>
      <c r="BF573" s="8"/>
      <c r="BG573" s="8"/>
      <c r="BH573" s="8"/>
      <c r="BI573" s="8"/>
      <c r="BJ573" s="8"/>
      <c r="BK573" s="8" t="s">
        <v>35</v>
      </c>
      <c r="BL573" s="8" t="s">
        <v>35</v>
      </c>
      <c r="BM573" s="8" t="s">
        <v>35</v>
      </c>
      <c r="BN573" s="8" t="s">
        <v>35</v>
      </c>
      <c r="BO573" s="8" t="s">
        <v>35</v>
      </c>
      <c r="BP573" s="8" t="s">
        <v>35</v>
      </c>
      <c r="BQ573" s="8" t="s">
        <v>31</v>
      </c>
      <c r="BR573" s="8" t="s">
        <v>49</v>
      </c>
      <c r="BS573" s="10">
        <v>484138354898719</v>
      </c>
      <c r="BT573" s="8" t="s">
        <v>57</v>
      </c>
      <c r="BU573" s="8"/>
      <c r="BV573" s="8"/>
      <c r="BW573" s="8"/>
      <c r="BX573" s="8"/>
      <c r="BY573" s="8"/>
      <c r="BZ573" s="8" t="s">
        <v>27</v>
      </c>
      <c r="CA573" s="8" t="s">
        <v>27</v>
      </c>
      <c r="CB573" s="8" t="s">
        <v>27</v>
      </c>
      <c r="CC573" s="8" t="s">
        <v>27</v>
      </c>
      <c r="CD573" s="8" t="s">
        <v>42</v>
      </c>
      <c r="CE573" s="8" t="s">
        <v>27</v>
      </c>
      <c r="CF573" s="8" t="s">
        <v>158</v>
      </c>
      <c r="CG573" s="8" t="s">
        <v>115</v>
      </c>
    </row>
    <row r="574" spans="1:85" ht="15.75" customHeight="1" x14ac:dyDescent="0.35">
      <c r="A574" s="8">
        <v>567</v>
      </c>
      <c r="B574" s="8" t="s">
        <v>796</v>
      </c>
      <c r="C574" s="8"/>
      <c r="D574" s="9">
        <v>9.9999999999999995E-7</v>
      </c>
      <c r="E574" s="9">
        <v>9.9999999999999995E-7</v>
      </c>
      <c r="F574" s="9">
        <v>9.9999999999999995E-7</v>
      </c>
      <c r="G574" s="9">
        <v>9.9999999999999995E-7</v>
      </c>
      <c r="H574" s="8"/>
      <c r="I574" s="8"/>
      <c r="J574" s="8"/>
      <c r="K574" s="8"/>
      <c r="L574" s="8"/>
      <c r="M574" s="8"/>
      <c r="N574" s="8"/>
      <c r="O574" s="10">
        <v>100400</v>
      </c>
      <c r="P574" s="10">
        <v>100400</v>
      </c>
      <c r="Q574" s="10">
        <v>109400</v>
      </c>
      <c r="R574" s="10">
        <v>58000</v>
      </c>
      <c r="S574" s="8"/>
      <c r="T574" s="8"/>
      <c r="U574" s="8"/>
      <c r="V574" s="8"/>
      <c r="W574" s="8"/>
      <c r="X574" s="8"/>
      <c r="Y574" s="8"/>
      <c r="Z574" s="11">
        <v>0</v>
      </c>
      <c r="AA574" s="12">
        <v>-9000</v>
      </c>
      <c r="AB574" s="13">
        <v>51400</v>
      </c>
      <c r="AC574" s="13">
        <v>58000</v>
      </c>
      <c r="AD574" s="8"/>
      <c r="AE574" s="8"/>
      <c r="AF574" s="8"/>
      <c r="AG574" s="8"/>
      <c r="AH574" s="8"/>
      <c r="AI574" s="8"/>
      <c r="AJ574" s="8"/>
      <c r="AK574" s="10">
        <v>519569951.25</v>
      </c>
      <c r="AL574" s="10">
        <v>519569951.25</v>
      </c>
      <c r="AM574" s="10">
        <v>542897549.70000005</v>
      </c>
      <c r="AN574" s="10">
        <v>203510805</v>
      </c>
      <c r="AO574" s="8"/>
      <c r="AP574" s="8"/>
      <c r="AQ574" s="8"/>
      <c r="AR574" s="8"/>
      <c r="AS574" s="8"/>
      <c r="AT574" s="8"/>
      <c r="AU574" s="8"/>
      <c r="AV574" s="14">
        <v>45046</v>
      </c>
      <c r="AW574" s="14">
        <v>45046</v>
      </c>
      <c r="AX574" s="14">
        <v>44926</v>
      </c>
      <c r="AY574" s="14">
        <v>44561</v>
      </c>
      <c r="AZ574" s="8"/>
      <c r="BA574" s="8"/>
      <c r="BB574" s="8"/>
      <c r="BC574" s="8"/>
      <c r="BD574" s="8"/>
      <c r="BE574" s="8"/>
      <c r="BF574" s="8"/>
      <c r="BG574" s="8" t="s">
        <v>35</v>
      </c>
      <c r="BH574" s="8" t="s">
        <v>35</v>
      </c>
      <c r="BI574" s="8" t="s">
        <v>35</v>
      </c>
      <c r="BJ574" s="8" t="s">
        <v>35</v>
      </c>
      <c r="BK574" s="8"/>
      <c r="BL574" s="8"/>
      <c r="BM574" s="8"/>
      <c r="BN574" s="8"/>
      <c r="BO574" s="8"/>
      <c r="BP574" s="8"/>
      <c r="BQ574" s="8" t="s">
        <v>31</v>
      </c>
      <c r="BR574" s="8" t="s">
        <v>49</v>
      </c>
      <c r="BS574" s="10">
        <v>12821934960489.6</v>
      </c>
      <c r="BT574" s="8" t="s">
        <v>101</v>
      </c>
      <c r="BU574" s="8"/>
      <c r="BV574" s="8"/>
      <c r="BW574" s="8" t="s">
        <v>27</v>
      </c>
      <c r="BX574" s="8" t="s">
        <v>27</v>
      </c>
      <c r="BY574" s="8"/>
      <c r="BZ574" s="8"/>
      <c r="CA574" s="8"/>
      <c r="CB574" s="8"/>
      <c r="CC574" s="8"/>
      <c r="CD574" s="8"/>
      <c r="CE574" s="8"/>
      <c r="CF574" s="8" t="s">
        <v>50</v>
      </c>
      <c r="CG574" s="8" t="s">
        <v>51</v>
      </c>
    </row>
    <row r="575" spans="1:85" ht="15.75" customHeight="1" x14ac:dyDescent="0.35">
      <c r="A575" s="8">
        <v>568</v>
      </c>
      <c r="B575" s="8" t="s">
        <v>797</v>
      </c>
      <c r="C575" s="8"/>
      <c r="D575" s="8"/>
      <c r="E575" s="8"/>
      <c r="F575" s="8"/>
      <c r="G575" s="9">
        <v>0</v>
      </c>
      <c r="H575" s="9">
        <v>0</v>
      </c>
      <c r="I575" s="9">
        <v>4.1999999999999998E-5</v>
      </c>
      <c r="J575" s="9">
        <v>3.0000000000000001E-6</v>
      </c>
      <c r="K575" s="8"/>
      <c r="L575" s="8"/>
      <c r="M575" s="8"/>
      <c r="N575" s="8"/>
      <c r="O575" s="8"/>
      <c r="P575" s="8"/>
      <c r="Q575" s="8"/>
      <c r="R575" s="10">
        <v>0</v>
      </c>
      <c r="S575" s="10">
        <v>0</v>
      </c>
      <c r="T575" s="10">
        <v>3842200</v>
      </c>
      <c r="U575" s="10">
        <v>273800</v>
      </c>
      <c r="V575" s="8"/>
      <c r="W575" s="8"/>
      <c r="X575" s="8"/>
      <c r="Y575" s="8"/>
      <c r="Z575" s="8"/>
      <c r="AA575" s="8"/>
      <c r="AB575" s="8"/>
      <c r="AC575" s="11">
        <v>0</v>
      </c>
      <c r="AD575" s="12">
        <v>-3842200</v>
      </c>
      <c r="AE575" s="13">
        <v>3568400</v>
      </c>
      <c r="AF575" s="13">
        <v>273800</v>
      </c>
      <c r="AG575" s="8"/>
      <c r="AH575" s="8"/>
      <c r="AI575" s="8"/>
      <c r="AJ575" s="8"/>
      <c r="AK575" s="8"/>
      <c r="AL575" s="8"/>
      <c r="AM575" s="8"/>
      <c r="AN575" s="10">
        <v>0</v>
      </c>
      <c r="AO575" s="10">
        <v>0</v>
      </c>
      <c r="AP575" s="10">
        <v>14702073397.200001</v>
      </c>
      <c r="AQ575" s="10">
        <v>997151487.5</v>
      </c>
      <c r="AR575" s="8"/>
      <c r="AS575" s="8"/>
      <c r="AT575" s="8"/>
      <c r="AU575" s="8"/>
      <c r="AV575" s="8"/>
      <c r="AW575" s="8"/>
      <c r="AX575" s="8"/>
      <c r="AY575" s="14">
        <v>43921</v>
      </c>
      <c r="AZ575" s="14">
        <v>43921</v>
      </c>
      <c r="BA575" s="14">
        <v>43830</v>
      </c>
      <c r="BB575" s="14">
        <v>43465</v>
      </c>
      <c r="BC575" s="8"/>
      <c r="BD575" s="8"/>
      <c r="BE575" s="8"/>
      <c r="BF575" s="8"/>
      <c r="BG575" s="8"/>
      <c r="BH575" s="8"/>
      <c r="BI575" s="8"/>
      <c r="BJ575" s="8" t="s">
        <v>35</v>
      </c>
      <c r="BK575" s="8" t="s">
        <v>35</v>
      </c>
      <c r="BL575" s="8" t="s">
        <v>35</v>
      </c>
      <c r="BM575" s="8" t="s">
        <v>35</v>
      </c>
      <c r="BN575" s="8"/>
      <c r="BO575" s="8"/>
      <c r="BP575" s="8"/>
      <c r="BQ575" s="8" t="s">
        <v>31</v>
      </c>
      <c r="BR575" s="8" t="s">
        <v>36</v>
      </c>
      <c r="BS575" s="10">
        <v>53673701399242.797</v>
      </c>
      <c r="BT575" s="8"/>
      <c r="BU575" s="8"/>
      <c r="BV575" s="8"/>
      <c r="BW575" s="8"/>
      <c r="BX575" s="8"/>
      <c r="BY575" s="8" t="s">
        <v>27</v>
      </c>
      <c r="BZ575" s="8" t="s">
        <v>43</v>
      </c>
      <c r="CA575" s="8" t="s">
        <v>42</v>
      </c>
      <c r="CB575" s="8" t="s">
        <v>42</v>
      </c>
      <c r="CC575" s="8"/>
      <c r="CD575" s="8"/>
      <c r="CE575" s="8"/>
      <c r="CF575" s="8" t="s">
        <v>50</v>
      </c>
      <c r="CG575" s="8" t="s">
        <v>51</v>
      </c>
    </row>
    <row r="576" spans="1:85" ht="15.75" customHeight="1" x14ac:dyDescent="0.35">
      <c r="A576" s="8">
        <v>569</v>
      </c>
      <c r="B576" s="8" t="s">
        <v>798</v>
      </c>
      <c r="C576" s="8"/>
      <c r="D576" s="8"/>
      <c r="E576" s="8"/>
      <c r="F576" s="8"/>
      <c r="G576" s="9">
        <v>0</v>
      </c>
      <c r="H576" s="9">
        <v>1.5E-5</v>
      </c>
      <c r="I576" s="9">
        <v>1.5E-5</v>
      </c>
      <c r="J576" s="9">
        <v>3.9999999999999998E-6</v>
      </c>
      <c r="K576" s="8"/>
      <c r="L576" s="8"/>
      <c r="M576" s="8"/>
      <c r="N576" s="8"/>
      <c r="O576" s="8"/>
      <c r="P576" s="8"/>
      <c r="Q576" s="8"/>
      <c r="R576" s="10">
        <v>0</v>
      </c>
      <c r="S576" s="10">
        <v>1350800</v>
      </c>
      <c r="T576" s="10">
        <v>1350800</v>
      </c>
      <c r="U576" s="10">
        <v>396200</v>
      </c>
      <c r="V576" s="8"/>
      <c r="W576" s="8"/>
      <c r="X576" s="8"/>
      <c r="Y576" s="8"/>
      <c r="Z576" s="8"/>
      <c r="AA576" s="8"/>
      <c r="AB576" s="8"/>
      <c r="AC576" s="12">
        <v>-1350800</v>
      </c>
      <c r="AD576" s="11">
        <v>0</v>
      </c>
      <c r="AE576" s="13">
        <v>954600</v>
      </c>
      <c r="AF576" s="13">
        <v>396200</v>
      </c>
      <c r="AG576" s="8"/>
      <c r="AH576" s="8"/>
      <c r="AI576" s="8"/>
      <c r="AJ576" s="8"/>
      <c r="AK576" s="8"/>
      <c r="AL576" s="8"/>
      <c r="AM576" s="8"/>
      <c r="AN576" s="10">
        <v>0</v>
      </c>
      <c r="AO576" s="10">
        <v>4710914970.3000002</v>
      </c>
      <c r="AP576" s="10">
        <v>4710914970.3000002</v>
      </c>
      <c r="AQ576" s="10">
        <v>1465940047</v>
      </c>
      <c r="AR576" s="8"/>
      <c r="AS576" s="8"/>
      <c r="AT576" s="8"/>
      <c r="AU576" s="8"/>
      <c r="AV576" s="8"/>
      <c r="AW576" s="8"/>
      <c r="AX576" s="8"/>
      <c r="AY576" s="14">
        <v>44227</v>
      </c>
      <c r="AZ576" s="14">
        <v>43738</v>
      </c>
      <c r="BA576" s="14">
        <v>43738</v>
      </c>
      <c r="BB576" s="14">
        <v>43434</v>
      </c>
      <c r="BC576" s="8"/>
      <c r="BD576" s="8"/>
      <c r="BE576" s="8"/>
      <c r="BF576" s="8"/>
      <c r="BG576" s="8"/>
      <c r="BH576" s="8"/>
      <c r="BI576" s="8"/>
      <c r="BJ576" s="8" t="s">
        <v>35</v>
      </c>
      <c r="BK576" s="8" t="s">
        <v>35</v>
      </c>
      <c r="BL576" s="8" t="s">
        <v>35</v>
      </c>
      <c r="BM576" s="8" t="s">
        <v>35</v>
      </c>
      <c r="BN576" s="8"/>
      <c r="BO576" s="8"/>
      <c r="BP576" s="8"/>
      <c r="BQ576" s="8" t="s">
        <v>31</v>
      </c>
      <c r="BR576" s="8" t="s">
        <v>36</v>
      </c>
      <c r="BS576" s="10">
        <v>199974720536580</v>
      </c>
      <c r="BT576" s="8" t="s">
        <v>57</v>
      </c>
      <c r="BU576" s="8"/>
      <c r="BV576" s="8"/>
      <c r="BW576" s="8"/>
      <c r="BX576" s="8"/>
      <c r="BY576" s="8" t="s">
        <v>27</v>
      </c>
      <c r="BZ576" s="8" t="s">
        <v>27</v>
      </c>
      <c r="CA576" s="8" t="s">
        <v>27</v>
      </c>
      <c r="CB576" s="8" t="s">
        <v>27</v>
      </c>
      <c r="CC576" s="8"/>
      <c r="CD576" s="8"/>
      <c r="CE576" s="8"/>
      <c r="CF576" s="8" t="s">
        <v>70</v>
      </c>
      <c r="CG576" s="8" t="s">
        <v>71</v>
      </c>
    </row>
    <row r="577" spans="1:85" ht="15.75" customHeight="1" x14ac:dyDescent="0.35">
      <c r="A577" s="8">
        <v>570</v>
      </c>
      <c r="B577" s="8" t="s">
        <v>799</v>
      </c>
      <c r="C577" s="8"/>
      <c r="D577" s="8"/>
      <c r="E577" s="8"/>
      <c r="F577" s="8"/>
      <c r="G577" s="8"/>
      <c r="H577" s="8"/>
      <c r="I577" s="8"/>
      <c r="J577" s="8"/>
      <c r="K577" s="9">
        <v>9.3999999999999994E-5</v>
      </c>
      <c r="L577" s="9">
        <v>9.3999999999999994E-5</v>
      </c>
      <c r="M577" s="9">
        <v>7.4999999999999993E-5</v>
      </c>
      <c r="N577" s="8"/>
      <c r="O577" s="8"/>
      <c r="P577" s="8"/>
      <c r="Q577" s="8"/>
      <c r="R577" s="8"/>
      <c r="S577" s="8"/>
      <c r="T577" s="8"/>
      <c r="U577" s="8"/>
      <c r="V577" s="10">
        <v>8642400</v>
      </c>
      <c r="W577" s="10">
        <v>8642400</v>
      </c>
      <c r="X577" s="10">
        <v>6936400</v>
      </c>
      <c r="Y577" s="8"/>
      <c r="Z577" s="8"/>
      <c r="AA577" s="8"/>
      <c r="AB577" s="8"/>
      <c r="AC577" s="8"/>
      <c r="AD577" s="8"/>
      <c r="AE577" s="8"/>
      <c r="AF577" s="8"/>
      <c r="AG577" s="11">
        <v>0</v>
      </c>
      <c r="AH577" s="13">
        <v>1706000</v>
      </c>
      <c r="AI577" s="11">
        <v>0</v>
      </c>
      <c r="AJ577" s="8"/>
      <c r="AK577" s="8"/>
      <c r="AL577" s="8"/>
      <c r="AM577" s="8"/>
      <c r="AN577" s="8"/>
      <c r="AO577" s="8"/>
      <c r="AP577" s="8"/>
      <c r="AQ577" s="8"/>
      <c r="AR577" s="10">
        <v>22254180036</v>
      </c>
      <c r="AS577" s="10">
        <v>22254180036</v>
      </c>
      <c r="AT577" s="10">
        <v>14739849976.200001</v>
      </c>
      <c r="AU577" s="8"/>
      <c r="AV577" s="8"/>
      <c r="AW577" s="8"/>
      <c r="AX577" s="8"/>
      <c r="AY577" s="8"/>
      <c r="AZ577" s="8"/>
      <c r="BA577" s="8"/>
      <c r="BB577" s="8"/>
      <c r="BC577" s="14">
        <v>42460</v>
      </c>
      <c r="BD577" s="14">
        <v>42460</v>
      </c>
      <c r="BE577" s="14">
        <v>42338</v>
      </c>
      <c r="BF577" s="8"/>
      <c r="BG577" s="8"/>
      <c r="BH577" s="8"/>
      <c r="BI577" s="8"/>
      <c r="BJ577" s="8"/>
      <c r="BK577" s="8"/>
      <c r="BL577" s="8"/>
      <c r="BM577" s="8"/>
      <c r="BN577" s="8" t="s">
        <v>35</v>
      </c>
      <c r="BO577" s="8" t="s">
        <v>35</v>
      </c>
      <c r="BP577" s="8" t="s">
        <v>35</v>
      </c>
      <c r="BQ577" s="8" t="s">
        <v>31</v>
      </c>
      <c r="BR577" s="8" t="s">
        <v>36</v>
      </c>
      <c r="BS577" s="10">
        <v>162421706899721</v>
      </c>
      <c r="BT577" s="8" t="s">
        <v>57</v>
      </c>
      <c r="BU577" s="8"/>
      <c r="BV577" s="8"/>
      <c r="BW577" s="8"/>
      <c r="BX577" s="8"/>
      <c r="BY577" s="8"/>
      <c r="BZ577" s="8"/>
      <c r="CA577" s="8"/>
      <c r="CB577" s="8"/>
      <c r="CC577" s="8" t="s">
        <v>42</v>
      </c>
      <c r="CD577" s="8" t="s">
        <v>42</v>
      </c>
      <c r="CE577" s="8" t="s">
        <v>42</v>
      </c>
      <c r="CF577" s="8" t="s">
        <v>65</v>
      </c>
      <c r="CG577" s="8" t="s">
        <v>65</v>
      </c>
    </row>
    <row r="578" spans="1:85" ht="15.75" customHeight="1" x14ac:dyDescent="0.35">
      <c r="A578" s="8">
        <v>571</v>
      </c>
      <c r="B578" s="8" t="s">
        <v>800</v>
      </c>
      <c r="C578" s="8"/>
      <c r="D578" s="8"/>
      <c r="E578" s="8"/>
      <c r="F578" s="8"/>
      <c r="G578" s="8"/>
      <c r="H578" s="8"/>
      <c r="I578" s="8"/>
      <c r="J578" s="9">
        <v>0</v>
      </c>
      <c r="K578" s="9">
        <v>0</v>
      </c>
      <c r="L578" s="9">
        <v>1.06E-4</v>
      </c>
      <c r="M578" s="8"/>
      <c r="N578" s="8"/>
      <c r="O578" s="8"/>
      <c r="P578" s="8"/>
      <c r="Q578" s="8"/>
      <c r="R578" s="8"/>
      <c r="S578" s="8"/>
      <c r="T578" s="8"/>
      <c r="U578" s="10">
        <v>0</v>
      </c>
      <c r="V578" s="10">
        <v>0</v>
      </c>
      <c r="W578" s="10">
        <v>9764800</v>
      </c>
      <c r="X578" s="8"/>
      <c r="Y578" s="8"/>
      <c r="Z578" s="8"/>
      <c r="AA578" s="8"/>
      <c r="AB578" s="8"/>
      <c r="AC578" s="8"/>
      <c r="AD578" s="8"/>
      <c r="AE578" s="8"/>
      <c r="AF578" s="11">
        <v>0</v>
      </c>
      <c r="AG578" s="12">
        <v>-9764800</v>
      </c>
      <c r="AH578" s="13">
        <v>9764800</v>
      </c>
      <c r="AI578" s="8"/>
      <c r="AJ578" s="8"/>
      <c r="AK578" s="8"/>
      <c r="AL578" s="8"/>
      <c r="AM578" s="8"/>
      <c r="AN578" s="8"/>
      <c r="AO578" s="8"/>
      <c r="AP578" s="8"/>
      <c r="AQ578" s="10">
        <v>0</v>
      </c>
      <c r="AR578" s="10">
        <v>0</v>
      </c>
      <c r="AS578" s="10">
        <v>28256889970.200001</v>
      </c>
      <c r="AT578" s="8"/>
      <c r="AU578" s="8"/>
      <c r="AV578" s="8"/>
      <c r="AW578" s="8"/>
      <c r="AX578" s="8"/>
      <c r="AY578" s="8"/>
      <c r="AZ578" s="8"/>
      <c r="BA578" s="8"/>
      <c r="BB578" s="14">
        <v>42916</v>
      </c>
      <c r="BC578" s="14">
        <v>42916</v>
      </c>
      <c r="BD578" s="14">
        <v>42735</v>
      </c>
      <c r="BE578" s="8"/>
      <c r="BF578" s="8"/>
      <c r="BG578" s="8"/>
      <c r="BH578" s="8"/>
      <c r="BI578" s="8"/>
      <c r="BJ578" s="8"/>
      <c r="BK578" s="8"/>
      <c r="BL578" s="8"/>
      <c r="BM578" s="8" t="s">
        <v>35</v>
      </c>
      <c r="BN578" s="8" t="s">
        <v>35</v>
      </c>
      <c r="BO578" s="8" t="s">
        <v>35</v>
      </c>
      <c r="BP578" s="8"/>
      <c r="BQ578" s="8" t="s">
        <v>31</v>
      </c>
      <c r="BR578" s="8" t="s">
        <v>49</v>
      </c>
      <c r="BS578" s="10">
        <v>32539527518530.801</v>
      </c>
      <c r="BT578" s="8" t="s">
        <v>61</v>
      </c>
      <c r="BU578" s="8"/>
      <c r="BV578" s="8"/>
      <c r="BW578" s="8"/>
      <c r="BX578" s="8"/>
      <c r="BY578" s="8"/>
      <c r="BZ578" s="8"/>
      <c r="CA578" s="8"/>
      <c r="CB578" s="8" t="s">
        <v>27</v>
      </c>
      <c r="CC578" s="8" t="s">
        <v>42</v>
      </c>
      <c r="CD578" s="8" t="s">
        <v>27</v>
      </c>
      <c r="CE578" s="8"/>
      <c r="CF578" s="8" t="s">
        <v>117</v>
      </c>
      <c r="CG578" s="8" t="s">
        <v>118</v>
      </c>
    </row>
    <row r="579" spans="1:85" ht="15.75" customHeight="1" x14ac:dyDescent="0.35">
      <c r="A579" s="8">
        <v>572</v>
      </c>
      <c r="B579" s="8" t="s">
        <v>801</v>
      </c>
      <c r="C579" s="8"/>
      <c r="D579" s="8"/>
      <c r="E579" s="8"/>
      <c r="F579" s="8"/>
      <c r="G579" s="8"/>
      <c r="H579" s="8"/>
      <c r="I579" s="8"/>
      <c r="J579" s="8"/>
      <c r="K579" s="8"/>
      <c r="L579" s="9">
        <v>1.75E-4</v>
      </c>
      <c r="M579" s="9">
        <v>1.75E-4</v>
      </c>
      <c r="N579" s="8"/>
      <c r="O579" s="8"/>
      <c r="P579" s="8"/>
      <c r="Q579" s="8"/>
      <c r="R579" s="8"/>
      <c r="S579" s="8"/>
      <c r="T579" s="8"/>
      <c r="U579" s="8"/>
      <c r="V579" s="8"/>
      <c r="W579" s="10">
        <v>16130200</v>
      </c>
      <c r="X579" s="10">
        <v>16130200</v>
      </c>
      <c r="Y579" s="8"/>
      <c r="Z579" s="8"/>
      <c r="AA579" s="8"/>
      <c r="AB579" s="8"/>
      <c r="AC579" s="8"/>
      <c r="AD579" s="8"/>
      <c r="AE579" s="8"/>
      <c r="AF579" s="8"/>
      <c r="AG579" s="8"/>
      <c r="AH579" s="11">
        <v>0</v>
      </c>
      <c r="AI579" s="11">
        <v>0</v>
      </c>
      <c r="AJ579" s="8"/>
      <c r="AK579" s="8"/>
      <c r="AL579" s="8"/>
      <c r="AM579" s="8"/>
      <c r="AN579" s="8"/>
      <c r="AO579" s="8"/>
      <c r="AP579" s="8"/>
      <c r="AQ579" s="8"/>
      <c r="AR579" s="8"/>
      <c r="AS579" s="10">
        <v>40527127551.199997</v>
      </c>
      <c r="AT579" s="10">
        <v>40527127551.199997</v>
      </c>
      <c r="AU579" s="8"/>
      <c r="AV579" s="8"/>
      <c r="AW579" s="8"/>
      <c r="AX579" s="8"/>
      <c r="AY579" s="8"/>
      <c r="AZ579" s="8"/>
      <c r="BA579" s="8"/>
      <c r="BB579" s="8"/>
      <c r="BC579" s="8"/>
      <c r="BD579" s="14">
        <v>42185</v>
      </c>
      <c r="BE579" s="14">
        <v>42185</v>
      </c>
      <c r="BF579" s="8"/>
      <c r="BG579" s="8"/>
      <c r="BH579" s="8"/>
      <c r="BI579" s="8"/>
      <c r="BJ579" s="8"/>
      <c r="BK579" s="8"/>
      <c r="BL579" s="8"/>
      <c r="BM579" s="8"/>
      <c r="BN579" s="8"/>
      <c r="BO579" s="8" t="s">
        <v>35</v>
      </c>
      <c r="BP579" s="8" t="s">
        <v>35</v>
      </c>
      <c r="BQ579" s="8" t="s">
        <v>31</v>
      </c>
      <c r="BR579" s="8" t="s">
        <v>49</v>
      </c>
      <c r="BS579" s="10">
        <v>206854639263.60001</v>
      </c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 t="s">
        <v>27</v>
      </c>
      <c r="CE579" s="8" t="s">
        <v>27</v>
      </c>
      <c r="CF579" s="8" t="s">
        <v>73</v>
      </c>
      <c r="CG579" s="8" t="s">
        <v>39</v>
      </c>
    </row>
    <row r="580" spans="1:85" ht="15.75" customHeight="1" x14ac:dyDescent="0.35">
      <c r="A580" s="8">
        <v>573</v>
      </c>
      <c r="B580" s="8" t="s">
        <v>802</v>
      </c>
      <c r="C580" s="8"/>
      <c r="D580" s="8"/>
      <c r="E580" s="8"/>
      <c r="F580" s="8"/>
      <c r="G580" s="8"/>
      <c r="H580" s="8"/>
      <c r="I580" s="8"/>
      <c r="J580" s="8"/>
      <c r="K580" s="8"/>
      <c r="L580" s="9">
        <v>0</v>
      </c>
      <c r="M580" s="9">
        <v>0</v>
      </c>
      <c r="N580" s="8"/>
      <c r="O580" s="8"/>
      <c r="P580" s="8"/>
      <c r="Q580" s="8"/>
      <c r="R580" s="8"/>
      <c r="S580" s="8"/>
      <c r="T580" s="8"/>
      <c r="U580" s="8"/>
      <c r="V580" s="8"/>
      <c r="W580" s="10">
        <v>0</v>
      </c>
      <c r="X580" s="10">
        <v>0</v>
      </c>
      <c r="Y580" s="8"/>
      <c r="Z580" s="8"/>
      <c r="AA580" s="8"/>
      <c r="AB580" s="8"/>
      <c r="AC580" s="8"/>
      <c r="AD580" s="8"/>
      <c r="AE580" s="8"/>
      <c r="AF580" s="8"/>
      <c r="AG580" s="8"/>
      <c r="AH580" s="11">
        <v>0</v>
      </c>
      <c r="AI580" s="11">
        <v>0</v>
      </c>
      <c r="AJ580" s="8"/>
      <c r="AK580" s="8"/>
      <c r="AL580" s="8"/>
      <c r="AM580" s="8"/>
      <c r="AN580" s="8"/>
      <c r="AO580" s="8"/>
      <c r="AP580" s="8"/>
      <c r="AQ580" s="8"/>
      <c r="AR580" s="8"/>
      <c r="AS580" s="10">
        <v>0</v>
      </c>
      <c r="AT580" s="10">
        <v>0</v>
      </c>
      <c r="AU580" s="8"/>
      <c r="AV580" s="8"/>
      <c r="AW580" s="8"/>
      <c r="AX580" s="8"/>
      <c r="AY580" s="8"/>
      <c r="AZ580" s="8"/>
      <c r="BA580" s="8"/>
      <c r="BB580" s="8"/>
      <c r="BC580" s="8"/>
      <c r="BD580" s="14">
        <v>42308</v>
      </c>
      <c r="BE580" s="14">
        <v>42308</v>
      </c>
      <c r="BF580" s="8"/>
      <c r="BG580" s="8"/>
      <c r="BH580" s="8"/>
      <c r="BI580" s="8"/>
      <c r="BJ580" s="8"/>
      <c r="BK580" s="8"/>
      <c r="BL580" s="8"/>
      <c r="BM580" s="8"/>
      <c r="BN580" s="8"/>
      <c r="BO580" s="8" t="s">
        <v>35</v>
      </c>
      <c r="BP580" s="8" t="s">
        <v>35</v>
      </c>
      <c r="BQ580" s="8" t="s">
        <v>31</v>
      </c>
      <c r="BR580" s="8" t="s">
        <v>36</v>
      </c>
      <c r="BS580" s="10">
        <v>190159427350964</v>
      </c>
      <c r="BT580" s="8" t="s">
        <v>57</v>
      </c>
      <c r="BU580" s="8"/>
      <c r="BV580" s="8"/>
      <c r="BW580" s="8"/>
      <c r="BX580" s="8"/>
      <c r="BY580" s="8"/>
      <c r="BZ580" s="8"/>
      <c r="CA580" s="8"/>
      <c r="CB580" s="8"/>
      <c r="CC580" s="8"/>
      <c r="CD580" s="8" t="s">
        <v>27</v>
      </c>
      <c r="CE580" s="8" t="s">
        <v>27</v>
      </c>
      <c r="CF580" s="8" t="s">
        <v>803</v>
      </c>
      <c r="CG580" s="8" t="s">
        <v>539</v>
      </c>
    </row>
    <row r="581" spans="1:85" ht="15.75" customHeight="1" x14ac:dyDescent="0.35">
      <c r="A581" s="8">
        <v>574</v>
      </c>
      <c r="B581" s="8" t="s">
        <v>804</v>
      </c>
      <c r="C581" s="8"/>
      <c r="D581" s="8"/>
      <c r="E581" s="8"/>
      <c r="F581" s="8"/>
      <c r="G581" s="9">
        <v>1.12E-4</v>
      </c>
      <c r="H581" s="9">
        <v>1.12E-4</v>
      </c>
      <c r="I581" s="9">
        <v>7.6000000000000004E-5</v>
      </c>
      <c r="J581" s="9">
        <v>6.0999999999999999E-5</v>
      </c>
      <c r="K581" s="8"/>
      <c r="L581" s="8"/>
      <c r="M581" s="8"/>
      <c r="N581" s="8"/>
      <c r="O581" s="8"/>
      <c r="P581" s="8"/>
      <c r="Q581" s="8"/>
      <c r="R581" s="10">
        <v>10327600</v>
      </c>
      <c r="S581" s="10">
        <v>10327600</v>
      </c>
      <c r="T581" s="10">
        <v>6991800</v>
      </c>
      <c r="U581" s="10">
        <v>5645800</v>
      </c>
      <c r="V581" s="8"/>
      <c r="W581" s="8"/>
      <c r="X581" s="8"/>
      <c r="Y581" s="8"/>
      <c r="Z581" s="8"/>
      <c r="AA581" s="8"/>
      <c r="AB581" s="8"/>
      <c r="AC581" s="11">
        <v>0</v>
      </c>
      <c r="AD581" s="13">
        <v>3335800</v>
      </c>
      <c r="AE581" s="13">
        <v>1346000</v>
      </c>
      <c r="AF581" s="13">
        <v>5645800</v>
      </c>
      <c r="AG581" s="8"/>
      <c r="AH581" s="8"/>
      <c r="AI581" s="8"/>
      <c r="AJ581" s="8"/>
      <c r="AK581" s="8"/>
      <c r="AL581" s="8"/>
      <c r="AM581" s="8"/>
      <c r="AN581" s="10">
        <v>23030547957</v>
      </c>
      <c r="AO581" s="10">
        <v>23030547957</v>
      </c>
      <c r="AP581" s="10">
        <v>24383902539</v>
      </c>
      <c r="AQ581" s="10">
        <v>20561422700</v>
      </c>
      <c r="AR581" s="8"/>
      <c r="AS581" s="8"/>
      <c r="AT581" s="8"/>
      <c r="AU581" s="8"/>
      <c r="AV581" s="8"/>
      <c r="AW581" s="8"/>
      <c r="AX581" s="8"/>
      <c r="AY581" s="14">
        <v>43951</v>
      </c>
      <c r="AZ581" s="14">
        <v>43951</v>
      </c>
      <c r="BA581" s="14">
        <v>43799</v>
      </c>
      <c r="BB581" s="14">
        <v>43465</v>
      </c>
      <c r="BC581" s="8"/>
      <c r="BD581" s="8"/>
      <c r="BE581" s="8"/>
      <c r="BF581" s="8"/>
      <c r="BG581" s="8"/>
      <c r="BH581" s="8"/>
      <c r="BI581" s="8"/>
      <c r="BJ581" s="8" t="s">
        <v>35</v>
      </c>
      <c r="BK581" s="8" t="s">
        <v>35</v>
      </c>
      <c r="BL581" s="8" t="s">
        <v>35</v>
      </c>
      <c r="BM581" s="8" t="s">
        <v>35</v>
      </c>
      <c r="BN581" s="8"/>
      <c r="BO581" s="8"/>
      <c r="BP581" s="8"/>
      <c r="BQ581" s="8" t="s">
        <v>31</v>
      </c>
      <c r="BR581" s="8" t="s">
        <v>36</v>
      </c>
      <c r="BS581" s="10">
        <v>1045006867057.2</v>
      </c>
      <c r="BT581" s="8"/>
      <c r="BU581" s="8"/>
      <c r="BV581" s="8"/>
      <c r="BW581" s="8"/>
      <c r="BX581" s="8"/>
      <c r="BY581" s="8" t="s">
        <v>27</v>
      </c>
      <c r="BZ581" s="8" t="s">
        <v>43</v>
      </c>
      <c r="CA581" s="8" t="s">
        <v>42</v>
      </c>
      <c r="CB581" s="8" t="s">
        <v>42</v>
      </c>
      <c r="CC581" s="8"/>
      <c r="CD581" s="8"/>
      <c r="CE581" s="8"/>
      <c r="CF581" s="8" t="s">
        <v>70</v>
      </c>
      <c r="CG581" s="8" t="s">
        <v>71</v>
      </c>
    </row>
    <row r="582" spans="1:85" ht="15.75" hidden="1" customHeight="1" x14ac:dyDescent="0.35">
      <c r="A582" s="8">
        <v>575</v>
      </c>
      <c r="B582" s="8" t="s">
        <v>805</v>
      </c>
      <c r="C582" s="8"/>
      <c r="D582" s="8"/>
      <c r="E582" s="8"/>
      <c r="F582" s="8"/>
      <c r="G582" s="8"/>
      <c r="H582" s="9">
        <v>3.3000000000000003E-5</v>
      </c>
      <c r="I582" s="9">
        <v>1.5E-5</v>
      </c>
      <c r="J582" s="9">
        <v>5.0000000000000004E-6</v>
      </c>
      <c r="K582" s="8"/>
      <c r="L582" s="8"/>
      <c r="M582" s="8"/>
      <c r="N582" s="8"/>
      <c r="O582" s="8"/>
      <c r="P582" s="8"/>
      <c r="Q582" s="8"/>
      <c r="R582" s="8"/>
      <c r="S582" s="10">
        <v>3058200</v>
      </c>
      <c r="T582" s="10">
        <v>1368200</v>
      </c>
      <c r="U582" s="10">
        <v>484400</v>
      </c>
      <c r="V582" s="8"/>
      <c r="W582" s="8"/>
      <c r="X582" s="8"/>
      <c r="Y582" s="8"/>
      <c r="Z582" s="8"/>
      <c r="AA582" s="8"/>
      <c r="AB582" s="8"/>
      <c r="AC582" s="8"/>
      <c r="AD582" s="13">
        <v>1690000</v>
      </c>
      <c r="AE582" s="13">
        <v>883800</v>
      </c>
      <c r="AF582" s="13">
        <v>484400</v>
      </c>
      <c r="AG582" s="8"/>
      <c r="AH582" s="8"/>
      <c r="AI582" s="8"/>
      <c r="AJ582" s="8"/>
      <c r="AK582" s="8"/>
      <c r="AL582" s="8"/>
      <c r="AM582" s="8"/>
      <c r="AN582" s="8"/>
      <c r="AO582" s="10">
        <v>9671557474.7999992</v>
      </c>
      <c r="AP582" s="10">
        <v>5235379988.8000002</v>
      </c>
      <c r="AQ582" s="10">
        <v>1764134931.25</v>
      </c>
      <c r="AR582" s="8"/>
      <c r="AS582" s="8"/>
      <c r="AT582" s="8"/>
      <c r="AU582" s="8"/>
      <c r="AV582" s="8"/>
      <c r="AW582" s="8"/>
      <c r="AX582" s="8"/>
      <c r="AY582" s="8"/>
      <c r="AZ582" s="14">
        <v>44196</v>
      </c>
      <c r="BA582" s="14">
        <v>43830</v>
      </c>
      <c r="BB582" s="14">
        <v>43465</v>
      </c>
      <c r="BC582" s="8"/>
      <c r="BD582" s="8"/>
      <c r="BE582" s="8"/>
      <c r="BF582" s="8"/>
      <c r="BG582" s="8"/>
      <c r="BH582" s="8"/>
      <c r="BI582" s="8"/>
      <c r="BJ582" s="8"/>
      <c r="BK582" s="8" t="s">
        <v>201</v>
      </c>
      <c r="BL582" s="8" t="s">
        <v>201</v>
      </c>
      <c r="BM582" s="8" t="s">
        <v>201</v>
      </c>
      <c r="BN582" s="8"/>
      <c r="BO582" s="8"/>
      <c r="BP582" s="8"/>
      <c r="BQ582" s="8" t="s">
        <v>25</v>
      </c>
      <c r="BR582" s="8" t="s">
        <v>202</v>
      </c>
      <c r="BS582" s="10">
        <v>11490140931.6</v>
      </c>
      <c r="BT582" s="8"/>
      <c r="BU582" s="8"/>
      <c r="BV582" s="8"/>
      <c r="BW582" s="8"/>
      <c r="BX582" s="8"/>
      <c r="BY582" s="8"/>
      <c r="BZ582" s="8" t="s">
        <v>27</v>
      </c>
      <c r="CA582" s="8" t="s">
        <v>27</v>
      </c>
      <c r="CB582" s="8" t="s">
        <v>27</v>
      </c>
      <c r="CC582" s="8"/>
      <c r="CD582" s="8"/>
      <c r="CE582" s="8"/>
      <c r="CF582" s="8"/>
      <c r="CG582" s="8" t="s">
        <v>29</v>
      </c>
    </row>
    <row r="583" spans="1:85" ht="15.75" customHeight="1" x14ac:dyDescent="0.35">
      <c r="A583" s="8">
        <v>576</v>
      </c>
      <c r="B583" s="8" t="s">
        <v>806</v>
      </c>
      <c r="C583" s="8"/>
      <c r="D583" s="9">
        <v>0</v>
      </c>
      <c r="E583" s="9">
        <v>0</v>
      </c>
      <c r="F583" s="9">
        <v>1.5E-5</v>
      </c>
      <c r="G583" s="9">
        <v>0</v>
      </c>
      <c r="H583" s="9">
        <v>0</v>
      </c>
      <c r="I583" s="8"/>
      <c r="J583" s="8"/>
      <c r="K583" s="8"/>
      <c r="L583" s="8"/>
      <c r="M583" s="8"/>
      <c r="N583" s="8"/>
      <c r="O583" s="10">
        <v>0</v>
      </c>
      <c r="P583" s="10">
        <v>0</v>
      </c>
      <c r="Q583" s="10">
        <v>1388800</v>
      </c>
      <c r="R583" s="10">
        <v>0</v>
      </c>
      <c r="S583" s="10">
        <v>0</v>
      </c>
      <c r="T583" s="8"/>
      <c r="U583" s="8"/>
      <c r="V583" s="8"/>
      <c r="W583" s="8"/>
      <c r="X583" s="8"/>
      <c r="Y583" s="8"/>
      <c r="Z583" s="11">
        <v>0</v>
      </c>
      <c r="AA583" s="12">
        <v>-1388800</v>
      </c>
      <c r="AB583" s="13">
        <v>1388800</v>
      </c>
      <c r="AC583" s="11">
        <v>0</v>
      </c>
      <c r="AD583" s="11">
        <v>0</v>
      </c>
      <c r="AE583" s="8"/>
      <c r="AF583" s="8"/>
      <c r="AG583" s="8"/>
      <c r="AH583" s="8"/>
      <c r="AI583" s="8"/>
      <c r="AJ583" s="8"/>
      <c r="AK583" s="10">
        <v>0</v>
      </c>
      <c r="AL583" s="10">
        <v>0</v>
      </c>
      <c r="AM583" s="10">
        <v>6891920041.0500002</v>
      </c>
      <c r="AN583" s="10">
        <v>0</v>
      </c>
      <c r="AO583" s="10">
        <v>0</v>
      </c>
      <c r="AP583" s="8"/>
      <c r="AQ583" s="8"/>
      <c r="AR583" s="8"/>
      <c r="AS583" s="8"/>
      <c r="AT583" s="8"/>
      <c r="AU583" s="8"/>
      <c r="AV583" s="14">
        <v>45107</v>
      </c>
      <c r="AW583" s="14">
        <v>45107</v>
      </c>
      <c r="AX583" s="14">
        <v>44926</v>
      </c>
      <c r="AY583" s="14">
        <v>44196</v>
      </c>
      <c r="AZ583" s="14">
        <v>44196</v>
      </c>
      <c r="BA583" s="8"/>
      <c r="BB583" s="8"/>
      <c r="BC583" s="8"/>
      <c r="BD583" s="8"/>
      <c r="BE583" s="8"/>
      <c r="BF583" s="8"/>
      <c r="BG583" s="8" t="s">
        <v>35</v>
      </c>
      <c r="BH583" s="8" t="s">
        <v>35</v>
      </c>
      <c r="BI583" s="8" t="s">
        <v>35</v>
      </c>
      <c r="BJ583" s="8" t="s">
        <v>35</v>
      </c>
      <c r="BK583" s="8" t="s">
        <v>35</v>
      </c>
      <c r="BL583" s="8"/>
      <c r="BM583" s="8"/>
      <c r="BN583" s="8"/>
      <c r="BO583" s="8"/>
      <c r="BP583" s="8"/>
      <c r="BQ583" s="8" t="s">
        <v>31</v>
      </c>
      <c r="BR583" s="8" t="s">
        <v>36</v>
      </c>
      <c r="BS583" s="10">
        <v>2488302870889.2002</v>
      </c>
      <c r="BT583" s="8"/>
      <c r="BU583" s="8"/>
      <c r="BV583" s="8" t="s">
        <v>42</v>
      </c>
      <c r="BW583" s="8" t="s">
        <v>42</v>
      </c>
      <c r="BX583" s="8" t="s">
        <v>27</v>
      </c>
      <c r="BY583" s="8" t="s">
        <v>27</v>
      </c>
      <c r="BZ583" s="8" t="s">
        <v>43</v>
      </c>
      <c r="CA583" s="8"/>
      <c r="CB583" s="8"/>
      <c r="CC583" s="8"/>
      <c r="CD583" s="8"/>
      <c r="CE583" s="8"/>
      <c r="CF583" s="8" t="s">
        <v>180</v>
      </c>
      <c r="CG583" s="8" t="s">
        <v>181</v>
      </c>
    </row>
    <row r="584" spans="1:85" ht="15.75" customHeight="1" x14ac:dyDescent="0.35">
      <c r="A584" s="8">
        <v>577</v>
      </c>
      <c r="B584" s="8" t="s">
        <v>807</v>
      </c>
      <c r="C584" s="8"/>
      <c r="D584" s="9">
        <v>0</v>
      </c>
      <c r="E584" s="9">
        <v>0</v>
      </c>
      <c r="F584" s="9">
        <v>6.9999999999999999E-6</v>
      </c>
      <c r="G584" s="9">
        <v>3.1999999999999999E-5</v>
      </c>
      <c r="H584" s="8"/>
      <c r="I584" s="8"/>
      <c r="J584" s="8"/>
      <c r="K584" s="9">
        <v>3.6200000000000002E-4</v>
      </c>
      <c r="L584" s="9">
        <v>3.6200000000000002E-4</v>
      </c>
      <c r="M584" s="9">
        <v>3.9199999999999999E-4</v>
      </c>
      <c r="N584" s="8"/>
      <c r="O584" s="10">
        <v>0</v>
      </c>
      <c r="P584" s="10">
        <v>0</v>
      </c>
      <c r="Q584" s="10">
        <v>673800</v>
      </c>
      <c r="R584" s="10">
        <v>2966400</v>
      </c>
      <c r="S584" s="8"/>
      <c r="T584" s="8"/>
      <c r="U584" s="8"/>
      <c r="V584" s="10">
        <v>33475612</v>
      </c>
      <c r="W584" s="10">
        <v>33475612</v>
      </c>
      <c r="X584" s="10">
        <v>36182852</v>
      </c>
      <c r="Y584" s="8"/>
      <c r="Z584" s="11">
        <v>0</v>
      </c>
      <c r="AA584" s="12">
        <v>-673800</v>
      </c>
      <c r="AB584" s="12">
        <v>-2292600</v>
      </c>
      <c r="AC584" s="13">
        <v>2966400</v>
      </c>
      <c r="AD584" s="8"/>
      <c r="AE584" s="8"/>
      <c r="AF584" s="8"/>
      <c r="AG584" s="11">
        <v>0</v>
      </c>
      <c r="AH584" s="12">
        <v>-2707240</v>
      </c>
      <c r="AI584" s="12">
        <v>-23509200</v>
      </c>
      <c r="AJ584" s="8"/>
      <c r="AK584" s="10">
        <v>0</v>
      </c>
      <c r="AL584" s="10">
        <v>0</v>
      </c>
      <c r="AM584" s="10">
        <v>2669932473.75</v>
      </c>
      <c r="AN584" s="10">
        <v>10408523617.5</v>
      </c>
      <c r="AO584" s="8"/>
      <c r="AP584" s="8"/>
      <c r="AQ584" s="8"/>
      <c r="AR584" s="10">
        <v>96870052286.100006</v>
      </c>
      <c r="AS584" s="10">
        <v>96870052286.100006</v>
      </c>
      <c r="AT584" s="10">
        <v>83703205528.050003</v>
      </c>
      <c r="AU584" s="8"/>
      <c r="AV584" s="14">
        <v>45291</v>
      </c>
      <c r="AW584" s="14">
        <v>45291</v>
      </c>
      <c r="AX584" s="14">
        <v>44742</v>
      </c>
      <c r="AY584" s="14">
        <v>44561</v>
      </c>
      <c r="AZ584" s="8"/>
      <c r="BA584" s="8"/>
      <c r="BB584" s="8"/>
      <c r="BC584" s="14">
        <v>42735</v>
      </c>
      <c r="BD584" s="14">
        <v>42735</v>
      </c>
      <c r="BE584" s="14">
        <v>42369</v>
      </c>
      <c r="BF584" s="8"/>
      <c r="BG584" s="8" t="s">
        <v>35</v>
      </c>
      <c r="BH584" s="8" t="s">
        <v>35</v>
      </c>
      <c r="BI584" s="8" t="s">
        <v>35</v>
      </c>
      <c r="BJ584" s="8" t="s">
        <v>35</v>
      </c>
      <c r="BK584" s="8"/>
      <c r="BL584" s="8"/>
      <c r="BM584" s="8"/>
      <c r="BN584" s="8" t="s">
        <v>35</v>
      </c>
      <c r="BO584" s="8" t="s">
        <v>35</v>
      </c>
      <c r="BP584" s="8" t="s">
        <v>35</v>
      </c>
      <c r="BQ584" s="8" t="s">
        <v>31</v>
      </c>
      <c r="BR584" s="8" t="s">
        <v>53</v>
      </c>
      <c r="BS584" s="10">
        <v>479173063339385</v>
      </c>
      <c r="BT584" s="8" t="s">
        <v>57</v>
      </c>
      <c r="BU584" s="8"/>
      <c r="BV584" s="8" t="s">
        <v>27</v>
      </c>
      <c r="BW584" s="8" t="s">
        <v>27</v>
      </c>
      <c r="BX584" s="8" t="s">
        <v>27</v>
      </c>
      <c r="BY584" s="8" t="s">
        <v>42</v>
      </c>
      <c r="BZ584" s="8"/>
      <c r="CA584" s="8"/>
      <c r="CB584" s="8"/>
      <c r="CC584" s="8" t="s">
        <v>27</v>
      </c>
      <c r="CD584" s="8" t="s">
        <v>42</v>
      </c>
      <c r="CE584" s="8" t="s">
        <v>27</v>
      </c>
      <c r="CF584" s="8" t="s">
        <v>212</v>
      </c>
      <c r="CG584" s="8" t="s">
        <v>213</v>
      </c>
    </row>
    <row r="585" spans="1:85" ht="15.75" customHeight="1" x14ac:dyDescent="0.35">
      <c r="A585" s="8">
        <v>578</v>
      </c>
      <c r="B585" s="8" t="s">
        <v>808</v>
      </c>
      <c r="C585" s="8"/>
      <c r="D585" s="8"/>
      <c r="E585" s="8"/>
      <c r="F585" s="8"/>
      <c r="G585" s="8"/>
      <c r="H585" s="8"/>
      <c r="I585" s="8"/>
      <c r="J585" s="8"/>
      <c r="K585" s="9">
        <v>0</v>
      </c>
      <c r="L585" s="9">
        <v>1.5E-5</v>
      </c>
      <c r="M585" s="8"/>
      <c r="N585" s="8"/>
      <c r="O585" s="8"/>
      <c r="P585" s="8"/>
      <c r="Q585" s="8"/>
      <c r="R585" s="8"/>
      <c r="S585" s="8"/>
      <c r="T585" s="8"/>
      <c r="U585" s="8"/>
      <c r="V585" s="10">
        <v>0</v>
      </c>
      <c r="W585" s="10">
        <v>1386800</v>
      </c>
      <c r="X585" s="8"/>
      <c r="Y585" s="8"/>
      <c r="Z585" s="8"/>
      <c r="AA585" s="8"/>
      <c r="AB585" s="8"/>
      <c r="AC585" s="8"/>
      <c r="AD585" s="8"/>
      <c r="AE585" s="8"/>
      <c r="AF585" s="8"/>
      <c r="AG585" s="12">
        <v>-1386800</v>
      </c>
      <c r="AH585" s="13">
        <v>1386800</v>
      </c>
      <c r="AI585" s="8"/>
      <c r="AJ585" s="8"/>
      <c r="AK585" s="8"/>
      <c r="AL585" s="8"/>
      <c r="AM585" s="8"/>
      <c r="AN585" s="8"/>
      <c r="AO585" s="8"/>
      <c r="AP585" s="8"/>
      <c r="AQ585" s="8"/>
      <c r="AR585" s="10">
        <v>0</v>
      </c>
      <c r="AS585" s="10">
        <v>4013052444</v>
      </c>
      <c r="AT585" s="8"/>
      <c r="AU585" s="8"/>
      <c r="AV585" s="8"/>
      <c r="AW585" s="8"/>
      <c r="AX585" s="8"/>
      <c r="AY585" s="8"/>
      <c r="AZ585" s="8"/>
      <c r="BA585" s="8"/>
      <c r="BB585" s="8"/>
      <c r="BC585" s="14">
        <v>42766</v>
      </c>
      <c r="BD585" s="14">
        <v>42735</v>
      </c>
      <c r="BE585" s="8"/>
      <c r="BF585" s="8"/>
      <c r="BG585" s="8"/>
      <c r="BH585" s="8"/>
      <c r="BI585" s="8"/>
      <c r="BJ585" s="8"/>
      <c r="BK585" s="8"/>
      <c r="BL585" s="8"/>
      <c r="BM585" s="8"/>
      <c r="BN585" s="8" t="s">
        <v>35</v>
      </c>
      <c r="BO585" s="8" t="s">
        <v>35</v>
      </c>
      <c r="BP585" s="8"/>
      <c r="BQ585" s="8" t="s">
        <v>31</v>
      </c>
      <c r="BR585" s="8" t="s">
        <v>49</v>
      </c>
      <c r="BS585" s="10">
        <v>1900922500215.6001</v>
      </c>
      <c r="BT585" s="8" t="s">
        <v>41</v>
      </c>
      <c r="BU585" s="8"/>
      <c r="BV585" s="8"/>
      <c r="BW585" s="8"/>
      <c r="BX585" s="8"/>
      <c r="BY585" s="8"/>
      <c r="BZ585" s="8"/>
      <c r="CA585" s="8"/>
      <c r="CB585" s="8"/>
      <c r="CC585" s="8" t="s">
        <v>42</v>
      </c>
      <c r="CD585" s="8" t="s">
        <v>42</v>
      </c>
      <c r="CE585" s="8"/>
      <c r="CF585" s="8" t="s">
        <v>258</v>
      </c>
      <c r="CG585" s="8" t="s">
        <v>71</v>
      </c>
    </row>
    <row r="586" spans="1:85" ht="15.75" customHeight="1" x14ac:dyDescent="0.35">
      <c r="A586" s="8">
        <v>579</v>
      </c>
      <c r="B586" s="8" t="s">
        <v>809</v>
      </c>
      <c r="C586" s="8"/>
      <c r="D586" s="8"/>
      <c r="E586" s="8"/>
      <c r="F586" s="8"/>
      <c r="G586" s="8"/>
      <c r="H586" s="9">
        <v>2.3E-5</v>
      </c>
      <c r="I586" s="9">
        <v>2.3E-5</v>
      </c>
      <c r="J586" s="8"/>
      <c r="K586" s="8"/>
      <c r="L586" s="8"/>
      <c r="M586" s="8"/>
      <c r="N586" s="8"/>
      <c r="O586" s="8"/>
      <c r="P586" s="8"/>
      <c r="Q586" s="8"/>
      <c r="R586" s="8"/>
      <c r="S586" s="10">
        <v>2133800</v>
      </c>
      <c r="T586" s="10">
        <v>2133800</v>
      </c>
      <c r="U586" s="8"/>
      <c r="V586" s="8"/>
      <c r="W586" s="8"/>
      <c r="X586" s="8"/>
      <c r="Y586" s="8"/>
      <c r="Z586" s="8"/>
      <c r="AA586" s="8"/>
      <c r="AB586" s="8"/>
      <c r="AC586" s="8"/>
      <c r="AD586" s="11">
        <v>0</v>
      </c>
      <c r="AE586" s="13">
        <v>2133800</v>
      </c>
      <c r="AF586" s="8"/>
      <c r="AG586" s="8"/>
      <c r="AH586" s="8"/>
      <c r="AI586" s="8"/>
      <c r="AJ586" s="8"/>
      <c r="AK586" s="8"/>
      <c r="AL586" s="8"/>
      <c r="AM586" s="8"/>
      <c r="AN586" s="8"/>
      <c r="AO586" s="10">
        <v>7441627502.1000004</v>
      </c>
      <c r="AP586" s="10">
        <v>7441627502.1000004</v>
      </c>
      <c r="AQ586" s="8"/>
      <c r="AR586" s="8"/>
      <c r="AS586" s="8"/>
      <c r="AT586" s="8"/>
      <c r="AU586" s="8"/>
      <c r="AV586" s="8"/>
      <c r="AW586" s="8"/>
      <c r="AX586" s="8"/>
      <c r="AY586" s="8"/>
      <c r="AZ586" s="14">
        <v>43738</v>
      </c>
      <c r="BA586" s="14">
        <v>43738</v>
      </c>
      <c r="BB586" s="8"/>
      <c r="BC586" s="8"/>
      <c r="BD586" s="8"/>
      <c r="BE586" s="8"/>
      <c r="BF586" s="8"/>
      <c r="BG586" s="8"/>
      <c r="BH586" s="8"/>
      <c r="BI586" s="8"/>
      <c r="BJ586" s="8"/>
      <c r="BK586" s="8" t="s">
        <v>35</v>
      </c>
      <c r="BL586" s="8" t="s">
        <v>35</v>
      </c>
      <c r="BM586" s="8"/>
      <c r="BN586" s="8"/>
      <c r="BO586" s="8"/>
      <c r="BP586" s="8"/>
      <c r="BQ586" s="8" t="s">
        <v>31</v>
      </c>
      <c r="BR586" s="8" t="s">
        <v>49</v>
      </c>
      <c r="BS586" s="10">
        <v>14522904169940.4</v>
      </c>
      <c r="BT586" s="8"/>
      <c r="BU586" s="8"/>
      <c r="BV586" s="8"/>
      <c r="BW586" s="8"/>
      <c r="BX586" s="8"/>
      <c r="BY586" s="8"/>
      <c r="BZ586" s="8" t="s">
        <v>43</v>
      </c>
      <c r="CA586" s="8" t="s">
        <v>43</v>
      </c>
      <c r="CB586" s="8"/>
      <c r="CC586" s="8"/>
      <c r="CD586" s="8"/>
      <c r="CE586" s="8"/>
      <c r="CF586" s="8" t="s">
        <v>98</v>
      </c>
      <c r="CG586" s="8" t="s">
        <v>99</v>
      </c>
    </row>
    <row r="587" spans="1:85" ht="15.75" customHeight="1" x14ac:dyDescent="0.35">
      <c r="A587" s="8">
        <v>580</v>
      </c>
      <c r="B587" s="8" t="s">
        <v>810</v>
      </c>
      <c r="C587" s="8"/>
      <c r="D587" s="8"/>
      <c r="E587" s="8"/>
      <c r="F587" s="8"/>
      <c r="G587" s="9">
        <v>0</v>
      </c>
      <c r="H587" s="9">
        <v>0</v>
      </c>
      <c r="I587" s="9">
        <v>1.1E-5</v>
      </c>
      <c r="J587" s="9">
        <v>6.9999999999999999E-6</v>
      </c>
      <c r="K587" s="9">
        <v>1.0000000000000001E-5</v>
      </c>
      <c r="L587" s="8"/>
      <c r="M587" s="8"/>
      <c r="N587" s="8"/>
      <c r="O587" s="8"/>
      <c r="P587" s="8"/>
      <c r="Q587" s="8"/>
      <c r="R587" s="10">
        <v>0</v>
      </c>
      <c r="S587" s="10">
        <v>0</v>
      </c>
      <c r="T587" s="10">
        <v>1058400</v>
      </c>
      <c r="U587" s="10">
        <v>676200</v>
      </c>
      <c r="V587" s="10">
        <v>926000</v>
      </c>
      <c r="W587" s="8"/>
      <c r="X587" s="8"/>
      <c r="Y587" s="8"/>
      <c r="Z587" s="8"/>
      <c r="AA587" s="8"/>
      <c r="AB587" s="8"/>
      <c r="AC587" s="11">
        <v>0</v>
      </c>
      <c r="AD587" s="12">
        <v>-1058400</v>
      </c>
      <c r="AE587" s="13">
        <v>382200</v>
      </c>
      <c r="AF587" s="12">
        <v>-249800</v>
      </c>
      <c r="AG587" s="13">
        <v>926000</v>
      </c>
      <c r="AH587" s="8"/>
      <c r="AI587" s="8"/>
      <c r="AJ587" s="8"/>
      <c r="AK587" s="8"/>
      <c r="AL587" s="8"/>
      <c r="AM587" s="8"/>
      <c r="AN587" s="10">
        <v>0</v>
      </c>
      <c r="AO587" s="10">
        <v>0</v>
      </c>
      <c r="AP587" s="10">
        <v>4049938740.4000001</v>
      </c>
      <c r="AQ587" s="10">
        <v>2462650825</v>
      </c>
      <c r="AR587" s="10">
        <v>3704000027.9000001</v>
      </c>
      <c r="AS587" s="8"/>
      <c r="AT587" s="8"/>
      <c r="AU587" s="8"/>
      <c r="AV587" s="8"/>
      <c r="AW587" s="8"/>
      <c r="AX587" s="8"/>
      <c r="AY587" s="14">
        <v>44196</v>
      </c>
      <c r="AZ587" s="14">
        <v>44196</v>
      </c>
      <c r="BA587" s="14">
        <v>43830</v>
      </c>
      <c r="BB587" s="14">
        <v>43465</v>
      </c>
      <c r="BC587" s="14">
        <v>43100</v>
      </c>
      <c r="BD587" s="8"/>
      <c r="BE587" s="8"/>
      <c r="BF587" s="8"/>
      <c r="BG587" s="8"/>
      <c r="BH587" s="8"/>
      <c r="BI587" s="8"/>
      <c r="BJ587" s="8" t="s">
        <v>35</v>
      </c>
      <c r="BK587" s="8" t="s">
        <v>35</v>
      </c>
      <c r="BL587" s="8" t="s">
        <v>35</v>
      </c>
      <c r="BM587" s="8" t="s">
        <v>35</v>
      </c>
      <c r="BN587" s="8" t="s">
        <v>35</v>
      </c>
      <c r="BO587" s="8"/>
      <c r="BP587" s="8"/>
      <c r="BQ587" s="8" t="s">
        <v>31</v>
      </c>
      <c r="BR587" s="8" t="s">
        <v>49</v>
      </c>
      <c r="BS587" s="10">
        <v>37432639099207.203</v>
      </c>
      <c r="BT587" s="8" t="s">
        <v>101</v>
      </c>
      <c r="BU587" s="8"/>
      <c r="BV587" s="8"/>
      <c r="BW587" s="8"/>
      <c r="BX587" s="8"/>
      <c r="BY587" s="8" t="s">
        <v>42</v>
      </c>
      <c r="BZ587" s="8" t="s">
        <v>43</v>
      </c>
      <c r="CA587" s="8" t="s">
        <v>42</v>
      </c>
      <c r="CB587" s="8" t="s">
        <v>43</v>
      </c>
      <c r="CC587" s="8" t="s">
        <v>42</v>
      </c>
      <c r="CD587" s="8"/>
      <c r="CE587" s="8"/>
      <c r="CF587" s="8" t="s">
        <v>50</v>
      </c>
      <c r="CG587" s="8" t="s">
        <v>51</v>
      </c>
    </row>
    <row r="588" spans="1:85" ht="15.75" customHeight="1" x14ac:dyDescent="0.35">
      <c r="A588" s="8">
        <v>581</v>
      </c>
      <c r="B588" s="8" t="s">
        <v>811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>
        <v>1.6200000000000001E-4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10">
        <v>14971988</v>
      </c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11">
        <v>0</v>
      </c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10">
        <v>35371321667.699997</v>
      </c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14">
        <v>41729</v>
      </c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 t="s">
        <v>35</v>
      </c>
      <c r="BQ588" s="8" t="s">
        <v>31</v>
      </c>
      <c r="BR588" s="8" t="s">
        <v>49</v>
      </c>
      <c r="BS588" s="10">
        <v>462688109937.59998</v>
      </c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 t="s">
        <v>43</v>
      </c>
      <c r="CF588" s="8" t="s">
        <v>401</v>
      </c>
      <c r="CG588" s="8" t="s">
        <v>99</v>
      </c>
    </row>
    <row r="589" spans="1:85" ht="15.75" customHeight="1" x14ac:dyDescent="0.35">
      <c r="A589" s="8">
        <v>582</v>
      </c>
      <c r="B589" s="8" t="s">
        <v>812</v>
      </c>
      <c r="C589" s="8"/>
      <c r="D589" s="8"/>
      <c r="E589" s="8"/>
      <c r="F589" s="8"/>
      <c r="G589" s="8"/>
      <c r="H589" s="8"/>
      <c r="I589" s="8"/>
      <c r="J589" s="9">
        <v>0</v>
      </c>
      <c r="K589" s="9">
        <v>0</v>
      </c>
      <c r="L589" s="9">
        <v>1.9999999999999999E-6</v>
      </c>
      <c r="M589" s="8"/>
      <c r="N589" s="8"/>
      <c r="O589" s="8"/>
      <c r="P589" s="8"/>
      <c r="Q589" s="8"/>
      <c r="R589" s="8"/>
      <c r="S589" s="8"/>
      <c r="T589" s="8"/>
      <c r="U589" s="10">
        <v>0</v>
      </c>
      <c r="V589" s="10">
        <v>0</v>
      </c>
      <c r="W589" s="10">
        <v>227600</v>
      </c>
      <c r="X589" s="8"/>
      <c r="Y589" s="8"/>
      <c r="Z589" s="8"/>
      <c r="AA589" s="8"/>
      <c r="AB589" s="8"/>
      <c r="AC589" s="8"/>
      <c r="AD589" s="8"/>
      <c r="AE589" s="8"/>
      <c r="AF589" s="11">
        <v>0</v>
      </c>
      <c r="AG589" s="12">
        <v>-227600</v>
      </c>
      <c r="AH589" s="13">
        <v>227600</v>
      </c>
      <c r="AI589" s="8"/>
      <c r="AJ589" s="8"/>
      <c r="AK589" s="8"/>
      <c r="AL589" s="8"/>
      <c r="AM589" s="8"/>
      <c r="AN589" s="8"/>
      <c r="AO589" s="8"/>
      <c r="AP589" s="8"/>
      <c r="AQ589" s="10">
        <v>0</v>
      </c>
      <c r="AR589" s="10">
        <v>0</v>
      </c>
      <c r="AS589" s="10">
        <v>637280062.64999998</v>
      </c>
      <c r="AT589" s="8"/>
      <c r="AU589" s="8"/>
      <c r="AV589" s="8"/>
      <c r="AW589" s="8"/>
      <c r="AX589" s="8"/>
      <c r="AY589" s="8"/>
      <c r="AZ589" s="8"/>
      <c r="BA589" s="8"/>
      <c r="BB589" s="14">
        <v>42825</v>
      </c>
      <c r="BC589" s="14">
        <v>42825</v>
      </c>
      <c r="BD589" s="14">
        <v>42643</v>
      </c>
      <c r="BE589" s="8"/>
      <c r="BF589" s="8"/>
      <c r="BG589" s="8"/>
      <c r="BH589" s="8"/>
      <c r="BI589" s="8"/>
      <c r="BJ589" s="8"/>
      <c r="BK589" s="8"/>
      <c r="BL589" s="8"/>
      <c r="BM589" s="8" t="s">
        <v>35</v>
      </c>
      <c r="BN589" s="8" t="s">
        <v>35</v>
      </c>
      <c r="BO589" s="8" t="s">
        <v>35</v>
      </c>
      <c r="BP589" s="8"/>
      <c r="BQ589" s="8" t="s">
        <v>31</v>
      </c>
      <c r="BR589" s="8" t="s">
        <v>49</v>
      </c>
      <c r="BS589" s="10">
        <v>68149809600</v>
      </c>
      <c r="BT589" s="8" t="s">
        <v>101</v>
      </c>
      <c r="BU589" s="8"/>
      <c r="BV589" s="8"/>
      <c r="BW589" s="8"/>
      <c r="BX589" s="8"/>
      <c r="BY589" s="8"/>
      <c r="BZ589" s="8"/>
      <c r="CA589" s="8"/>
      <c r="CB589" s="8" t="s">
        <v>43</v>
      </c>
      <c r="CC589" s="8" t="s">
        <v>43</v>
      </c>
      <c r="CD589" s="8" t="s">
        <v>43</v>
      </c>
      <c r="CE589" s="8"/>
      <c r="CF589" s="8" t="s">
        <v>492</v>
      </c>
      <c r="CG589" s="8" t="s">
        <v>71</v>
      </c>
    </row>
    <row r="590" spans="1:85" ht="15.75" customHeight="1" x14ac:dyDescent="0.35">
      <c r="A590" s="8">
        <v>583</v>
      </c>
      <c r="B590" s="8" t="s">
        <v>813</v>
      </c>
      <c r="C590" s="8"/>
      <c r="D590" s="8"/>
      <c r="E590" s="8"/>
      <c r="F590" s="8"/>
      <c r="G590" s="8"/>
      <c r="H590" s="8"/>
      <c r="I590" s="8"/>
      <c r="J590" s="8"/>
      <c r="K590" s="8"/>
      <c r="L590" s="9">
        <v>1.8E-5</v>
      </c>
      <c r="M590" s="9">
        <v>1.8E-5</v>
      </c>
      <c r="N590" s="8"/>
      <c r="O590" s="8"/>
      <c r="P590" s="8"/>
      <c r="Q590" s="8"/>
      <c r="R590" s="8"/>
      <c r="S590" s="8"/>
      <c r="T590" s="8"/>
      <c r="U590" s="8"/>
      <c r="V590" s="8"/>
      <c r="W590" s="10">
        <v>1646000</v>
      </c>
      <c r="X590" s="10">
        <v>1646000</v>
      </c>
      <c r="Y590" s="8"/>
      <c r="Z590" s="8"/>
      <c r="AA590" s="8"/>
      <c r="AB590" s="8"/>
      <c r="AC590" s="8"/>
      <c r="AD590" s="8"/>
      <c r="AE590" s="8"/>
      <c r="AF590" s="8"/>
      <c r="AG590" s="8"/>
      <c r="AH590" s="11">
        <v>0</v>
      </c>
      <c r="AI590" s="11">
        <v>0</v>
      </c>
      <c r="AJ590" s="8"/>
      <c r="AK590" s="8"/>
      <c r="AL590" s="8"/>
      <c r="AM590" s="8"/>
      <c r="AN590" s="8"/>
      <c r="AO590" s="8"/>
      <c r="AP590" s="8"/>
      <c r="AQ590" s="8"/>
      <c r="AR590" s="8"/>
      <c r="AS590" s="10">
        <v>3807756111</v>
      </c>
      <c r="AT590" s="10">
        <v>3807756111</v>
      </c>
      <c r="AU590" s="8"/>
      <c r="AV590" s="8"/>
      <c r="AW590" s="8"/>
      <c r="AX590" s="8"/>
      <c r="AY590" s="8"/>
      <c r="AZ590" s="8"/>
      <c r="BA590" s="8"/>
      <c r="BB590" s="8"/>
      <c r="BC590" s="8"/>
      <c r="BD590" s="14">
        <v>42369</v>
      </c>
      <c r="BE590" s="14">
        <v>42369</v>
      </c>
      <c r="BF590" s="8"/>
      <c r="BG590" s="8"/>
      <c r="BH590" s="8"/>
      <c r="BI590" s="8"/>
      <c r="BJ590" s="8"/>
      <c r="BK590" s="8"/>
      <c r="BL590" s="8"/>
      <c r="BM590" s="8"/>
      <c r="BN590" s="8"/>
      <c r="BO590" s="8" t="s">
        <v>35</v>
      </c>
      <c r="BP590" s="8" t="s">
        <v>35</v>
      </c>
      <c r="BQ590" s="8" t="s">
        <v>31</v>
      </c>
      <c r="BR590" s="8" t="s">
        <v>49</v>
      </c>
      <c r="BS590" s="10">
        <v>1684906101069.6001</v>
      </c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 t="s">
        <v>27</v>
      </c>
      <c r="CE590" s="8" t="s">
        <v>27</v>
      </c>
      <c r="CF590" s="8" t="s">
        <v>560</v>
      </c>
      <c r="CG590" s="8" t="s">
        <v>39</v>
      </c>
    </row>
    <row r="591" spans="1:85" ht="15.75" customHeight="1" x14ac:dyDescent="0.35">
      <c r="A591" s="8">
        <v>584</v>
      </c>
      <c r="B591" s="8" t="s">
        <v>814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>
        <v>0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10">
        <v>0</v>
      </c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11">
        <v>0</v>
      </c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10">
        <v>0</v>
      </c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14">
        <v>42004</v>
      </c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 t="s">
        <v>749</v>
      </c>
      <c r="BQ591" s="8" t="s">
        <v>31</v>
      </c>
      <c r="BR591" s="8" t="s">
        <v>36</v>
      </c>
      <c r="BS591" s="10">
        <v>267034672472.39999</v>
      </c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 t="s">
        <v>27</v>
      </c>
      <c r="CF591" s="8" t="s">
        <v>80</v>
      </c>
      <c r="CG591" s="8" t="s">
        <v>39</v>
      </c>
    </row>
    <row r="592" spans="1:85" ht="15.75" customHeight="1" x14ac:dyDescent="0.35">
      <c r="A592" s="8">
        <v>585</v>
      </c>
      <c r="B592" s="8" t="s">
        <v>815</v>
      </c>
      <c r="C592" s="8"/>
      <c r="D592" s="8"/>
      <c r="E592" s="8"/>
      <c r="F592" s="8"/>
      <c r="G592" s="8"/>
      <c r="H592" s="8"/>
      <c r="I592" s="8"/>
      <c r="J592" s="9">
        <v>1.2999999999999999E-5</v>
      </c>
      <c r="K592" s="9">
        <v>1.2999999999999999E-5</v>
      </c>
      <c r="L592" s="8"/>
      <c r="M592" s="8"/>
      <c r="N592" s="8"/>
      <c r="O592" s="8"/>
      <c r="P592" s="8"/>
      <c r="Q592" s="8"/>
      <c r="R592" s="8"/>
      <c r="S592" s="8"/>
      <c r="T592" s="8"/>
      <c r="U592" s="10">
        <v>1240000</v>
      </c>
      <c r="V592" s="10">
        <v>1240000</v>
      </c>
      <c r="W592" s="8"/>
      <c r="X592" s="8"/>
      <c r="Y592" s="8"/>
      <c r="Z592" s="8"/>
      <c r="AA592" s="8"/>
      <c r="AB592" s="8"/>
      <c r="AC592" s="8"/>
      <c r="AD592" s="8"/>
      <c r="AE592" s="8"/>
      <c r="AF592" s="11">
        <v>0</v>
      </c>
      <c r="AG592" s="13">
        <v>1240000</v>
      </c>
      <c r="AH592" s="8"/>
      <c r="AI592" s="8"/>
      <c r="AJ592" s="8"/>
      <c r="AK592" s="8"/>
      <c r="AL592" s="8"/>
      <c r="AM592" s="8"/>
      <c r="AN592" s="8"/>
      <c r="AO592" s="8"/>
      <c r="AP592" s="8"/>
      <c r="AQ592" s="10">
        <v>3626999961.54</v>
      </c>
      <c r="AR592" s="10">
        <v>3626999961.54</v>
      </c>
      <c r="AS592" s="8"/>
      <c r="AT592" s="8"/>
      <c r="AU592" s="8"/>
      <c r="AV592" s="8"/>
      <c r="AW592" s="8"/>
      <c r="AX592" s="8"/>
      <c r="AY592" s="8"/>
      <c r="AZ592" s="8"/>
      <c r="BA592" s="8"/>
      <c r="BB592" s="14">
        <v>42825</v>
      </c>
      <c r="BC592" s="14">
        <v>42825</v>
      </c>
      <c r="BD592" s="8"/>
      <c r="BE592" s="8"/>
      <c r="BF592" s="8"/>
      <c r="BG592" s="8"/>
      <c r="BH592" s="8"/>
      <c r="BI592" s="8"/>
      <c r="BJ592" s="8"/>
      <c r="BK592" s="8"/>
      <c r="BL592" s="8"/>
      <c r="BM592" s="8" t="s">
        <v>35</v>
      </c>
      <c r="BN592" s="8" t="s">
        <v>35</v>
      </c>
      <c r="BO592" s="8"/>
      <c r="BP592" s="8"/>
      <c r="BQ592" s="8" t="s">
        <v>31</v>
      </c>
      <c r="BR592" s="8" t="s">
        <v>36</v>
      </c>
      <c r="BS592" s="10">
        <v>1477176044865.6001</v>
      </c>
      <c r="BT592" s="8"/>
      <c r="BU592" s="8"/>
      <c r="BV592" s="8"/>
      <c r="BW592" s="8"/>
      <c r="BX592" s="8"/>
      <c r="BY592" s="8"/>
      <c r="BZ592" s="8"/>
      <c r="CA592" s="8"/>
      <c r="CB592" s="8" t="s">
        <v>27</v>
      </c>
      <c r="CC592" s="8" t="s">
        <v>27</v>
      </c>
      <c r="CD592" s="8"/>
      <c r="CE592" s="8"/>
      <c r="CF592" s="8" t="s">
        <v>98</v>
      </c>
      <c r="CG592" s="8" t="s">
        <v>99</v>
      </c>
    </row>
    <row r="593" spans="1:85" ht="15.75" customHeight="1" x14ac:dyDescent="0.35">
      <c r="A593" s="8">
        <v>586</v>
      </c>
      <c r="B593" s="8" t="s">
        <v>816</v>
      </c>
      <c r="C593" s="8"/>
      <c r="D593" s="8"/>
      <c r="E593" s="8"/>
      <c r="F593" s="8"/>
      <c r="G593" s="8"/>
      <c r="H593" s="8"/>
      <c r="I593" s="8"/>
      <c r="J593" s="9">
        <v>9.0000000000000002E-6</v>
      </c>
      <c r="K593" s="9">
        <v>9.0000000000000002E-6</v>
      </c>
      <c r="L593" s="9">
        <v>1.1E-5</v>
      </c>
      <c r="M593" s="9">
        <v>2.3E-5</v>
      </c>
      <c r="N593" s="8"/>
      <c r="O593" s="8"/>
      <c r="P593" s="8"/>
      <c r="Q593" s="8"/>
      <c r="R593" s="8"/>
      <c r="S593" s="8"/>
      <c r="T593" s="8"/>
      <c r="U593" s="10">
        <v>830872</v>
      </c>
      <c r="V593" s="10">
        <v>830872</v>
      </c>
      <c r="W593" s="10">
        <v>1011468</v>
      </c>
      <c r="X593" s="10">
        <v>2170748</v>
      </c>
      <c r="Y593" s="8"/>
      <c r="Z593" s="8"/>
      <c r="AA593" s="8"/>
      <c r="AB593" s="8"/>
      <c r="AC593" s="8"/>
      <c r="AD593" s="8"/>
      <c r="AE593" s="8"/>
      <c r="AF593" s="11">
        <v>0</v>
      </c>
      <c r="AG593" s="12">
        <v>-180596</v>
      </c>
      <c r="AH593" s="12">
        <v>-1159280</v>
      </c>
      <c r="AI593" s="13">
        <v>12840</v>
      </c>
      <c r="AJ593" s="8"/>
      <c r="AK593" s="8"/>
      <c r="AL593" s="8"/>
      <c r="AM593" s="8"/>
      <c r="AN593" s="8"/>
      <c r="AO593" s="8"/>
      <c r="AP593" s="8"/>
      <c r="AQ593" s="10">
        <v>2648404512</v>
      </c>
      <c r="AR593" s="10">
        <v>2648404512</v>
      </c>
      <c r="AS593" s="10">
        <v>2926935497.6999998</v>
      </c>
      <c r="AT593" s="10">
        <v>5021676168.8999996</v>
      </c>
      <c r="AU593" s="8"/>
      <c r="AV593" s="8"/>
      <c r="AW593" s="8"/>
      <c r="AX593" s="8"/>
      <c r="AY593" s="8"/>
      <c r="AZ593" s="8"/>
      <c r="BA593" s="8"/>
      <c r="BB593" s="14">
        <v>42916</v>
      </c>
      <c r="BC593" s="14">
        <v>42916</v>
      </c>
      <c r="BD593" s="14">
        <v>42735</v>
      </c>
      <c r="BE593" s="14">
        <v>42369</v>
      </c>
      <c r="BF593" s="8"/>
      <c r="BG593" s="8"/>
      <c r="BH593" s="8"/>
      <c r="BI593" s="8"/>
      <c r="BJ593" s="8"/>
      <c r="BK593" s="8"/>
      <c r="BL593" s="8"/>
      <c r="BM593" s="8" t="s">
        <v>35</v>
      </c>
      <c r="BN593" s="8" t="s">
        <v>35</v>
      </c>
      <c r="BO593" s="8" t="s">
        <v>35</v>
      </c>
      <c r="BP593" s="8" t="s">
        <v>35</v>
      </c>
      <c r="BQ593" s="8" t="s">
        <v>31</v>
      </c>
      <c r="BR593" s="8" t="s">
        <v>36</v>
      </c>
      <c r="BS593" s="10">
        <v>198913246394.39999</v>
      </c>
      <c r="BT593" s="8"/>
      <c r="BU593" s="8"/>
      <c r="BV593" s="8"/>
      <c r="BW593" s="8"/>
      <c r="BX593" s="8"/>
      <c r="BY593" s="8"/>
      <c r="BZ593" s="8"/>
      <c r="CA593" s="8"/>
      <c r="CB593" s="8"/>
      <c r="CC593" s="8" t="s">
        <v>27</v>
      </c>
      <c r="CD593" s="8" t="s">
        <v>42</v>
      </c>
      <c r="CE593" s="8" t="s">
        <v>27</v>
      </c>
      <c r="CF593" s="8" t="s">
        <v>817</v>
      </c>
      <c r="CG593" s="8" t="s">
        <v>39</v>
      </c>
    </row>
    <row r="594" spans="1:85" ht="15.75" customHeight="1" x14ac:dyDescent="0.35">
      <c r="A594" s="8">
        <v>587</v>
      </c>
      <c r="B594" s="8" t="s">
        <v>818</v>
      </c>
      <c r="C594" s="8"/>
      <c r="D594" s="8"/>
      <c r="E594" s="8"/>
      <c r="F594" s="8"/>
      <c r="G594" s="8"/>
      <c r="H594" s="8"/>
      <c r="I594" s="9">
        <v>4.3000000000000002E-5</v>
      </c>
      <c r="J594" s="9">
        <v>4.3000000000000002E-5</v>
      </c>
      <c r="K594" s="9">
        <v>3.6999999999999998E-5</v>
      </c>
      <c r="L594" s="9">
        <v>3.4999999999999997E-5</v>
      </c>
      <c r="M594" s="9">
        <v>9.6000000000000002E-5</v>
      </c>
      <c r="N594" s="8"/>
      <c r="O594" s="8"/>
      <c r="P594" s="8"/>
      <c r="Q594" s="8"/>
      <c r="R594" s="8"/>
      <c r="S594" s="8"/>
      <c r="T594" s="10">
        <v>3972084</v>
      </c>
      <c r="U594" s="10">
        <v>3972084</v>
      </c>
      <c r="V594" s="10">
        <v>3459884</v>
      </c>
      <c r="W594" s="10">
        <v>3214064</v>
      </c>
      <c r="X594" s="10">
        <v>8916312</v>
      </c>
      <c r="Y594" s="8"/>
      <c r="Z594" s="8"/>
      <c r="AA594" s="8"/>
      <c r="AB594" s="8"/>
      <c r="AC594" s="8"/>
      <c r="AD594" s="8"/>
      <c r="AE594" s="11">
        <v>0</v>
      </c>
      <c r="AF594" s="13">
        <v>512200</v>
      </c>
      <c r="AG594" s="13">
        <v>245820</v>
      </c>
      <c r="AH594" s="12">
        <v>-5702248</v>
      </c>
      <c r="AI594" s="12">
        <v>-468160</v>
      </c>
      <c r="AJ594" s="8"/>
      <c r="AK594" s="8"/>
      <c r="AL594" s="8"/>
      <c r="AM594" s="8"/>
      <c r="AN594" s="8"/>
      <c r="AO594" s="8"/>
      <c r="AP594" s="10">
        <v>13207179258.6</v>
      </c>
      <c r="AQ594" s="10">
        <v>13207179258.6</v>
      </c>
      <c r="AR594" s="10">
        <v>13839536066.4</v>
      </c>
      <c r="AS594" s="10">
        <v>9300697711.2000008</v>
      </c>
      <c r="AT594" s="10">
        <v>20626453042.200001</v>
      </c>
      <c r="AU594" s="8"/>
      <c r="AV594" s="8"/>
      <c r="AW594" s="8"/>
      <c r="AX594" s="8"/>
      <c r="AY594" s="8"/>
      <c r="AZ594" s="8"/>
      <c r="BA594" s="14">
        <v>43312</v>
      </c>
      <c r="BB594" s="14">
        <v>43312</v>
      </c>
      <c r="BC594" s="14">
        <v>43100</v>
      </c>
      <c r="BD594" s="14">
        <v>42735</v>
      </c>
      <c r="BE594" s="14">
        <v>42369</v>
      </c>
      <c r="BF594" s="8"/>
      <c r="BG594" s="8"/>
      <c r="BH594" s="8"/>
      <c r="BI594" s="8"/>
      <c r="BJ594" s="8"/>
      <c r="BK594" s="8"/>
      <c r="BL594" s="8" t="s">
        <v>35</v>
      </c>
      <c r="BM594" s="8" t="s">
        <v>35</v>
      </c>
      <c r="BN594" s="8" t="s">
        <v>35</v>
      </c>
      <c r="BO594" s="8" t="s">
        <v>35</v>
      </c>
      <c r="BP594" s="8" t="s">
        <v>35</v>
      </c>
      <c r="BQ594" s="8" t="s">
        <v>31</v>
      </c>
      <c r="BR594" s="8" t="s">
        <v>36</v>
      </c>
      <c r="BS594" s="10">
        <v>0</v>
      </c>
      <c r="BT594" s="8"/>
      <c r="BU594" s="8"/>
      <c r="BV594" s="8"/>
      <c r="BW594" s="8"/>
      <c r="BX594" s="8"/>
      <c r="BY594" s="8"/>
      <c r="BZ594" s="8"/>
      <c r="CA594" s="8" t="s">
        <v>27</v>
      </c>
      <c r="CB594" s="8" t="s">
        <v>27</v>
      </c>
      <c r="CC594" s="8" t="s">
        <v>42</v>
      </c>
      <c r="CD594" s="8" t="s">
        <v>42</v>
      </c>
      <c r="CE594" s="8" t="s">
        <v>42</v>
      </c>
      <c r="CF594" s="8" t="s">
        <v>82</v>
      </c>
      <c r="CG594" s="8" t="s">
        <v>39</v>
      </c>
    </row>
    <row r="595" spans="1:85" ht="15.75" customHeight="1" x14ac:dyDescent="0.35">
      <c r="A595" s="8">
        <v>588</v>
      </c>
      <c r="B595" s="8" t="s">
        <v>819</v>
      </c>
      <c r="C595" s="8"/>
      <c r="D595" s="8"/>
      <c r="E595" s="8"/>
      <c r="F595" s="8"/>
      <c r="G595" s="8"/>
      <c r="H595" s="9">
        <v>9.9999999999999995E-7</v>
      </c>
      <c r="I595" s="9">
        <v>9.9999999999999995E-7</v>
      </c>
      <c r="J595" s="9">
        <v>3.0000000000000001E-6</v>
      </c>
      <c r="K595" s="9">
        <v>3.0000000000000001E-6</v>
      </c>
      <c r="L595" s="8"/>
      <c r="M595" s="8"/>
      <c r="N595" s="8"/>
      <c r="O595" s="8"/>
      <c r="P595" s="8"/>
      <c r="Q595" s="8"/>
      <c r="R595" s="8"/>
      <c r="S595" s="10">
        <v>96764</v>
      </c>
      <c r="T595" s="10">
        <v>96764</v>
      </c>
      <c r="U595" s="10">
        <v>269620</v>
      </c>
      <c r="V595" s="10">
        <v>299822</v>
      </c>
      <c r="W595" s="8"/>
      <c r="X595" s="8"/>
      <c r="Y595" s="8"/>
      <c r="Z595" s="8"/>
      <c r="AA595" s="8"/>
      <c r="AB595" s="8"/>
      <c r="AC595" s="8"/>
      <c r="AD595" s="11">
        <v>0</v>
      </c>
      <c r="AE595" s="12">
        <v>-172856</v>
      </c>
      <c r="AF595" s="12">
        <v>-30202</v>
      </c>
      <c r="AG595" s="13">
        <v>299822</v>
      </c>
      <c r="AH595" s="8"/>
      <c r="AI595" s="8"/>
      <c r="AJ595" s="8"/>
      <c r="AK595" s="8"/>
      <c r="AL595" s="8"/>
      <c r="AM595" s="8"/>
      <c r="AN595" s="8"/>
      <c r="AO595" s="10">
        <v>370264823.19999999</v>
      </c>
      <c r="AP595" s="10">
        <v>370264823.19999999</v>
      </c>
      <c r="AQ595" s="10">
        <v>981928362.5</v>
      </c>
      <c r="AR595" s="10">
        <v>1109341397.6400001</v>
      </c>
      <c r="AS595" s="8"/>
      <c r="AT595" s="8"/>
      <c r="AU595" s="8"/>
      <c r="AV595" s="8"/>
      <c r="AW595" s="8"/>
      <c r="AX595" s="8"/>
      <c r="AY595" s="8"/>
      <c r="AZ595" s="14">
        <v>43830</v>
      </c>
      <c r="BA595" s="14">
        <v>43830</v>
      </c>
      <c r="BB595" s="14">
        <v>43465</v>
      </c>
      <c r="BC595" s="14">
        <v>43069</v>
      </c>
      <c r="BD595" s="8"/>
      <c r="BE595" s="8"/>
      <c r="BF595" s="8"/>
      <c r="BG595" s="8"/>
      <c r="BH595" s="8"/>
      <c r="BI595" s="8"/>
      <c r="BJ595" s="8"/>
      <c r="BK595" s="8" t="s">
        <v>35</v>
      </c>
      <c r="BL595" s="8" t="s">
        <v>35</v>
      </c>
      <c r="BM595" s="8" t="s">
        <v>35</v>
      </c>
      <c r="BN595" s="8" t="s">
        <v>35</v>
      </c>
      <c r="BO595" s="8"/>
      <c r="BP595" s="8"/>
      <c r="BQ595" s="8" t="s">
        <v>31</v>
      </c>
      <c r="BR595" s="8" t="s">
        <v>36</v>
      </c>
      <c r="BS595" s="10">
        <v>3587097585828</v>
      </c>
      <c r="BT595" s="8" t="s">
        <v>290</v>
      </c>
      <c r="BU595" s="8"/>
      <c r="BV595" s="8"/>
      <c r="BW595" s="8"/>
      <c r="BX595" s="8"/>
      <c r="BY595" s="8"/>
      <c r="BZ595" s="8" t="s">
        <v>43</v>
      </c>
      <c r="CA595" s="8" t="s">
        <v>43</v>
      </c>
      <c r="CB595" s="8" t="s">
        <v>43</v>
      </c>
      <c r="CC595" s="8" t="s">
        <v>43</v>
      </c>
      <c r="CD595" s="8"/>
      <c r="CE595" s="8"/>
      <c r="CF595" s="8" t="s">
        <v>521</v>
      </c>
      <c r="CG595" s="8" t="s">
        <v>39</v>
      </c>
    </row>
    <row r="596" spans="1:85" ht="15.75" customHeight="1" x14ac:dyDescent="0.35">
      <c r="A596" s="8">
        <v>589</v>
      </c>
      <c r="B596" s="8" t="s">
        <v>820</v>
      </c>
      <c r="C596" s="8"/>
      <c r="D596" s="8"/>
      <c r="E596" s="8"/>
      <c r="F596" s="8"/>
      <c r="G596" s="8"/>
      <c r="H596" s="8"/>
      <c r="I596" s="8"/>
      <c r="J596" s="9">
        <v>5.0000000000000004E-6</v>
      </c>
      <c r="K596" s="9">
        <v>5.0000000000000004E-6</v>
      </c>
      <c r="L596" s="9">
        <v>5.0000000000000004E-6</v>
      </c>
      <c r="M596" s="9">
        <v>1.2E-5</v>
      </c>
      <c r="N596" s="8"/>
      <c r="O596" s="8"/>
      <c r="P596" s="8"/>
      <c r="Q596" s="8"/>
      <c r="R596" s="8"/>
      <c r="S596" s="8"/>
      <c r="T596" s="8"/>
      <c r="U596" s="10">
        <v>456000</v>
      </c>
      <c r="V596" s="10">
        <v>456000</v>
      </c>
      <c r="W596" s="10">
        <v>456000</v>
      </c>
      <c r="X596" s="10">
        <v>1068000</v>
      </c>
      <c r="Y596" s="8"/>
      <c r="Z596" s="8"/>
      <c r="AA596" s="8"/>
      <c r="AB596" s="8"/>
      <c r="AC596" s="8"/>
      <c r="AD596" s="8"/>
      <c r="AE596" s="8"/>
      <c r="AF596" s="11">
        <v>0</v>
      </c>
      <c r="AG596" s="11">
        <v>0</v>
      </c>
      <c r="AH596" s="12">
        <v>-612000</v>
      </c>
      <c r="AI596" s="11">
        <v>0</v>
      </c>
      <c r="AJ596" s="8"/>
      <c r="AK596" s="8"/>
      <c r="AL596" s="8"/>
      <c r="AM596" s="8"/>
      <c r="AN596" s="8"/>
      <c r="AO596" s="8"/>
      <c r="AP596" s="8"/>
      <c r="AQ596" s="10">
        <v>1453500061</v>
      </c>
      <c r="AR596" s="10">
        <v>1453500061</v>
      </c>
      <c r="AS596" s="10">
        <v>1319550025.8</v>
      </c>
      <c r="AT596" s="10">
        <v>2470646124.9000001</v>
      </c>
      <c r="AU596" s="8"/>
      <c r="AV596" s="8"/>
      <c r="AW596" s="8"/>
      <c r="AX596" s="8"/>
      <c r="AY596" s="8"/>
      <c r="AZ596" s="8"/>
      <c r="BA596" s="8"/>
      <c r="BB596" s="14">
        <v>42916</v>
      </c>
      <c r="BC596" s="14">
        <v>42916</v>
      </c>
      <c r="BD596" s="14">
        <v>42735</v>
      </c>
      <c r="BE596" s="14">
        <v>42369</v>
      </c>
      <c r="BF596" s="8"/>
      <c r="BG596" s="8"/>
      <c r="BH596" s="8"/>
      <c r="BI596" s="8"/>
      <c r="BJ596" s="8"/>
      <c r="BK596" s="8"/>
      <c r="BL596" s="8"/>
      <c r="BM596" s="8" t="s">
        <v>35</v>
      </c>
      <c r="BN596" s="8" t="s">
        <v>35</v>
      </c>
      <c r="BO596" s="8" t="s">
        <v>35</v>
      </c>
      <c r="BP596" s="8" t="s">
        <v>35</v>
      </c>
      <c r="BQ596" s="8" t="s">
        <v>31</v>
      </c>
      <c r="BR596" s="8" t="s">
        <v>36</v>
      </c>
      <c r="BS596" s="10">
        <v>5672836874286</v>
      </c>
      <c r="BT596" s="8" t="s">
        <v>41</v>
      </c>
      <c r="BU596" s="8"/>
      <c r="BV596" s="8"/>
      <c r="BW596" s="8"/>
      <c r="BX596" s="8"/>
      <c r="BY596" s="8"/>
      <c r="BZ596" s="8"/>
      <c r="CA596" s="8"/>
      <c r="CB596" s="8" t="s">
        <v>42</v>
      </c>
      <c r="CC596" s="8" t="s">
        <v>43</v>
      </c>
      <c r="CD596" s="8" t="s">
        <v>42</v>
      </c>
      <c r="CE596" s="8" t="s">
        <v>42</v>
      </c>
      <c r="CF596" s="8" t="s">
        <v>732</v>
      </c>
      <c r="CG596" s="8" t="s">
        <v>733</v>
      </c>
    </row>
    <row r="597" spans="1:85" ht="15.75" customHeight="1" x14ac:dyDescent="0.35">
      <c r="A597" s="8">
        <v>590</v>
      </c>
      <c r="B597" s="8" t="s">
        <v>821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>
        <v>0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10">
        <v>0</v>
      </c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11">
        <v>0</v>
      </c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10">
        <v>0</v>
      </c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14">
        <v>41820</v>
      </c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 t="s">
        <v>35</v>
      </c>
      <c r="BQ597" s="8" t="s">
        <v>31</v>
      </c>
      <c r="BR597" s="8" t="s">
        <v>36</v>
      </c>
      <c r="BS597" s="10">
        <v>5341648922048.4004</v>
      </c>
      <c r="BT597" s="8" t="s">
        <v>57</v>
      </c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 t="s">
        <v>27</v>
      </c>
      <c r="CF597" s="8" t="s">
        <v>65</v>
      </c>
      <c r="CG597" s="8" t="s">
        <v>65</v>
      </c>
    </row>
    <row r="598" spans="1:85" ht="15.75" customHeight="1" x14ac:dyDescent="0.35">
      <c r="A598" s="8">
        <v>591</v>
      </c>
      <c r="B598" s="8" t="s">
        <v>822</v>
      </c>
      <c r="C598" s="8"/>
      <c r="D598" s="8"/>
      <c r="E598" s="8"/>
      <c r="F598" s="8"/>
      <c r="G598" s="9">
        <v>1.9999999999999999E-6</v>
      </c>
      <c r="H598" s="9">
        <v>1.9999999999999999E-6</v>
      </c>
      <c r="I598" s="9">
        <v>7.9999999999999996E-6</v>
      </c>
      <c r="J598" s="9">
        <v>0</v>
      </c>
      <c r="K598" s="9">
        <v>0</v>
      </c>
      <c r="L598" s="9">
        <v>7.4999999999999993E-5</v>
      </c>
      <c r="M598" s="9">
        <v>0</v>
      </c>
      <c r="N598" s="8"/>
      <c r="O598" s="8"/>
      <c r="P598" s="8"/>
      <c r="Q598" s="8"/>
      <c r="R598" s="10">
        <v>193438</v>
      </c>
      <c r="S598" s="10">
        <v>193438</v>
      </c>
      <c r="T598" s="10">
        <v>771240</v>
      </c>
      <c r="U598" s="10">
        <v>0</v>
      </c>
      <c r="V598" s="10">
        <v>0</v>
      </c>
      <c r="W598" s="10">
        <v>6917600</v>
      </c>
      <c r="X598" s="10">
        <v>23224</v>
      </c>
      <c r="Y598" s="8"/>
      <c r="Z598" s="8"/>
      <c r="AA598" s="8"/>
      <c r="AB598" s="8"/>
      <c r="AC598" s="11">
        <v>0</v>
      </c>
      <c r="AD598" s="12">
        <v>-577802</v>
      </c>
      <c r="AE598" s="13">
        <v>771240</v>
      </c>
      <c r="AF598" s="11">
        <v>0</v>
      </c>
      <c r="AG598" s="12">
        <v>-6917600</v>
      </c>
      <c r="AH598" s="13">
        <v>6894376</v>
      </c>
      <c r="AI598" s="11">
        <v>0</v>
      </c>
      <c r="AJ598" s="8"/>
      <c r="AK598" s="8"/>
      <c r="AL598" s="8"/>
      <c r="AM598" s="8"/>
      <c r="AN598" s="10">
        <v>478759056.39999998</v>
      </c>
      <c r="AO598" s="10">
        <v>478759056.39999998</v>
      </c>
      <c r="AP598" s="10">
        <v>2689699503</v>
      </c>
      <c r="AQ598" s="10">
        <v>0</v>
      </c>
      <c r="AR598" s="10">
        <v>0</v>
      </c>
      <c r="AS598" s="10">
        <v>19369280033.099998</v>
      </c>
      <c r="AT598" s="10">
        <v>72429888.299999997</v>
      </c>
      <c r="AU598" s="8"/>
      <c r="AV598" s="8"/>
      <c r="AW598" s="8"/>
      <c r="AX598" s="8"/>
      <c r="AY598" s="14">
        <v>44012</v>
      </c>
      <c r="AZ598" s="14">
        <v>44012</v>
      </c>
      <c r="BA598" s="14">
        <v>43799</v>
      </c>
      <c r="BB598" s="14">
        <v>42825</v>
      </c>
      <c r="BC598" s="14">
        <v>42825</v>
      </c>
      <c r="BD598" s="14">
        <v>42643</v>
      </c>
      <c r="BE598" s="14">
        <v>42094</v>
      </c>
      <c r="BF598" s="8"/>
      <c r="BG598" s="8"/>
      <c r="BH598" s="8"/>
      <c r="BI598" s="8"/>
      <c r="BJ598" s="8" t="s">
        <v>35</v>
      </c>
      <c r="BK598" s="8" t="s">
        <v>35</v>
      </c>
      <c r="BL598" s="8" t="s">
        <v>35</v>
      </c>
      <c r="BM598" s="8" t="s">
        <v>35</v>
      </c>
      <c r="BN598" s="8" t="s">
        <v>35</v>
      </c>
      <c r="BO598" s="8" t="s">
        <v>35</v>
      </c>
      <c r="BP598" s="8" t="s">
        <v>35</v>
      </c>
      <c r="BQ598" s="8" t="s">
        <v>31</v>
      </c>
      <c r="BR598" s="8" t="s">
        <v>36</v>
      </c>
      <c r="BS598" s="10">
        <v>3414480161442</v>
      </c>
      <c r="BT598" s="8" t="s">
        <v>57</v>
      </c>
      <c r="BU598" s="8"/>
      <c r="BV598" s="8"/>
      <c r="BW598" s="8"/>
      <c r="BX598" s="8"/>
      <c r="BY598" s="8" t="s">
        <v>27</v>
      </c>
      <c r="BZ598" s="8" t="s">
        <v>27</v>
      </c>
      <c r="CA598" s="8" t="s">
        <v>43</v>
      </c>
      <c r="CB598" s="8" t="s">
        <v>27</v>
      </c>
      <c r="CC598" s="8" t="s">
        <v>27</v>
      </c>
      <c r="CD598" s="8" t="s">
        <v>27</v>
      </c>
      <c r="CE598" s="8" t="s">
        <v>27</v>
      </c>
      <c r="CF598" s="8" t="s">
        <v>65</v>
      </c>
      <c r="CG598" s="8" t="s">
        <v>65</v>
      </c>
    </row>
    <row r="599" spans="1:85" ht="15.75" customHeight="1" x14ac:dyDescent="0.35">
      <c r="A599" s="8">
        <v>592</v>
      </c>
      <c r="B599" s="8" t="s">
        <v>823</v>
      </c>
      <c r="C599" s="8"/>
      <c r="D599" s="8"/>
      <c r="E599" s="8"/>
      <c r="F599" s="8"/>
      <c r="G599" s="9">
        <v>0</v>
      </c>
      <c r="H599" s="9">
        <v>0</v>
      </c>
      <c r="I599" s="9">
        <v>0</v>
      </c>
      <c r="J599" s="9">
        <v>0</v>
      </c>
      <c r="K599" s="8"/>
      <c r="L599" s="8"/>
      <c r="M599" s="8"/>
      <c r="N599" s="8"/>
      <c r="O599" s="8"/>
      <c r="P599" s="8"/>
      <c r="Q599" s="8"/>
      <c r="R599" s="10">
        <v>0</v>
      </c>
      <c r="S599" s="10">
        <v>0</v>
      </c>
      <c r="T599" s="10">
        <v>31038</v>
      </c>
      <c r="U599" s="10">
        <v>20540</v>
      </c>
      <c r="V599" s="8"/>
      <c r="W599" s="8"/>
      <c r="X599" s="8"/>
      <c r="Y599" s="8"/>
      <c r="Z599" s="8"/>
      <c r="AA599" s="8"/>
      <c r="AB599" s="8"/>
      <c r="AC599" s="11">
        <v>0</v>
      </c>
      <c r="AD599" s="12">
        <v>-31038</v>
      </c>
      <c r="AE599" s="13">
        <v>10498</v>
      </c>
      <c r="AF599" s="13">
        <v>20540</v>
      </c>
      <c r="AG599" s="8"/>
      <c r="AH599" s="8"/>
      <c r="AI599" s="8"/>
      <c r="AJ599" s="8"/>
      <c r="AK599" s="8"/>
      <c r="AL599" s="8"/>
      <c r="AM599" s="8"/>
      <c r="AN599" s="10">
        <v>0</v>
      </c>
      <c r="AO599" s="10">
        <v>0</v>
      </c>
      <c r="AP599" s="10">
        <v>118766024.40000001</v>
      </c>
      <c r="AQ599" s="10">
        <v>74804625</v>
      </c>
      <c r="AR599" s="8"/>
      <c r="AS599" s="8"/>
      <c r="AT599" s="8"/>
      <c r="AU599" s="8"/>
      <c r="AV599" s="8"/>
      <c r="AW599" s="8"/>
      <c r="AX599" s="8"/>
      <c r="AY599" s="14">
        <v>44074</v>
      </c>
      <c r="AZ599" s="14">
        <v>44074</v>
      </c>
      <c r="BA599" s="14">
        <v>43830</v>
      </c>
      <c r="BB599" s="14">
        <v>43465</v>
      </c>
      <c r="BC599" s="8"/>
      <c r="BD599" s="8"/>
      <c r="BE599" s="8"/>
      <c r="BF599" s="8"/>
      <c r="BG599" s="8"/>
      <c r="BH599" s="8"/>
      <c r="BI599" s="8"/>
      <c r="BJ599" s="8" t="s">
        <v>35</v>
      </c>
      <c r="BK599" s="8" t="s">
        <v>35</v>
      </c>
      <c r="BL599" s="8" t="s">
        <v>35</v>
      </c>
      <c r="BM599" s="8" t="s">
        <v>35</v>
      </c>
      <c r="BN599" s="8"/>
      <c r="BO599" s="8"/>
      <c r="BP599" s="8"/>
      <c r="BQ599" s="8" t="s">
        <v>31</v>
      </c>
      <c r="BR599" s="8" t="s">
        <v>36</v>
      </c>
      <c r="BS599" s="10">
        <v>44518890052894.797</v>
      </c>
      <c r="BT599" s="8"/>
      <c r="BU599" s="8"/>
      <c r="BV599" s="8"/>
      <c r="BW599" s="8"/>
      <c r="BX599" s="8"/>
      <c r="BY599" s="8" t="s">
        <v>42</v>
      </c>
      <c r="BZ599" s="8" t="s">
        <v>43</v>
      </c>
      <c r="CA599" s="8" t="s">
        <v>43</v>
      </c>
      <c r="CB599" s="8" t="s">
        <v>43</v>
      </c>
      <c r="CC599" s="8"/>
      <c r="CD599" s="8"/>
      <c r="CE599" s="8"/>
      <c r="CF599" s="8" t="s">
        <v>824</v>
      </c>
      <c r="CG599" s="8" t="s">
        <v>99</v>
      </c>
    </row>
    <row r="600" spans="1:85" ht="15.75" customHeight="1" x14ac:dyDescent="0.35">
      <c r="A600" s="8">
        <v>593</v>
      </c>
      <c r="B600" s="8" t="s">
        <v>825</v>
      </c>
      <c r="C600" s="8"/>
      <c r="D600" s="8"/>
      <c r="E600" s="9">
        <v>3.9999999999999998E-6</v>
      </c>
      <c r="F600" s="9">
        <v>3.9999999999999998E-6</v>
      </c>
      <c r="G600" s="9">
        <v>3.0000000000000001E-6</v>
      </c>
      <c r="H600" s="9">
        <v>5.0000000000000004E-6</v>
      </c>
      <c r="I600" s="9">
        <v>5.0000000000000004E-6</v>
      </c>
      <c r="J600" s="9">
        <v>6.9999999999999999E-6</v>
      </c>
      <c r="K600" s="9">
        <v>6.9999999999999999E-6</v>
      </c>
      <c r="L600" s="9">
        <v>5.0000000000000004E-6</v>
      </c>
      <c r="M600" s="9">
        <v>7.9999999999999996E-6</v>
      </c>
      <c r="N600" s="8"/>
      <c r="O600" s="8"/>
      <c r="P600" s="10">
        <v>339928</v>
      </c>
      <c r="Q600" s="10">
        <v>339928</v>
      </c>
      <c r="R600" s="10">
        <v>316528</v>
      </c>
      <c r="S600" s="10">
        <v>475128</v>
      </c>
      <c r="T600" s="10">
        <v>475128</v>
      </c>
      <c r="U600" s="10">
        <v>612128</v>
      </c>
      <c r="V600" s="10">
        <v>612128</v>
      </c>
      <c r="W600" s="10">
        <v>485728</v>
      </c>
      <c r="X600" s="10">
        <v>777728</v>
      </c>
      <c r="Y600" s="8"/>
      <c r="Z600" s="8"/>
      <c r="AA600" s="11">
        <v>0</v>
      </c>
      <c r="AB600" s="13">
        <v>23400</v>
      </c>
      <c r="AC600" s="12">
        <v>-158600</v>
      </c>
      <c r="AD600" s="11">
        <v>0</v>
      </c>
      <c r="AE600" s="12">
        <v>-137000</v>
      </c>
      <c r="AF600" s="11">
        <v>0</v>
      </c>
      <c r="AG600" s="13">
        <v>126400</v>
      </c>
      <c r="AH600" s="12">
        <v>-292000</v>
      </c>
      <c r="AI600" s="11">
        <v>0</v>
      </c>
      <c r="AJ600" s="8"/>
      <c r="AK600" s="8"/>
      <c r="AL600" s="10">
        <v>1342715606.0799999</v>
      </c>
      <c r="AM600" s="10">
        <v>1342715606.0799999</v>
      </c>
      <c r="AN600" s="10">
        <v>1110635452.5</v>
      </c>
      <c r="AO600" s="10">
        <v>1502592249.5999999</v>
      </c>
      <c r="AP600" s="10">
        <v>1818064304.8</v>
      </c>
      <c r="AQ600" s="10">
        <v>2448511936.0500002</v>
      </c>
      <c r="AR600" s="10">
        <v>2448511936.0500002</v>
      </c>
      <c r="AS600" s="10">
        <v>1405575372.5999999</v>
      </c>
      <c r="AT600" s="10">
        <v>1799148585.75</v>
      </c>
      <c r="AU600" s="8"/>
      <c r="AV600" s="8"/>
      <c r="AW600" s="14">
        <v>44651</v>
      </c>
      <c r="AX600" s="14">
        <v>44651</v>
      </c>
      <c r="AY600" s="14">
        <v>44561</v>
      </c>
      <c r="AZ600" s="14">
        <v>44196</v>
      </c>
      <c r="BA600" s="14">
        <v>43830</v>
      </c>
      <c r="BB600" s="14">
        <v>43100</v>
      </c>
      <c r="BC600" s="14">
        <v>43100</v>
      </c>
      <c r="BD600" s="14">
        <v>42735</v>
      </c>
      <c r="BE600" s="14">
        <v>42369</v>
      </c>
      <c r="BF600" s="8"/>
      <c r="BG600" s="8"/>
      <c r="BH600" s="8" t="s">
        <v>35</v>
      </c>
      <c r="BI600" s="8" t="s">
        <v>35</v>
      </c>
      <c r="BJ600" s="8" t="s">
        <v>35</v>
      </c>
      <c r="BK600" s="8" t="s">
        <v>35</v>
      </c>
      <c r="BL600" s="8" t="s">
        <v>35</v>
      </c>
      <c r="BM600" s="8" t="s">
        <v>35</v>
      </c>
      <c r="BN600" s="8" t="s">
        <v>35</v>
      </c>
      <c r="BO600" s="8" t="s">
        <v>35</v>
      </c>
      <c r="BP600" s="8" t="s">
        <v>35</v>
      </c>
      <c r="BQ600" s="8" t="s">
        <v>31</v>
      </c>
      <c r="BR600" s="8" t="s">
        <v>36</v>
      </c>
      <c r="BS600" s="10">
        <v>228097407314704</v>
      </c>
      <c r="BT600" s="8" t="s">
        <v>41</v>
      </c>
      <c r="BU600" s="8"/>
      <c r="BV600" s="8"/>
      <c r="BW600" s="8" t="s">
        <v>27</v>
      </c>
      <c r="BX600" s="8" t="s">
        <v>27</v>
      </c>
      <c r="BY600" s="8" t="s">
        <v>27</v>
      </c>
      <c r="BZ600" s="8" t="s">
        <v>27</v>
      </c>
      <c r="CA600" s="8" t="s">
        <v>27</v>
      </c>
      <c r="CB600" s="8" t="s">
        <v>27</v>
      </c>
      <c r="CC600" s="8" t="s">
        <v>27</v>
      </c>
      <c r="CD600" s="8" t="s">
        <v>27</v>
      </c>
      <c r="CE600" s="8" t="s">
        <v>42</v>
      </c>
      <c r="CF600" s="8" t="s">
        <v>145</v>
      </c>
      <c r="CG600" s="8" t="s">
        <v>146</v>
      </c>
    </row>
    <row r="601" spans="1:85" ht="15.75" hidden="1" customHeight="1" x14ac:dyDescent="0.35">
      <c r="A601" s="8">
        <v>594</v>
      </c>
      <c r="B601" s="8" t="s">
        <v>826</v>
      </c>
      <c r="C601" s="8"/>
      <c r="D601" s="8"/>
      <c r="E601" s="8"/>
      <c r="F601" s="8"/>
      <c r="G601" s="8"/>
      <c r="H601" s="9">
        <v>4.1E-5</v>
      </c>
      <c r="I601" s="9">
        <v>2.4000000000000001E-5</v>
      </c>
      <c r="J601" s="9">
        <v>1.4E-5</v>
      </c>
      <c r="K601" s="9">
        <v>9.0000000000000002E-6</v>
      </c>
      <c r="L601" s="9">
        <v>6.9999999999999999E-6</v>
      </c>
      <c r="M601" s="8"/>
      <c r="N601" s="8"/>
      <c r="O601" s="8"/>
      <c r="P601" s="8"/>
      <c r="Q601" s="8"/>
      <c r="R601" s="8"/>
      <c r="S601" s="10">
        <v>3784200</v>
      </c>
      <c r="T601" s="10">
        <v>2204200</v>
      </c>
      <c r="U601" s="10">
        <v>1320400</v>
      </c>
      <c r="V601" s="10">
        <v>836000</v>
      </c>
      <c r="W601" s="10">
        <v>686000</v>
      </c>
      <c r="X601" s="8"/>
      <c r="Y601" s="8"/>
      <c r="Z601" s="8"/>
      <c r="AA601" s="8"/>
      <c r="AB601" s="8"/>
      <c r="AC601" s="8"/>
      <c r="AD601" s="13">
        <v>1580000</v>
      </c>
      <c r="AE601" s="13">
        <v>883800</v>
      </c>
      <c r="AF601" s="13">
        <v>484400</v>
      </c>
      <c r="AG601" s="13">
        <v>150000</v>
      </c>
      <c r="AH601" s="13">
        <v>686000</v>
      </c>
      <c r="AI601" s="8"/>
      <c r="AJ601" s="8"/>
      <c r="AK601" s="8"/>
      <c r="AL601" s="8"/>
      <c r="AM601" s="8"/>
      <c r="AN601" s="8"/>
      <c r="AO601" s="10">
        <v>9384816000</v>
      </c>
      <c r="AP601" s="10">
        <v>8434311084</v>
      </c>
      <c r="AQ601" s="10">
        <v>4808760937.5</v>
      </c>
      <c r="AR601" s="10">
        <v>3343999985.0500002</v>
      </c>
      <c r="AS601" s="10">
        <v>1985112558.9000001</v>
      </c>
      <c r="AT601" s="8"/>
      <c r="AU601" s="8"/>
      <c r="AV601" s="8"/>
      <c r="AW601" s="8"/>
      <c r="AX601" s="8"/>
      <c r="AY601" s="8"/>
      <c r="AZ601" s="14">
        <v>44104</v>
      </c>
      <c r="BA601" s="14">
        <v>43830</v>
      </c>
      <c r="BB601" s="14">
        <v>43465</v>
      </c>
      <c r="BC601" s="14">
        <v>43100</v>
      </c>
      <c r="BD601" s="14">
        <v>42735</v>
      </c>
      <c r="BE601" s="8"/>
      <c r="BF601" s="8"/>
      <c r="BG601" s="8"/>
      <c r="BH601" s="8"/>
      <c r="BI601" s="8"/>
      <c r="BJ601" s="8"/>
      <c r="BK601" s="8" t="s">
        <v>201</v>
      </c>
      <c r="BL601" s="8" t="s">
        <v>201</v>
      </c>
      <c r="BM601" s="8" t="s">
        <v>201</v>
      </c>
      <c r="BN601" s="8" t="s">
        <v>201</v>
      </c>
      <c r="BO601" s="8" t="s">
        <v>201</v>
      </c>
      <c r="BP601" s="8"/>
      <c r="BQ601" s="8" t="s">
        <v>25</v>
      </c>
      <c r="BR601" s="8" t="s">
        <v>202</v>
      </c>
      <c r="BS601" s="10">
        <v>11144972350.799999</v>
      </c>
      <c r="BT601" s="8"/>
      <c r="BU601" s="8"/>
      <c r="BV601" s="8"/>
      <c r="BW601" s="8"/>
      <c r="BX601" s="8"/>
      <c r="BY601" s="8"/>
      <c r="BZ601" s="8" t="s">
        <v>27</v>
      </c>
      <c r="CA601" s="8" t="s">
        <v>27</v>
      </c>
      <c r="CB601" s="8" t="s">
        <v>27</v>
      </c>
      <c r="CC601" s="8" t="s">
        <v>27</v>
      </c>
      <c r="CD601" s="8" t="s">
        <v>27</v>
      </c>
      <c r="CE601" s="8"/>
      <c r="CF601" s="8"/>
      <c r="CG601" s="8" t="s">
        <v>29</v>
      </c>
    </row>
    <row r="602" spans="1:85" ht="15.75" customHeight="1" x14ac:dyDescent="0.35">
      <c r="A602" s="8">
        <v>595</v>
      </c>
      <c r="B602" s="8" t="s">
        <v>827</v>
      </c>
      <c r="C602" s="8"/>
      <c r="D602" s="9">
        <v>6.3E-5</v>
      </c>
      <c r="E602" s="9">
        <v>6.3E-5</v>
      </c>
      <c r="F602" s="9">
        <v>2.23E-4</v>
      </c>
      <c r="G602" s="9">
        <v>2.8E-5</v>
      </c>
      <c r="H602" s="9">
        <v>1.8E-5</v>
      </c>
      <c r="I602" s="9">
        <v>1.01E-4</v>
      </c>
      <c r="J602" s="8"/>
      <c r="K602" s="8"/>
      <c r="L602" s="8"/>
      <c r="M602" s="8"/>
      <c r="N602" s="8"/>
      <c r="O602" s="10">
        <v>5797900</v>
      </c>
      <c r="P602" s="10">
        <v>5797900</v>
      </c>
      <c r="Q602" s="10">
        <v>20609632</v>
      </c>
      <c r="R602" s="10">
        <v>2594832</v>
      </c>
      <c r="S602" s="10">
        <v>1698632</v>
      </c>
      <c r="T602" s="10">
        <v>9341540</v>
      </c>
      <c r="U602" s="8"/>
      <c r="V602" s="8"/>
      <c r="W602" s="8"/>
      <c r="X602" s="8"/>
      <c r="Y602" s="8"/>
      <c r="Z602" s="11">
        <v>0</v>
      </c>
      <c r="AA602" s="12">
        <v>-14811732</v>
      </c>
      <c r="AB602" s="13">
        <v>18014800</v>
      </c>
      <c r="AC602" s="13">
        <v>896200</v>
      </c>
      <c r="AD602" s="12">
        <v>-7642908</v>
      </c>
      <c r="AE602" s="13">
        <v>9341540</v>
      </c>
      <c r="AF602" s="8"/>
      <c r="AG602" s="8"/>
      <c r="AH602" s="8"/>
      <c r="AI602" s="8"/>
      <c r="AJ602" s="8"/>
      <c r="AK602" s="10">
        <v>35077295049</v>
      </c>
      <c r="AL602" s="10">
        <v>35077295049</v>
      </c>
      <c r="AM602" s="10">
        <v>102275298928</v>
      </c>
      <c r="AN602" s="10">
        <v>9104763472.5</v>
      </c>
      <c r="AO602" s="10">
        <v>5371923726</v>
      </c>
      <c r="AP602" s="10">
        <v>35745147760.400002</v>
      </c>
      <c r="AQ602" s="8"/>
      <c r="AR602" s="8"/>
      <c r="AS602" s="8"/>
      <c r="AT602" s="8"/>
      <c r="AU602" s="8"/>
      <c r="AV602" s="14">
        <v>45291</v>
      </c>
      <c r="AW602" s="14">
        <v>45291</v>
      </c>
      <c r="AX602" s="14">
        <v>44926</v>
      </c>
      <c r="AY602" s="14">
        <v>44561</v>
      </c>
      <c r="AZ602" s="14">
        <v>44196</v>
      </c>
      <c r="BA602" s="14">
        <v>43830</v>
      </c>
      <c r="BB602" s="8"/>
      <c r="BC602" s="8"/>
      <c r="BD602" s="8"/>
      <c r="BE602" s="8"/>
      <c r="BF602" s="8"/>
      <c r="BG602" s="8" t="s">
        <v>35</v>
      </c>
      <c r="BH602" s="8" t="s">
        <v>35</v>
      </c>
      <c r="BI602" s="8" t="s">
        <v>35</v>
      </c>
      <c r="BJ602" s="8" t="s">
        <v>35</v>
      </c>
      <c r="BK602" s="8" t="s">
        <v>35</v>
      </c>
      <c r="BL602" s="8" t="s">
        <v>35</v>
      </c>
      <c r="BM602" s="8"/>
      <c r="BN602" s="8"/>
      <c r="BO602" s="8"/>
      <c r="BP602" s="8"/>
      <c r="BQ602" s="8" t="s">
        <v>31</v>
      </c>
      <c r="BR602" s="8" t="s">
        <v>36</v>
      </c>
      <c r="BS602" s="10">
        <v>193966004346799</v>
      </c>
      <c r="BT602" s="8" t="s">
        <v>41</v>
      </c>
      <c r="BU602" s="8"/>
      <c r="BV602" s="8" t="s">
        <v>27</v>
      </c>
      <c r="BW602" s="8" t="s">
        <v>27</v>
      </c>
      <c r="BX602" s="8" t="s">
        <v>27</v>
      </c>
      <c r="BY602" s="8" t="s">
        <v>27</v>
      </c>
      <c r="BZ602" s="8" t="s">
        <v>27</v>
      </c>
      <c r="CA602" s="8" t="s">
        <v>27</v>
      </c>
      <c r="CB602" s="8"/>
      <c r="CC602" s="8"/>
      <c r="CD602" s="8"/>
      <c r="CE602" s="8"/>
      <c r="CF602" s="8" t="s">
        <v>85</v>
      </c>
      <c r="CG602" s="8" t="s">
        <v>39</v>
      </c>
    </row>
    <row r="603" spans="1:85" ht="15.75" customHeight="1" x14ac:dyDescent="0.35">
      <c r="A603" s="8">
        <v>596</v>
      </c>
      <c r="B603" s="8" t="s">
        <v>828</v>
      </c>
      <c r="C603" s="8"/>
      <c r="D603" s="8"/>
      <c r="E603" s="8"/>
      <c r="F603" s="8"/>
      <c r="G603" s="8"/>
      <c r="H603" s="9">
        <v>6.9999999999999999E-6</v>
      </c>
      <c r="I603" s="9">
        <v>6.9999999999999999E-6</v>
      </c>
      <c r="J603" s="8"/>
      <c r="K603" s="8"/>
      <c r="L603" s="9">
        <v>0</v>
      </c>
      <c r="M603" s="9">
        <v>0</v>
      </c>
      <c r="N603" s="8"/>
      <c r="O603" s="8"/>
      <c r="P603" s="8"/>
      <c r="Q603" s="8"/>
      <c r="R603" s="8"/>
      <c r="S603" s="10">
        <v>680000</v>
      </c>
      <c r="T603" s="10">
        <v>680000</v>
      </c>
      <c r="U603" s="8"/>
      <c r="V603" s="8"/>
      <c r="W603" s="10">
        <v>0</v>
      </c>
      <c r="X603" s="10">
        <v>0</v>
      </c>
      <c r="Y603" s="8"/>
      <c r="Z603" s="8"/>
      <c r="AA603" s="8"/>
      <c r="AB603" s="8"/>
      <c r="AC603" s="8"/>
      <c r="AD603" s="11">
        <v>0</v>
      </c>
      <c r="AE603" s="13">
        <v>680000</v>
      </c>
      <c r="AF603" s="8"/>
      <c r="AG603" s="8"/>
      <c r="AH603" s="11">
        <v>0</v>
      </c>
      <c r="AI603" s="11">
        <v>0</v>
      </c>
      <c r="AJ603" s="8"/>
      <c r="AK603" s="8"/>
      <c r="AL603" s="8"/>
      <c r="AM603" s="8"/>
      <c r="AN603" s="8"/>
      <c r="AO603" s="10">
        <v>2371500060.5999999</v>
      </c>
      <c r="AP603" s="10">
        <v>2371500060.5999999</v>
      </c>
      <c r="AQ603" s="8"/>
      <c r="AR603" s="8"/>
      <c r="AS603" s="10">
        <v>0</v>
      </c>
      <c r="AT603" s="10">
        <v>0</v>
      </c>
      <c r="AU603" s="8"/>
      <c r="AV603" s="8"/>
      <c r="AW603" s="8"/>
      <c r="AX603" s="8"/>
      <c r="AY603" s="8"/>
      <c r="AZ603" s="14">
        <v>43738</v>
      </c>
      <c r="BA603" s="14">
        <v>43738</v>
      </c>
      <c r="BB603" s="8"/>
      <c r="BC603" s="8"/>
      <c r="BD603" s="14">
        <v>42185</v>
      </c>
      <c r="BE603" s="14">
        <v>42185</v>
      </c>
      <c r="BF603" s="8"/>
      <c r="BG603" s="8"/>
      <c r="BH603" s="8"/>
      <c r="BI603" s="8"/>
      <c r="BJ603" s="8"/>
      <c r="BK603" s="8" t="s">
        <v>35</v>
      </c>
      <c r="BL603" s="8" t="s">
        <v>35</v>
      </c>
      <c r="BM603" s="8"/>
      <c r="BN603" s="8"/>
      <c r="BO603" s="8" t="s">
        <v>35</v>
      </c>
      <c r="BP603" s="8" t="s">
        <v>35</v>
      </c>
      <c r="BQ603" s="8" t="s">
        <v>31</v>
      </c>
      <c r="BR603" s="8" t="s">
        <v>49</v>
      </c>
      <c r="BS603" s="10">
        <v>113197608364.8</v>
      </c>
      <c r="BT603" s="8" t="s">
        <v>57</v>
      </c>
      <c r="BU603" s="8"/>
      <c r="BV603" s="8"/>
      <c r="BW603" s="8"/>
      <c r="BX603" s="8"/>
      <c r="BY603" s="8"/>
      <c r="BZ603" s="8"/>
      <c r="CA603" s="8" t="s">
        <v>27</v>
      </c>
      <c r="CB603" s="8"/>
      <c r="CC603" s="8"/>
      <c r="CD603" s="8"/>
      <c r="CE603" s="8" t="s">
        <v>42</v>
      </c>
      <c r="CF603" s="8" t="s">
        <v>70</v>
      </c>
      <c r="CG603" s="8" t="s">
        <v>71</v>
      </c>
    </row>
    <row r="604" spans="1:85" ht="15.75" customHeight="1" x14ac:dyDescent="0.35">
      <c r="A604" s="8">
        <v>597</v>
      </c>
      <c r="B604" s="8" t="s">
        <v>829</v>
      </c>
      <c r="C604" s="8"/>
      <c r="D604" s="8"/>
      <c r="E604" s="8"/>
      <c r="F604" s="8"/>
      <c r="G604" s="8"/>
      <c r="H604" s="8"/>
      <c r="I604" s="8"/>
      <c r="J604" s="8"/>
      <c r="K604" s="9">
        <v>1.0000000000000001E-5</v>
      </c>
      <c r="L604" s="9">
        <v>1.0000000000000001E-5</v>
      </c>
      <c r="M604" s="9">
        <v>2.1999999999999999E-5</v>
      </c>
      <c r="N604" s="8"/>
      <c r="O604" s="8"/>
      <c r="P604" s="8"/>
      <c r="Q604" s="8"/>
      <c r="R604" s="8"/>
      <c r="S604" s="8"/>
      <c r="T604" s="8"/>
      <c r="U604" s="8"/>
      <c r="V604" s="10">
        <v>932648</v>
      </c>
      <c r="W604" s="10">
        <v>932648</v>
      </c>
      <c r="X604" s="10">
        <v>2052000</v>
      </c>
      <c r="Y604" s="8"/>
      <c r="Z604" s="8"/>
      <c r="AA604" s="8"/>
      <c r="AB604" s="8"/>
      <c r="AC604" s="8"/>
      <c r="AD604" s="8"/>
      <c r="AE604" s="8"/>
      <c r="AF604" s="8"/>
      <c r="AG604" s="11">
        <v>0</v>
      </c>
      <c r="AH604" s="12">
        <v>-1119352</v>
      </c>
      <c r="AI604" s="11">
        <v>0</v>
      </c>
      <c r="AJ604" s="8"/>
      <c r="AK604" s="8"/>
      <c r="AL604" s="8"/>
      <c r="AM604" s="8"/>
      <c r="AN604" s="8"/>
      <c r="AO604" s="8"/>
      <c r="AP604" s="8"/>
      <c r="AQ604" s="8"/>
      <c r="AR604" s="10">
        <v>2448200992</v>
      </c>
      <c r="AS604" s="10">
        <v>2448200992</v>
      </c>
      <c r="AT604" s="10">
        <v>4746971859.4499998</v>
      </c>
      <c r="AU604" s="8"/>
      <c r="AV604" s="8"/>
      <c r="AW604" s="8"/>
      <c r="AX604" s="8"/>
      <c r="AY604" s="8"/>
      <c r="AZ604" s="8"/>
      <c r="BA604" s="8"/>
      <c r="BB604" s="8"/>
      <c r="BC604" s="14">
        <v>42704</v>
      </c>
      <c r="BD604" s="14">
        <v>42704</v>
      </c>
      <c r="BE604" s="14">
        <v>42369</v>
      </c>
      <c r="BF604" s="8"/>
      <c r="BG604" s="8"/>
      <c r="BH604" s="8"/>
      <c r="BI604" s="8"/>
      <c r="BJ604" s="8"/>
      <c r="BK604" s="8"/>
      <c r="BL604" s="8"/>
      <c r="BM604" s="8"/>
      <c r="BN604" s="8" t="s">
        <v>35</v>
      </c>
      <c r="BO604" s="8" t="s">
        <v>35</v>
      </c>
      <c r="BP604" s="8" t="s">
        <v>35</v>
      </c>
      <c r="BQ604" s="8" t="s">
        <v>31</v>
      </c>
      <c r="BR604" s="8" t="s">
        <v>36</v>
      </c>
      <c r="BS604" s="10">
        <v>1471673604265.2</v>
      </c>
      <c r="BT604" s="8"/>
      <c r="BU604" s="8"/>
      <c r="BV604" s="8"/>
      <c r="BW604" s="8"/>
      <c r="BX604" s="8"/>
      <c r="BY604" s="8"/>
      <c r="BZ604" s="8"/>
      <c r="CA604" s="8"/>
      <c r="CB604" s="8"/>
      <c r="CC604" s="8" t="s">
        <v>27</v>
      </c>
      <c r="CD604" s="8" t="s">
        <v>43</v>
      </c>
      <c r="CE604" s="8" t="s">
        <v>42</v>
      </c>
      <c r="CF604" s="8" t="s">
        <v>830</v>
      </c>
      <c r="CG604" s="8" t="s">
        <v>39</v>
      </c>
    </row>
    <row r="605" spans="1:85" ht="15.75" customHeight="1" x14ac:dyDescent="0.35">
      <c r="A605" s="8">
        <v>598</v>
      </c>
      <c r="B605" s="8" t="s">
        <v>831</v>
      </c>
      <c r="C605" s="8"/>
      <c r="D605" s="9">
        <v>3.0000000000000001E-6</v>
      </c>
      <c r="E605" s="9">
        <v>3.0000000000000001E-6</v>
      </c>
      <c r="F605" s="9">
        <v>3.0000000000000001E-6</v>
      </c>
      <c r="G605" s="9">
        <v>2.3E-5</v>
      </c>
      <c r="H605" s="9">
        <v>9.0000000000000002E-6</v>
      </c>
      <c r="I605" s="9">
        <v>4.5000000000000003E-5</v>
      </c>
      <c r="J605" s="9">
        <v>3.8000000000000002E-5</v>
      </c>
      <c r="K605" s="9">
        <v>3.8000000000000002E-5</v>
      </c>
      <c r="L605" s="8"/>
      <c r="M605" s="8"/>
      <c r="N605" s="8"/>
      <c r="O605" s="10">
        <v>290500</v>
      </c>
      <c r="P605" s="10">
        <v>290500</v>
      </c>
      <c r="Q605" s="10">
        <v>248400</v>
      </c>
      <c r="R605" s="10">
        <v>2156200</v>
      </c>
      <c r="S605" s="10">
        <v>816200</v>
      </c>
      <c r="T605" s="10">
        <v>4160800</v>
      </c>
      <c r="U605" s="10">
        <v>3529800</v>
      </c>
      <c r="V605" s="10">
        <v>3529800</v>
      </c>
      <c r="W605" s="8"/>
      <c r="X605" s="8"/>
      <c r="Y605" s="8"/>
      <c r="Z605" s="11">
        <v>0</v>
      </c>
      <c r="AA605" s="13">
        <v>42100</v>
      </c>
      <c r="AB605" s="12">
        <v>-1907800</v>
      </c>
      <c r="AC605" s="13">
        <v>1340000</v>
      </c>
      <c r="AD605" s="12">
        <v>-3344600</v>
      </c>
      <c r="AE605" s="13">
        <v>631000</v>
      </c>
      <c r="AF605" s="11">
        <v>0</v>
      </c>
      <c r="AG605" s="13">
        <v>3529800</v>
      </c>
      <c r="AH605" s="8"/>
      <c r="AI605" s="8"/>
      <c r="AJ605" s="8"/>
      <c r="AK605" s="10">
        <v>1742929795.5</v>
      </c>
      <c r="AL605" s="10">
        <v>1742929795.5</v>
      </c>
      <c r="AM605" s="10">
        <v>981179944</v>
      </c>
      <c r="AN605" s="10">
        <v>6630314977.8000002</v>
      </c>
      <c r="AO605" s="10">
        <v>2581232518.8000002</v>
      </c>
      <c r="AP605" s="10">
        <v>15921187664.4</v>
      </c>
      <c r="AQ605" s="10">
        <v>12855168481.25</v>
      </c>
      <c r="AR605" s="10">
        <v>14119199974.1</v>
      </c>
      <c r="AS605" s="8"/>
      <c r="AT605" s="8"/>
      <c r="AU605" s="8"/>
      <c r="AV605" s="14">
        <v>45199</v>
      </c>
      <c r="AW605" s="14">
        <v>45199</v>
      </c>
      <c r="AX605" s="14">
        <v>44651</v>
      </c>
      <c r="AY605" s="14">
        <v>44469</v>
      </c>
      <c r="AZ605" s="14">
        <v>44196</v>
      </c>
      <c r="BA605" s="14">
        <v>43830</v>
      </c>
      <c r="BB605" s="14">
        <v>43465</v>
      </c>
      <c r="BC605" s="14">
        <v>43100</v>
      </c>
      <c r="BD605" s="8"/>
      <c r="BE605" s="8"/>
      <c r="BF605" s="8"/>
      <c r="BG605" s="8" t="s">
        <v>35</v>
      </c>
      <c r="BH605" s="8" t="s">
        <v>35</v>
      </c>
      <c r="BI605" s="8" t="s">
        <v>35</v>
      </c>
      <c r="BJ605" s="8" t="s">
        <v>35</v>
      </c>
      <c r="BK605" s="8" t="s">
        <v>35</v>
      </c>
      <c r="BL605" s="8" t="s">
        <v>35</v>
      </c>
      <c r="BM605" s="8" t="s">
        <v>35</v>
      </c>
      <c r="BN605" s="8" t="s">
        <v>35</v>
      </c>
      <c r="BO605" s="8"/>
      <c r="BP605" s="8"/>
      <c r="BQ605" s="8" t="s">
        <v>31</v>
      </c>
      <c r="BR605" s="8" t="s">
        <v>36</v>
      </c>
      <c r="BS605" s="10">
        <v>72228764213413.203</v>
      </c>
      <c r="BT605" s="8" t="s">
        <v>67</v>
      </c>
      <c r="BU605" s="8"/>
      <c r="BV605" s="8" t="s">
        <v>27</v>
      </c>
      <c r="BW605" s="8" t="s">
        <v>42</v>
      </c>
      <c r="BX605" s="8" t="s">
        <v>42</v>
      </c>
      <c r="BY605" s="8" t="s">
        <v>42</v>
      </c>
      <c r="BZ605" s="8" t="s">
        <v>43</v>
      </c>
      <c r="CA605" s="8" t="s">
        <v>42</v>
      </c>
      <c r="CB605" s="8" t="s">
        <v>27</v>
      </c>
      <c r="CC605" s="8" t="s">
        <v>42</v>
      </c>
      <c r="CD605" s="8"/>
      <c r="CE605" s="8"/>
      <c r="CF605" s="8" t="s">
        <v>301</v>
      </c>
      <c r="CG605" s="8" t="s">
        <v>302</v>
      </c>
    </row>
    <row r="606" spans="1:85" ht="15.75" customHeight="1" x14ac:dyDescent="0.35">
      <c r="A606" s="8">
        <v>599</v>
      </c>
      <c r="B606" s="8" t="s">
        <v>832</v>
      </c>
      <c r="C606" s="8"/>
      <c r="D606" s="8"/>
      <c r="E606" s="8"/>
      <c r="F606" s="8"/>
      <c r="G606" s="9">
        <v>0</v>
      </c>
      <c r="H606" s="9">
        <v>0</v>
      </c>
      <c r="I606" s="9">
        <v>3.9999999999999998E-6</v>
      </c>
      <c r="J606" s="9">
        <v>6.9999999999999999E-6</v>
      </c>
      <c r="K606" s="9">
        <v>6.9999999999999999E-6</v>
      </c>
      <c r="L606" s="9">
        <v>1.1E-5</v>
      </c>
      <c r="M606" s="9">
        <v>1.5E-5</v>
      </c>
      <c r="N606" s="8"/>
      <c r="O606" s="8"/>
      <c r="P606" s="8"/>
      <c r="Q606" s="8"/>
      <c r="R606" s="10">
        <v>0</v>
      </c>
      <c r="S606" s="10">
        <v>0</v>
      </c>
      <c r="T606" s="10">
        <v>374292</v>
      </c>
      <c r="U606" s="10">
        <v>605392</v>
      </c>
      <c r="V606" s="10">
        <v>665976</v>
      </c>
      <c r="W606" s="10">
        <v>1037860</v>
      </c>
      <c r="X606" s="10">
        <v>1363040</v>
      </c>
      <c r="Y606" s="8"/>
      <c r="Z606" s="8"/>
      <c r="AA606" s="8"/>
      <c r="AB606" s="8"/>
      <c r="AC606" s="11">
        <v>0</v>
      </c>
      <c r="AD606" s="12">
        <v>-374292</v>
      </c>
      <c r="AE606" s="12">
        <v>-231100</v>
      </c>
      <c r="AF606" s="12">
        <v>-60584</v>
      </c>
      <c r="AG606" s="12">
        <v>-371884</v>
      </c>
      <c r="AH606" s="12">
        <v>-325180</v>
      </c>
      <c r="AI606" s="11">
        <v>0</v>
      </c>
      <c r="AJ606" s="8"/>
      <c r="AK606" s="8"/>
      <c r="AL606" s="8"/>
      <c r="AM606" s="8"/>
      <c r="AN606" s="10">
        <v>0</v>
      </c>
      <c r="AO606" s="10">
        <v>0</v>
      </c>
      <c r="AP606" s="10">
        <v>1432218071.2</v>
      </c>
      <c r="AQ606" s="10">
        <v>2204775400</v>
      </c>
      <c r="AR606" s="10">
        <v>2663904059.8499999</v>
      </c>
      <c r="AS606" s="10">
        <v>2724382512</v>
      </c>
      <c r="AT606" s="10">
        <v>3153173731.8000002</v>
      </c>
      <c r="AU606" s="8"/>
      <c r="AV606" s="8"/>
      <c r="AW606" s="8"/>
      <c r="AX606" s="8"/>
      <c r="AY606" s="14">
        <v>44074</v>
      </c>
      <c r="AZ606" s="14">
        <v>44074</v>
      </c>
      <c r="BA606" s="14">
        <v>43830</v>
      </c>
      <c r="BB606" s="14">
        <v>43465</v>
      </c>
      <c r="BC606" s="14">
        <v>43100</v>
      </c>
      <c r="BD606" s="14">
        <v>42704</v>
      </c>
      <c r="BE606" s="14">
        <v>42369</v>
      </c>
      <c r="BF606" s="8"/>
      <c r="BG606" s="8"/>
      <c r="BH606" s="8"/>
      <c r="BI606" s="8"/>
      <c r="BJ606" s="8" t="s">
        <v>35</v>
      </c>
      <c r="BK606" s="8" t="s">
        <v>35</v>
      </c>
      <c r="BL606" s="8" t="s">
        <v>35</v>
      </c>
      <c r="BM606" s="8" t="s">
        <v>35</v>
      </c>
      <c r="BN606" s="8" t="s">
        <v>35</v>
      </c>
      <c r="BO606" s="8" t="s">
        <v>35</v>
      </c>
      <c r="BP606" s="8" t="s">
        <v>35</v>
      </c>
      <c r="BQ606" s="8" t="s">
        <v>31</v>
      </c>
      <c r="BR606" s="8" t="s">
        <v>49</v>
      </c>
      <c r="BS606" s="10">
        <v>443745453092.40002</v>
      </c>
      <c r="BT606" s="8" t="s">
        <v>57</v>
      </c>
      <c r="BU606" s="8"/>
      <c r="BV606" s="8"/>
      <c r="BW606" s="8"/>
      <c r="BX606" s="8"/>
      <c r="BY606" s="8" t="s">
        <v>43</v>
      </c>
      <c r="BZ606" s="8" t="s">
        <v>43</v>
      </c>
      <c r="CA606" s="8" t="s">
        <v>43</v>
      </c>
      <c r="CB606" s="8" t="s">
        <v>27</v>
      </c>
      <c r="CC606" s="8" t="s">
        <v>27</v>
      </c>
      <c r="CD606" s="8" t="s">
        <v>27</v>
      </c>
      <c r="CE606" s="8" t="s">
        <v>27</v>
      </c>
      <c r="CF606" s="8" t="s">
        <v>50</v>
      </c>
      <c r="CG606" s="8" t="s">
        <v>51</v>
      </c>
    </row>
    <row r="607" spans="1:85" ht="15.75" customHeight="1" x14ac:dyDescent="0.35">
      <c r="A607" s="8">
        <v>600</v>
      </c>
      <c r="B607" s="8" t="s">
        <v>833</v>
      </c>
      <c r="C607" s="8"/>
      <c r="D607" s="8"/>
      <c r="E607" s="9">
        <v>5.0000000000000004E-6</v>
      </c>
      <c r="F607" s="9">
        <v>5.0000000000000004E-6</v>
      </c>
      <c r="G607" s="9">
        <v>0</v>
      </c>
      <c r="H607" s="9">
        <v>3.9999999999999998E-6</v>
      </c>
      <c r="I607" s="9">
        <v>6.0000000000000002E-5</v>
      </c>
      <c r="J607" s="9">
        <v>0</v>
      </c>
      <c r="K607" s="9">
        <v>1.1E-4</v>
      </c>
      <c r="L607" s="9">
        <v>1.3200000000000001E-4</v>
      </c>
      <c r="M607" s="9">
        <v>9.9999999999999995E-7</v>
      </c>
      <c r="N607" s="8"/>
      <c r="O607" s="8"/>
      <c r="P607" s="10">
        <v>431378</v>
      </c>
      <c r="Q607" s="10">
        <v>431378</v>
      </c>
      <c r="R607" s="10">
        <v>0</v>
      </c>
      <c r="S607" s="10">
        <v>329880</v>
      </c>
      <c r="T607" s="10">
        <v>5558524</v>
      </c>
      <c r="U607" s="10">
        <v>0</v>
      </c>
      <c r="V607" s="10">
        <v>10209868</v>
      </c>
      <c r="W607" s="10">
        <v>12217644</v>
      </c>
      <c r="X607" s="10">
        <v>102000</v>
      </c>
      <c r="Y607" s="8"/>
      <c r="Z607" s="8"/>
      <c r="AA607" s="11">
        <v>0</v>
      </c>
      <c r="AB607" s="13">
        <v>431378</v>
      </c>
      <c r="AC607" s="12">
        <v>-329880</v>
      </c>
      <c r="AD607" s="12">
        <v>-5228644</v>
      </c>
      <c r="AE607" s="13">
        <v>5558524</v>
      </c>
      <c r="AF607" s="12">
        <v>-10209868</v>
      </c>
      <c r="AG607" s="12">
        <v>-2007776</v>
      </c>
      <c r="AH607" s="13">
        <v>12115644</v>
      </c>
      <c r="AI607" s="11">
        <v>0</v>
      </c>
      <c r="AJ607" s="8"/>
      <c r="AK607" s="8"/>
      <c r="AL607" s="10">
        <v>1930416559.5</v>
      </c>
      <c r="AM607" s="10">
        <v>1930416559.5</v>
      </c>
      <c r="AN607" s="10">
        <v>0</v>
      </c>
      <c r="AO607" s="10">
        <v>1043245429.2</v>
      </c>
      <c r="AP607" s="10">
        <v>21269540304.400002</v>
      </c>
      <c r="AQ607" s="10">
        <v>0</v>
      </c>
      <c r="AR607" s="10">
        <v>40839471997.75</v>
      </c>
      <c r="AS607" s="10">
        <v>35354807331</v>
      </c>
      <c r="AT607" s="10">
        <v>235960602</v>
      </c>
      <c r="AU607" s="8"/>
      <c r="AV607" s="8"/>
      <c r="AW607" s="14">
        <v>44681</v>
      </c>
      <c r="AX607" s="14">
        <v>44681</v>
      </c>
      <c r="AY607" s="14">
        <v>44347</v>
      </c>
      <c r="AZ607" s="14">
        <v>44196</v>
      </c>
      <c r="BA607" s="14">
        <v>43830</v>
      </c>
      <c r="BB607" s="14">
        <v>43131</v>
      </c>
      <c r="BC607" s="14">
        <v>43100</v>
      </c>
      <c r="BD607" s="14">
        <v>42735</v>
      </c>
      <c r="BE607" s="14">
        <v>42369</v>
      </c>
      <c r="BF607" s="8"/>
      <c r="BG607" s="8"/>
      <c r="BH607" s="8" t="s">
        <v>35</v>
      </c>
      <c r="BI607" s="8" t="s">
        <v>35</v>
      </c>
      <c r="BJ607" s="8" t="s">
        <v>35</v>
      </c>
      <c r="BK607" s="8" t="s">
        <v>35</v>
      </c>
      <c r="BL607" s="8" t="s">
        <v>35</v>
      </c>
      <c r="BM607" s="8" t="s">
        <v>35</v>
      </c>
      <c r="BN607" s="8" t="s">
        <v>35</v>
      </c>
      <c r="BO607" s="8" t="s">
        <v>35</v>
      </c>
      <c r="BP607" s="8" t="s">
        <v>35</v>
      </c>
      <c r="BQ607" s="8" t="s">
        <v>31</v>
      </c>
      <c r="BR607" s="8" t="s">
        <v>49</v>
      </c>
      <c r="BS607" s="10">
        <v>84862098410.399994</v>
      </c>
      <c r="BT607" s="8"/>
      <c r="BU607" s="8"/>
      <c r="BV607" s="8"/>
      <c r="BW607" s="8"/>
      <c r="BX607" s="8" t="s">
        <v>27</v>
      </c>
      <c r="BY607" s="8" t="s">
        <v>27</v>
      </c>
      <c r="BZ607" s="8" t="s">
        <v>43</v>
      </c>
      <c r="CA607" s="8" t="s">
        <v>42</v>
      </c>
      <c r="CB607" s="8" t="s">
        <v>42</v>
      </c>
      <c r="CC607" s="8" t="s">
        <v>42</v>
      </c>
      <c r="CD607" s="8" t="s">
        <v>42</v>
      </c>
      <c r="CE607" s="8" t="s">
        <v>42</v>
      </c>
      <c r="CF607" s="8" t="s">
        <v>158</v>
      </c>
      <c r="CG607" s="8" t="s">
        <v>115</v>
      </c>
    </row>
    <row r="608" spans="1:85" ht="15.75" customHeight="1" x14ac:dyDescent="0.35">
      <c r="A608" s="8">
        <v>601</v>
      </c>
      <c r="B608" s="8" t="s">
        <v>834</v>
      </c>
      <c r="C608" s="8"/>
      <c r="D608" s="8"/>
      <c r="E608" s="8"/>
      <c r="F608" s="8"/>
      <c r="G608" s="9">
        <v>0</v>
      </c>
      <c r="H608" s="9">
        <v>0</v>
      </c>
      <c r="I608" s="8"/>
      <c r="J608" s="8"/>
      <c r="K608" s="8"/>
      <c r="L608" s="8"/>
      <c r="M608" s="8"/>
      <c r="N608" s="8"/>
      <c r="O608" s="8"/>
      <c r="P608" s="8"/>
      <c r="Q608" s="8"/>
      <c r="R608" s="10">
        <v>0</v>
      </c>
      <c r="S608" s="10">
        <v>0</v>
      </c>
      <c r="T608" s="8"/>
      <c r="U608" s="8"/>
      <c r="V608" s="8"/>
      <c r="W608" s="8"/>
      <c r="X608" s="8"/>
      <c r="Y608" s="8"/>
      <c r="Z608" s="8"/>
      <c r="AA608" s="8"/>
      <c r="AB608" s="8"/>
      <c r="AC608" s="11">
        <v>0</v>
      </c>
      <c r="AD608" s="11">
        <v>0</v>
      </c>
      <c r="AE608" s="8"/>
      <c r="AF608" s="8"/>
      <c r="AG608" s="8"/>
      <c r="AH608" s="8"/>
      <c r="AI608" s="8"/>
      <c r="AJ608" s="8"/>
      <c r="AK608" s="8"/>
      <c r="AL608" s="8"/>
      <c r="AM608" s="8"/>
      <c r="AN608" s="10">
        <v>0</v>
      </c>
      <c r="AO608" s="10">
        <v>0</v>
      </c>
      <c r="AP608" s="8"/>
      <c r="AQ608" s="8"/>
      <c r="AR608" s="8"/>
      <c r="AS608" s="8"/>
      <c r="AT608" s="8"/>
      <c r="AU608" s="8"/>
      <c r="AV608" s="8"/>
      <c r="AW608" s="8"/>
      <c r="AX608" s="8"/>
      <c r="AY608" s="14">
        <v>44196</v>
      </c>
      <c r="AZ608" s="14">
        <v>44196</v>
      </c>
      <c r="BA608" s="8"/>
      <c r="BB608" s="8"/>
      <c r="BC608" s="8"/>
      <c r="BD608" s="8"/>
      <c r="BE608" s="8"/>
      <c r="BF608" s="8"/>
      <c r="BG608" s="8"/>
      <c r="BH608" s="8"/>
      <c r="BI608" s="8"/>
      <c r="BJ608" s="8" t="s">
        <v>35</v>
      </c>
      <c r="BK608" s="8" t="s">
        <v>35</v>
      </c>
      <c r="BL608" s="8"/>
      <c r="BM608" s="8"/>
      <c r="BN608" s="8"/>
      <c r="BO608" s="8"/>
      <c r="BP608" s="8"/>
      <c r="BQ608" s="8" t="s">
        <v>31</v>
      </c>
      <c r="BR608" s="8" t="s">
        <v>36</v>
      </c>
      <c r="BS608" s="10">
        <v>30418448026009.199</v>
      </c>
      <c r="BT608" s="8" t="s">
        <v>57</v>
      </c>
      <c r="BU608" s="8"/>
      <c r="BV608" s="8"/>
      <c r="BW608" s="8"/>
      <c r="BX608" s="8"/>
      <c r="BY608" s="8" t="s">
        <v>42</v>
      </c>
      <c r="BZ608" s="8" t="s">
        <v>27</v>
      </c>
      <c r="CA608" s="8"/>
      <c r="CB608" s="8"/>
      <c r="CC608" s="8"/>
      <c r="CD608" s="8"/>
      <c r="CE608" s="8"/>
      <c r="CF608" s="8" t="s">
        <v>50</v>
      </c>
      <c r="CG608" s="8" t="s">
        <v>115</v>
      </c>
    </row>
    <row r="609" spans="1:85" ht="15.75" customHeight="1" x14ac:dyDescent="0.35">
      <c r="A609" s="8">
        <v>602</v>
      </c>
      <c r="B609" s="8" t="s">
        <v>835</v>
      </c>
      <c r="C609" s="8"/>
      <c r="D609" s="8"/>
      <c r="E609" s="8"/>
      <c r="F609" s="8"/>
      <c r="G609" s="8"/>
      <c r="H609" s="8"/>
      <c r="I609" s="8"/>
      <c r="J609" s="8"/>
      <c r="K609" s="8"/>
      <c r="L609" s="9">
        <v>3.1000000000000001E-5</v>
      </c>
      <c r="M609" s="9">
        <v>3.1000000000000001E-5</v>
      </c>
      <c r="N609" s="8"/>
      <c r="O609" s="8"/>
      <c r="P609" s="8"/>
      <c r="Q609" s="8"/>
      <c r="R609" s="8"/>
      <c r="S609" s="8"/>
      <c r="T609" s="8"/>
      <c r="U609" s="8"/>
      <c r="V609" s="8"/>
      <c r="W609" s="10">
        <v>2872000</v>
      </c>
      <c r="X609" s="10">
        <v>2872000</v>
      </c>
      <c r="Y609" s="8"/>
      <c r="Z609" s="8"/>
      <c r="AA609" s="8"/>
      <c r="AB609" s="8"/>
      <c r="AC609" s="8"/>
      <c r="AD609" s="8"/>
      <c r="AE609" s="8"/>
      <c r="AF609" s="8"/>
      <c r="AG609" s="8"/>
      <c r="AH609" s="11">
        <v>0</v>
      </c>
      <c r="AI609" s="11">
        <v>0</v>
      </c>
      <c r="AJ609" s="8"/>
      <c r="AK609" s="8"/>
      <c r="AL609" s="8"/>
      <c r="AM609" s="8"/>
      <c r="AN609" s="8"/>
      <c r="AO609" s="8"/>
      <c r="AP609" s="8"/>
      <c r="AQ609" s="8"/>
      <c r="AR609" s="8"/>
      <c r="AS609" s="10">
        <v>6838950062.5</v>
      </c>
      <c r="AT609" s="10">
        <v>6838950062.5</v>
      </c>
      <c r="AU609" s="8"/>
      <c r="AV609" s="8"/>
      <c r="AW609" s="8"/>
      <c r="AX609" s="8"/>
      <c r="AY609" s="8"/>
      <c r="AZ609" s="8"/>
      <c r="BA609" s="8"/>
      <c r="BB609" s="8"/>
      <c r="BC609" s="8"/>
      <c r="BD609" s="14">
        <v>42216</v>
      </c>
      <c r="BE609" s="14">
        <v>42216</v>
      </c>
      <c r="BF609" s="8"/>
      <c r="BG609" s="8"/>
      <c r="BH609" s="8"/>
      <c r="BI609" s="8"/>
      <c r="BJ609" s="8"/>
      <c r="BK609" s="8"/>
      <c r="BL609" s="8"/>
      <c r="BM609" s="8"/>
      <c r="BN609" s="8"/>
      <c r="BO609" s="8" t="s">
        <v>35</v>
      </c>
      <c r="BP609" s="8" t="s">
        <v>35</v>
      </c>
      <c r="BQ609" s="8" t="s">
        <v>31</v>
      </c>
      <c r="BR609" s="8" t="s">
        <v>36</v>
      </c>
      <c r="BS609" s="10">
        <v>180189194572924</v>
      </c>
      <c r="BT609" s="8" t="s">
        <v>41</v>
      </c>
      <c r="BU609" s="8"/>
      <c r="BV609" s="8"/>
      <c r="BW609" s="8"/>
      <c r="BX609" s="8"/>
      <c r="BY609" s="8"/>
      <c r="BZ609" s="8"/>
      <c r="CA609" s="8"/>
      <c r="CB609" s="8"/>
      <c r="CC609" s="8"/>
      <c r="CD609" s="8" t="s">
        <v>42</v>
      </c>
      <c r="CE609" s="8" t="s">
        <v>42</v>
      </c>
      <c r="CF609" s="8" t="s">
        <v>481</v>
      </c>
      <c r="CG609" s="8" t="s">
        <v>146</v>
      </c>
    </row>
    <row r="610" spans="1:85" ht="15.75" customHeight="1" x14ac:dyDescent="0.35">
      <c r="A610" s="8">
        <v>603</v>
      </c>
      <c r="B610" s="8" t="s">
        <v>836</v>
      </c>
      <c r="C610" s="8"/>
      <c r="D610" s="8"/>
      <c r="E610" s="8"/>
      <c r="F610" s="8"/>
      <c r="G610" s="8"/>
      <c r="H610" s="8"/>
      <c r="I610" s="8"/>
      <c r="J610" s="9">
        <v>0</v>
      </c>
      <c r="K610" s="9">
        <v>0</v>
      </c>
      <c r="L610" s="9">
        <v>3.4E-5</v>
      </c>
      <c r="M610" s="9">
        <v>0</v>
      </c>
      <c r="N610" s="8"/>
      <c r="O610" s="8"/>
      <c r="P610" s="8"/>
      <c r="Q610" s="8"/>
      <c r="R610" s="8"/>
      <c r="S610" s="8"/>
      <c r="T610" s="8"/>
      <c r="U610" s="10">
        <v>0</v>
      </c>
      <c r="V610" s="10">
        <v>0</v>
      </c>
      <c r="W610" s="10">
        <v>3183508</v>
      </c>
      <c r="X610" s="10">
        <v>0</v>
      </c>
      <c r="Y610" s="8"/>
      <c r="Z610" s="8"/>
      <c r="AA610" s="8"/>
      <c r="AB610" s="8"/>
      <c r="AC610" s="8"/>
      <c r="AD610" s="8"/>
      <c r="AE610" s="8"/>
      <c r="AF610" s="11">
        <v>0</v>
      </c>
      <c r="AG610" s="12">
        <v>-3183508</v>
      </c>
      <c r="AH610" s="13">
        <v>3183508</v>
      </c>
      <c r="AI610" s="11">
        <v>0</v>
      </c>
      <c r="AJ610" s="8"/>
      <c r="AK610" s="8"/>
      <c r="AL610" s="8"/>
      <c r="AM610" s="8"/>
      <c r="AN610" s="8"/>
      <c r="AO610" s="8"/>
      <c r="AP610" s="8"/>
      <c r="AQ610" s="10">
        <v>0</v>
      </c>
      <c r="AR610" s="10">
        <v>0</v>
      </c>
      <c r="AS610" s="10">
        <v>9212276320.7999992</v>
      </c>
      <c r="AT610" s="10">
        <v>0</v>
      </c>
      <c r="AU610" s="8"/>
      <c r="AV610" s="8"/>
      <c r="AW610" s="8"/>
      <c r="AX610" s="8"/>
      <c r="AY610" s="8"/>
      <c r="AZ610" s="8"/>
      <c r="BA610" s="8"/>
      <c r="BB610" s="14">
        <v>43100</v>
      </c>
      <c r="BC610" s="14">
        <v>43100</v>
      </c>
      <c r="BD610" s="14">
        <v>42735</v>
      </c>
      <c r="BE610" s="14">
        <v>42004</v>
      </c>
      <c r="BF610" s="8"/>
      <c r="BG610" s="8"/>
      <c r="BH610" s="8"/>
      <c r="BI610" s="8"/>
      <c r="BJ610" s="8"/>
      <c r="BK610" s="8"/>
      <c r="BL610" s="8"/>
      <c r="BM610" s="8" t="s">
        <v>35</v>
      </c>
      <c r="BN610" s="8" t="s">
        <v>35</v>
      </c>
      <c r="BO610" s="8" t="s">
        <v>35</v>
      </c>
      <c r="BP610" s="8" t="s">
        <v>35</v>
      </c>
      <c r="BQ610" s="8" t="s">
        <v>31</v>
      </c>
      <c r="BR610" s="8" t="s">
        <v>36</v>
      </c>
      <c r="BS610" s="10">
        <v>8183402850422.4004</v>
      </c>
      <c r="BT610" s="8" t="s">
        <v>61</v>
      </c>
      <c r="BU610" s="8"/>
      <c r="BV610" s="8"/>
      <c r="BW610" s="8"/>
      <c r="BX610" s="8"/>
      <c r="BY610" s="8"/>
      <c r="BZ610" s="8"/>
      <c r="CA610" s="8"/>
      <c r="CB610" s="8" t="s">
        <v>27</v>
      </c>
      <c r="CC610" s="8" t="s">
        <v>42</v>
      </c>
      <c r="CD610" s="8" t="s">
        <v>42</v>
      </c>
      <c r="CE610" s="8" t="s">
        <v>42</v>
      </c>
      <c r="CF610" s="8" t="s">
        <v>346</v>
      </c>
      <c r="CG610" s="8" t="s">
        <v>347</v>
      </c>
    </row>
    <row r="611" spans="1:85" ht="15.75" customHeight="1" x14ac:dyDescent="0.35">
      <c r="A611" s="8">
        <v>604</v>
      </c>
      <c r="B611" s="8" t="s">
        <v>837</v>
      </c>
      <c r="C611" s="8"/>
      <c r="D611" s="9">
        <v>3.3000000000000003E-5</v>
      </c>
      <c r="E611" s="9">
        <v>3.3000000000000003E-5</v>
      </c>
      <c r="F611" s="8"/>
      <c r="G611" s="8"/>
      <c r="H611" s="8"/>
      <c r="I611" s="8"/>
      <c r="J611" s="8"/>
      <c r="K611" s="8"/>
      <c r="L611" s="8"/>
      <c r="M611" s="8"/>
      <c r="N611" s="8"/>
      <c r="O611" s="10">
        <v>3033600</v>
      </c>
      <c r="P611" s="10">
        <v>3033600</v>
      </c>
      <c r="Q611" s="8"/>
      <c r="R611" s="8"/>
      <c r="S611" s="8"/>
      <c r="T611" s="8"/>
      <c r="U611" s="8"/>
      <c r="V611" s="8"/>
      <c r="W611" s="8"/>
      <c r="X611" s="8"/>
      <c r="Y611" s="8"/>
      <c r="Z611" s="11">
        <v>0</v>
      </c>
      <c r="AA611" s="13">
        <v>3033600</v>
      </c>
      <c r="AB611" s="8"/>
      <c r="AC611" s="8"/>
      <c r="AD611" s="8"/>
      <c r="AE611" s="8"/>
      <c r="AF611" s="8"/>
      <c r="AG611" s="8"/>
      <c r="AH611" s="8"/>
      <c r="AI611" s="8"/>
      <c r="AJ611" s="8"/>
      <c r="AK611" s="10">
        <v>17746560020.700001</v>
      </c>
      <c r="AL611" s="10">
        <v>17746560020.700001</v>
      </c>
      <c r="AM611" s="8"/>
      <c r="AN611" s="8"/>
      <c r="AO611" s="8"/>
      <c r="AP611" s="8"/>
      <c r="AQ611" s="8"/>
      <c r="AR611" s="8"/>
      <c r="AS611" s="8"/>
      <c r="AT611" s="8"/>
      <c r="AU611" s="8"/>
      <c r="AV611" s="14">
        <v>45260</v>
      </c>
      <c r="AW611" s="14">
        <v>45260</v>
      </c>
      <c r="AX611" s="8"/>
      <c r="AY611" s="8"/>
      <c r="AZ611" s="8"/>
      <c r="BA611" s="8"/>
      <c r="BB611" s="8"/>
      <c r="BC611" s="8"/>
      <c r="BD611" s="8"/>
      <c r="BE611" s="8"/>
      <c r="BF611" s="8"/>
      <c r="BG611" s="8" t="s">
        <v>35</v>
      </c>
      <c r="BH611" s="8" t="s">
        <v>35</v>
      </c>
      <c r="BI611" s="8"/>
      <c r="BJ611" s="8"/>
      <c r="BK611" s="8"/>
      <c r="BL611" s="8"/>
      <c r="BM611" s="8"/>
      <c r="BN611" s="8"/>
      <c r="BO611" s="8"/>
      <c r="BP611" s="8"/>
      <c r="BQ611" s="8" t="s">
        <v>31</v>
      </c>
      <c r="BR611" s="8" t="s">
        <v>36</v>
      </c>
      <c r="BS611" s="10">
        <v>1170294734564.3999</v>
      </c>
      <c r="BT611" s="8"/>
      <c r="BU611" s="8"/>
      <c r="BV611" s="8"/>
      <c r="BW611" s="8" t="s">
        <v>42</v>
      </c>
      <c r="BX611" s="8"/>
      <c r="BY611" s="8"/>
      <c r="BZ611" s="8"/>
      <c r="CA611" s="8"/>
      <c r="CB611" s="8"/>
      <c r="CC611" s="8"/>
      <c r="CD611" s="8"/>
      <c r="CE611" s="8"/>
      <c r="CF611" s="8" t="s">
        <v>232</v>
      </c>
      <c r="CG611" s="8" t="s">
        <v>232</v>
      </c>
    </row>
    <row r="612" spans="1:85" ht="15.75" customHeight="1" x14ac:dyDescent="0.35">
      <c r="A612" s="8">
        <v>605</v>
      </c>
      <c r="B612" s="8" t="s">
        <v>838</v>
      </c>
      <c r="C612" s="8"/>
      <c r="D612" s="8"/>
      <c r="E612" s="8"/>
      <c r="F612" s="8"/>
      <c r="G612" s="8"/>
      <c r="H612" s="8"/>
      <c r="I612" s="8"/>
      <c r="J612" s="9">
        <v>0</v>
      </c>
      <c r="K612" s="9">
        <v>0</v>
      </c>
      <c r="L612" s="9">
        <v>4.6999999999999997E-5</v>
      </c>
      <c r="M612" s="9">
        <v>4.6999999999999997E-5</v>
      </c>
      <c r="N612" s="8"/>
      <c r="O612" s="8"/>
      <c r="P612" s="8"/>
      <c r="Q612" s="8"/>
      <c r="R612" s="8"/>
      <c r="S612" s="8"/>
      <c r="T612" s="8"/>
      <c r="U612" s="10">
        <v>0</v>
      </c>
      <c r="V612" s="10">
        <v>0</v>
      </c>
      <c r="W612" s="10">
        <v>4360000</v>
      </c>
      <c r="X612" s="10">
        <v>4360000</v>
      </c>
      <c r="Y612" s="8"/>
      <c r="Z612" s="8"/>
      <c r="AA612" s="8"/>
      <c r="AB612" s="8"/>
      <c r="AC612" s="8"/>
      <c r="AD612" s="8"/>
      <c r="AE612" s="8"/>
      <c r="AF612" s="11">
        <v>0</v>
      </c>
      <c r="AG612" s="12">
        <v>-4360000</v>
      </c>
      <c r="AH612" s="11">
        <v>0</v>
      </c>
      <c r="AI612" s="11">
        <v>0</v>
      </c>
      <c r="AJ612" s="8"/>
      <c r="AK612" s="8"/>
      <c r="AL612" s="8"/>
      <c r="AM612" s="8"/>
      <c r="AN612" s="8"/>
      <c r="AO612" s="8"/>
      <c r="AP612" s="8"/>
      <c r="AQ612" s="10">
        <v>0</v>
      </c>
      <c r="AR612" s="10">
        <v>0</v>
      </c>
      <c r="AS612" s="10">
        <v>12616749989.1</v>
      </c>
      <c r="AT612" s="10">
        <v>10086158346.9</v>
      </c>
      <c r="AU612" s="8"/>
      <c r="AV612" s="8"/>
      <c r="AW612" s="8"/>
      <c r="AX612" s="8"/>
      <c r="AY612" s="8"/>
      <c r="AZ612" s="8"/>
      <c r="BA612" s="8"/>
      <c r="BB612" s="14">
        <v>42886</v>
      </c>
      <c r="BC612" s="14">
        <v>42886</v>
      </c>
      <c r="BD612" s="14">
        <v>42735</v>
      </c>
      <c r="BE612" s="14">
        <v>42369</v>
      </c>
      <c r="BF612" s="8"/>
      <c r="BG612" s="8"/>
      <c r="BH612" s="8"/>
      <c r="BI612" s="8"/>
      <c r="BJ612" s="8"/>
      <c r="BK612" s="8"/>
      <c r="BL612" s="8"/>
      <c r="BM612" s="8" t="s">
        <v>35</v>
      </c>
      <c r="BN612" s="8" t="s">
        <v>35</v>
      </c>
      <c r="BO612" s="8" t="s">
        <v>35</v>
      </c>
      <c r="BP612" s="8" t="s">
        <v>35</v>
      </c>
      <c r="BQ612" s="8" t="s">
        <v>31</v>
      </c>
      <c r="BR612" s="8" t="s">
        <v>36</v>
      </c>
      <c r="BS612" s="10">
        <v>13296142380508.801</v>
      </c>
      <c r="BT612" s="8"/>
      <c r="BU612" s="8"/>
      <c r="BV612" s="8"/>
      <c r="BW612" s="8"/>
      <c r="BX612" s="8"/>
      <c r="BY612" s="8"/>
      <c r="BZ612" s="8"/>
      <c r="CA612" s="8"/>
      <c r="CB612" s="8" t="s">
        <v>42</v>
      </c>
      <c r="CC612" s="8" t="s">
        <v>42</v>
      </c>
      <c r="CD612" s="8" t="s">
        <v>27</v>
      </c>
      <c r="CE612" s="8" t="s">
        <v>27</v>
      </c>
      <c r="CF612" s="8" t="s">
        <v>839</v>
      </c>
      <c r="CG612" s="8" t="s">
        <v>213</v>
      </c>
    </row>
    <row r="613" spans="1:85" ht="15.75" customHeight="1" x14ac:dyDescent="0.35">
      <c r="A613" s="8">
        <v>606</v>
      </c>
      <c r="B613" s="8" t="s">
        <v>840</v>
      </c>
      <c r="C613" s="8"/>
      <c r="D613" s="8"/>
      <c r="E613" s="8"/>
      <c r="F613" s="8"/>
      <c r="G613" s="8"/>
      <c r="H613" s="8"/>
      <c r="I613" s="8"/>
      <c r="J613" s="8"/>
      <c r="K613" s="9">
        <v>0</v>
      </c>
      <c r="L613" s="9">
        <v>0</v>
      </c>
      <c r="M613" s="9">
        <v>0</v>
      </c>
      <c r="N613" s="8"/>
      <c r="O613" s="8"/>
      <c r="P613" s="8"/>
      <c r="Q613" s="8"/>
      <c r="R613" s="8"/>
      <c r="S613" s="8"/>
      <c r="T613" s="8"/>
      <c r="U613" s="8"/>
      <c r="V613" s="10">
        <v>0</v>
      </c>
      <c r="W613" s="10">
        <v>0</v>
      </c>
      <c r="X613" s="10">
        <v>34488</v>
      </c>
      <c r="Y613" s="8"/>
      <c r="Z613" s="8"/>
      <c r="AA613" s="8"/>
      <c r="AB613" s="8"/>
      <c r="AC613" s="8"/>
      <c r="AD613" s="8"/>
      <c r="AE613" s="8"/>
      <c r="AF613" s="8"/>
      <c r="AG613" s="11">
        <v>0</v>
      </c>
      <c r="AH613" s="12">
        <v>-34488</v>
      </c>
      <c r="AI613" s="11">
        <v>0</v>
      </c>
      <c r="AJ613" s="8"/>
      <c r="AK613" s="8"/>
      <c r="AL613" s="8"/>
      <c r="AM613" s="8"/>
      <c r="AN613" s="8"/>
      <c r="AO613" s="8"/>
      <c r="AP613" s="8"/>
      <c r="AQ613" s="8"/>
      <c r="AR613" s="10">
        <v>0</v>
      </c>
      <c r="AS613" s="10">
        <v>0</v>
      </c>
      <c r="AT613" s="10">
        <v>75011340.75</v>
      </c>
      <c r="AU613" s="8"/>
      <c r="AV613" s="8"/>
      <c r="AW613" s="8"/>
      <c r="AX613" s="8"/>
      <c r="AY613" s="8"/>
      <c r="AZ613" s="8"/>
      <c r="BA613" s="8"/>
      <c r="BB613" s="8"/>
      <c r="BC613" s="14">
        <v>42551</v>
      </c>
      <c r="BD613" s="14">
        <v>42551</v>
      </c>
      <c r="BE613" s="14">
        <v>42308</v>
      </c>
      <c r="BF613" s="8"/>
      <c r="BG613" s="8"/>
      <c r="BH613" s="8"/>
      <c r="BI613" s="8"/>
      <c r="BJ613" s="8"/>
      <c r="BK613" s="8"/>
      <c r="BL613" s="8"/>
      <c r="BM613" s="8"/>
      <c r="BN613" s="8" t="s">
        <v>35</v>
      </c>
      <c r="BO613" s="8" t="s">
        <v>35</v>
      </c>
      <c r="BP613" s="8" t="s">
        <v>35</v>
      </c>
      <c r="BQ613" s="8" t="s">
        <v>31</v>
      </c>
      <c r="BR613" s="8" t="s">
        <v>36</v>
      </c>
      <c r="BS613" s="10">
        <v>369900106204.79999</v>
      </c>
      <c r="BT613" s="8"/>
      <c r="BU613" s="8"/>
      <c r="BV613" s="8"/>
      <c r="BW613" s="8"/>
      <c r="BX613" s="8"/>
      <c r="BY613" s="8"/>
      <c r="BZ613" s="8"/>
      <c r="CA613" s="8"/>
      <c r="CB613" s="8"/>
      <c r="CC613" s="8" t="s">
        <v>27</v>
      </c>
      <c r="CD613" s="8" t="s">
        <v>43</v>
      </c>
      <c r="CE613" s="8" t="s">
        <v>43</v>
      </c>
      <c r="CF613" s="8" t="s">
        <v>615</v>
      </c>
      <c r="CG613" s="8" t="s">
        <v>39</v>
      </c>
    </row>
    <row r="614" spans="1:85" ht="15.75" hidden="1" customHeight="1" x14ac:dyDescent="0.35">
      <c r="A614" s="8">
        <v>607</v>
      </c>
      <c r="B614" s="8" t="s">
        <v>841</v>
      </c>
      <c r="C614" s="8"/>
      <c r="D614" s="8"/>
      <c r="E614" s="9">
        <v>4.8000000000000001E-5</v>
      </c>
      <c r="F614" s="9">
        <v>2.0000000000000002E-5</v>
      </c>
      <c r="G614" s="9">
        <v>6.0000000000000002E-6</v>
      </c>
      <c r="H614" s="9">
        <v>3.0000000000000001E-6</v>
      </c>
      <c r="I614" s="8"/>
      <c r="J614" s="8"/>
      <c r="K614" s="8"/>
      <c r="L614" s="8"/>
      <c r="M614" s="8"/>
      <c r="N614" s="8"/>
      <c r="O614" s="8"/>
      <c r="P614" s="10">
        <v>4438400</v>
      </c>
      <c r="Q614" s="10">
        <v>1824600</v>
      </c>
      <c r="R614" s="10">
        <v>583600</v>
      </c>
      <c r="S614" s="10">
        <v>236800</v>
      </c>
      <c r="T614" s="8"/>
      <c r="U614" s="8"/>
      <c r="V614" s="8"/>
      <c r="W614" s="8"/>
      <c r="X614" s="8"/>
      <c r="Y614" s="8"/>
      <c r="Z614" s="8"/>
      <c r="AA614" s="13">
        <v>2613800</v>
      </c>
      <c r="AB614" s="13">
        <v>1241000</v>
      </c>
      <c r="AC614" s="13">
        <v>346800</v>
      </c>
      <c r="AD614" s="13">
        <v>236800</v>
      </c>
      <c r="AE614" s="8"/>
      <c r="AF614" s="8"/>
      <c r="AG614" s="8"/>
      <c r="AH614" s="8"/>
      <c r="AI614" s="8"/>
      <c r="AJ614" s="8"/>
      <c r="AK614" s="8"/>
      <c r="AL614" s="10">
        <v>26852320012.75</v>
      </c>
      <c r="AM614" s="10">
        <v>9054577486.3500004</v>
      </c>
      <c r="AN614" s="10">
        <v>2047739535</v>
      </c>
      <c r="AO614" s="10">
        <v>748879981.20000005</v>
      </c>
      <c r="AP614" s="8"/>
      <c r="AQ614" s="8"/>
      <c r="AR614" s="8"/>
      <c r="AS614" s="8"/>
      <c r="AT614" s="8"/>
      <c r="AU614" s="8"/>
      <c r="AV614" s="8"/>
      <c r="AW614" s="14">
        <v>45291</v>
      </c>
      <c r="AX614" s="14">
        <v>44926</v>
      </c>
      <c r="AY614" s="14">
        <v>44561</v>
      </c>
      <c r="AZ614" s="14">
        <v>44196</v>
      </c>
      <c r="BA614" s="8"/>
      <c r="BB614" s="8"/>
      <c r="BC614" s="8"/>
      <c r="BD614" s="8"/>
      <c r="BE614" s="8"/>
      <c r="BF614" s="8"/>
      <c r="BG614" s="8"/>
      <c r="BH614" s="8" t="s">
        <v>201</v>
      </c>
      <c r="BI614" s="8" t="s">
        <v>201</v>
      </c>
      <c r="BJ614" s="8" t="s">
        <v>201</v>
      </c>
      <c r="BK614" s="8" t="s">
        <v>201</v>
      </c>
      <c r="BL614" s="8"/>
      <c r="BM614" s="8"/>
      <c r="BN614" s="8"/>
      <c r="BO614" s="8"/>
      <c r="BP614" s="8"/>
      <c r="BQ614" s="8" t="s">
        <v>25</v>
      </c>
      <c r="BR614" s="8" t="s">
        <v>202</v>
      </c>
      <c r="BS614" s="10">
        <v>0</v>
      </c>
      <c r="BT614" s="8"/>
      <c r="BU614" s="8"/>
      <c r="BV614" s="8"/>
      <c r="BW614" s="8" t="s">
        <v>27</v>
      </c>
      <c r="BX614" s="8" t="s">
        <v>42</v>
      </c>
      <c r="BY614" s="8" t="s">
        <v>27</v>
      </c>
      <c r="BZ614" s="8"/>
      <c r="CA614" s="8"/>
      <c r="CB614" s="8"/>
      <c r="CC614" s="8"/>
      <c r="CD614" s="8"/>
      <c r="CE614" s="8"/>
      <c r="CF614" s="8"/>
      <c r="CG614" s="8" t="s">
        <v>29</v>
      </c>
    </row>
    <row r="615" spans="1:85" ht="15.75" customHeight="1" x14ac:dyDescent="0.35">
      <c r="A615" s="8">
        <v>608</v>
      </c>
      <c r="B615" s="8" t="s">
        <v>842</v>
      </c>
      <c r="C615" s="8"/>
      <c r="D615" s="8"/>
      <c r="E615" s="8"/>
      <c r="F615" s="8"/>
      <c r="G615" s="8"/>
      <c r="H615" s="8"/>
      <c r="I615" s="8"/>
      <c r="J615" s="9">
        <v>0</v>
      </c>
      <c r="K615" s="9">
        <v>0</v>
      </c>
      <c r="L615" s="9">
        <v>5.5999999999999999E-5</v>
      </c>
      <c r="M615" s="9">
        <v>1.7E-5</v>
      </c>
      <c r="N615" s="8"/>
      <c r="O615" s="8"/>
      <c r="P615" s="8"/>
      <c r="Q615" s="8"/>
      <c r="R615" s="8"/>
      <c r="S615" s="8"/>
      <c r="T615" s="8"/>
      <c r="U615" s="10">
        <v>0</v>
      </c>
      <c r="V615" s="10">
        <v>0</v>
      </c>
      <c r="W615" s="10">
        <v>5154400</v>
      </c>
      <c r="X615" s="10">
        <v>1536000</v>
      </c>
      <c r="Y615" s="8"/>
      <c r="Z615" s="8"/>
      <c r="AA615" s="8"/>
      <c r="AB615" s="8"/>
      <c r="AC615" s="8"/>
      <c r="AD615" s="8"/>
      <c r="AE615" s="8"/>
      <c r="AF615" s="11">
        <v>0</v>
      </c>
      <c r="AG615" s="12">
        <v>-5154400</v>
      </c>
      <c r="AH615" s="13">
        <v>3618400</v>
      </c>
      <c r="AI615" s="11">
        <v>0</v>
      </c>
      <c r="AJ615" s="8"/>
      <c r="AK615" s="8"/>
      <c r="AL615" s="8"/>
      <c r="AM615" s="8"/>
      <c r="AN615" s="8"/>
      <c r="AO615" s="8"/>
      <c r="AP615" s="8"/>
      <c r="AQ615" s="10">
        <v>0</v>
      </c>
      <c r="AR615" s="10">
        <v>0</v>
      </c>
      <c r="AS615" s="10">
        <v>14432320022.4</v>
      </c>
      <c r="AT615" s="10">
        <v>4224000024.0500002</v>
      </c>
      <c r="AU615" s="8"/>
      <c r="AV615" s="8"/>
      <c r="AW615" s="8"/>
      <c r="AX615" s="8"/>
      <c r="AY615" s="8"/>
      <c r="AZ615" s="8"/>
      <c r="BA615" s="8"/>
      <c r="BB615" s="14">
        <v>42916</v>
      </c>
      <c r="BC615" s="14">
        <v>42916</v>
      </c>
      <c r="BD615" s="14">
        <v>42643</v>
      </c>
      <c r="BE615" s="14">
        <v>42035</v>
      </c>
      <c r="BF615" s="8"/>
      <c r="BG615" s="8"/>
      <c r="BH615" s="8"/>
      <c r="BI615" s="8"/>
      <c r="BJ615" s="8"/>
      <c r="BK615" s="8"/>
      <c r="BL615" s="8"/>
      <c r="BM615" s="8" t="s">
        <v>35</v>
      </c>
      <c r="BN615" s="8" t="s">
        <v>35</v>
      </c>
      <c r="BO615" s="8" t="s">
        <v>35</v>
      </c>
      <c r="BP615" s="8" t="s">
        <v>35</v>
      </c>
      <c r="BQ615" s="8" t="s">
        <v>31</v>
      </c>
      <c r="BR615" s="8" t="s">
        <v>101</v>
      </c>
      <c r="BS615" s="10">
        <v>6715509065428.7998</v>
      </c>
      <c r="BT615" s="8" t="s">
        <v>101</v>
      </c>
      <c r="BU615" s="8"/>
      <c r="BV615" s="8"/>
      <c r="BW615" s="8"/>
      <c r="BX615" s="8"/>
      <c r="BY615" s="8"/>
      <c r="BZ615" s="8"/>
      <c r="CA615" s="8"/>
      <c r="CB615" s="8" t="s">
        <v>43</v>
      </c>
      <c r="CC615" s="8" t="s">
        <v>42</v>
      </c>
      <c r="CD615" s="8" t="s">
        <v>42</v>
      </c>
      <c r="CE615" s="8" t="s">
        <v>42</v>
      </c>
      <c r="CF615" s="8" t="s">
        <v>82</v>
      </c>
      <c r="CG615" s="8" t="s">
        <v>39</v>
      </c>
    </row>
    <row r="616" spans="1:85" ht="15.75" customHeight="1" x14ac:dyDescent="0.35">
      <c r="A616" s="8">
        <v>609</v>
      </c>
      <c r="B616" s="8" t="s">
        <v>843</v>
      </c>
      <c r="C616" s="8"/>
      <c r="D616" s="8"/>
      <c r="E616" s="8"/>
      <c r="F616" s="8"/>
      <c r="G616" s="8"/>
      <c r="H616" s="9">
        <v>0</v>
      </c>
      <c r="I616" s="9">
        <v>0</v>
      </c>
      <c r="J616" s="9">
        <v>0</v>
      </c>
      <c r="K616" s="8"/>
      <c r="L616" s="8"/>
      <c r="M616" s="8"/>
      <c r="N616" s="8"/>
      <c r="O616" s="8"/>
      <c r="P616" s="8"/>
      <c r="Q616" s="8"/>
      <c r="R616" s="8"/>
      <c r="S616" s="10">
        <v>0</v>
      </c>
      <c r="T616" s="10">
        <v>0</v>
      </c>
      <c r="U616" s="10">
        <v>3600</v>
      </c>
      <c r="V616" s="8"/>
      <c r="W616" s="8"/>
      <c r="X616" s="8"/>
      <c r="Y616" s="8"/>
      <c r="Z616" s="8"/>
      <c r="AA616" s="8"/>
      <c r="AB616" s="8"/>
      <c r="AC616" s="8"/>
      <c r="AD616" s="11">
        <v>0</v>
      </c>
      <c r="AE616" s="12">
        <v>-3600</v>
      </c>
      <c r="AF616" s="13">
        <v>3600</v>
      </c>
      <c r="AG616" s="8"/>
      <c r="AH616" s="8"/>
      <c r="AI616" s="8"/>
      <c r="AJ616" s="8"/>
      <c r="AK616" s="8"/>
      <c r="AL616" s="8"/>
      <c r="AM616" s="8"/>
      <c r="AN616" s="8"/>
      <c r="AO616" s="10">
        <v>0</v>
      </c>
      <c r="AP616" s="10">
        <v>0</v>
      </c>
      <c r="AQ616" s="10">
        <v>13110862.5</v>
      </c>
      <c r="AR616" s="8"/>
      <c r="AS616" s="8"/>
      <c r="AT616" s="8"/>
      <c r="AU616" s="8"/>
      <c r="AV616" s="8"/>
      <c r="AW616" s="8"/>
      <c r="AX616" s="8"/>
      <c r="AY616" s="8"/>
      <c r="AZ616" s="14">
        <v>43555</v>
      </c>
      <c r="BA616" s="14">
        <v>43555</v>
      </c>
      <c r="BB616" s="14">
        <v>43465</v>
      </c>
      <c r="BC616" s="8"/>
      <c r="BD616" s="8"/>
      <c r="BE616" s="8"/>
      <c r="BF616" s="8"/>
      <c r="BG616" s="8"/>
      <c r="BH616" s="8"/>
      <c r="BI616" s="8"/>
      <c r="BJ616" s="8"/>
      <c r="BK616" s="8" t="s">
        <v>35</v>
      </c>
      <c r="BL616" s="8" t="s">
        <v>35</v>
      </c>
      <c r="BM616" s="8" t="s">
        <v>35</v>
      </c>
      <c r="BN616" s="8"/>
      <c r="BO616" s="8"/>
      <c r="BP616" s="8"/>
      <c r="BQ616" s="8" t="s">
        <v>31</v>
      </c>
      <c r="BR616" s="8" t="s">
        <v>49</v>
      </c>
      <c r="BS616" s="10">
        <v>152273500786157</v>
      </c>
      <c r="BT616" s="8" t="s">
        <v>57</v>
      </c>
      <c r="BU616" s="8"/>
      <c r="BV616" s="8"/>
      <c r="BW616" s="8"/>
      <c r="BX616" s="8"/>
      <c r="BY616" s="8"/>
      <c r="BZ616" s="8" t="s">
        <v>43</v>
      </c>
      <c r="CA616" s="8" t="s">
        <v>42</v>
      </c>
      <c r="CB616" s="8" t="s">
        <v>43</v>
      </c>
      <c r="CC616" s="8"/>
      <c r="CD616" s="8"/>
      <c r="CE616" s="8"/>
      <c r="CF616" s="8" t="s">
        <v>844</v>
      </c>
      <c r="CG616" s="8" t="s">
        <v>39</v>
      </c>
    </row>
    <row r="617" spans="1:85" ht="15.75" customHeight="1" x14ac:dyDescent="0.35">
      <c r="A617" s="8">
        <v>610</v>
      </c>
      <c r="B617" s="8" t="s">
        <v>845</v>
      </c>
      <c r="C617" s="8"/>
      <c r="D617" s="8"/>
      <c r="E617" s="8"/>
      <c r="F617" s="8"/>
      <c r="G617" s="8"/>
      <c r="H617" s="8"/>
      <c r="I617" s="8"/>
      <c r="J617" s="8"/>
      <c r="K617" s="8"/>
      <c r="L617" s="9">
        <v>0</v>
      </c>
      <c r="M617" s="9">
        <v>0</v>
      </c>
      <c r="N617" s="8"/>
      <c r="O617" s="8"/>
      <c r="P617" s="8"/>
      <c r="Q617" s="8"/>
      <c r="R617" s="8"/>
      <c r="S617" s="8"/>
      <c r="T617" s="8"/>
      <c r="U617" s="8"/>
      <c r="V617" s="8"/>
      <c r="W617" s="10">
        <v>0</v>
      </c>
      <c r="X617" s="10">
        <v>0</v>
      </c>
      <c r="Y617" s="8"/>
      <c r="Z617" s="8"/>
      <c r="AA617" s="8"/>
      <c r="AB617" s="8"/>
      <c r="AC617" s="8"/>
      <c r="AD617" s="8"/>
      <c r="AE617" s="8"/>
      <c r="AF617" s="8"/>
      <c r="AG617" s="8"/>
      <c r="AH617" s="11">
        <v>0</v>
      </c>
      <c r="AI617" s="11">
        <v>0</v>
      </c>
      <c r="AJ617" s="8"/>
      <c r="AK617" s="8"/>
      <c r="AL617" s="8"/>
      <c r="AM617" s="8"/>
      <c r="AN617" s="8"/>
      <c r="AO617" s="8"/>
      <c r="AP617" s="8"/>
      <c r="AQ617" s="8"/>
      <c r="AR617" s="8"/>
      <c r="AS617" s="10">
        <v>0</v>
      </c>
      <c r="AT617" s="10">
        <v>0</v>
      </c>
      <c r="AU617" s="8"/>
      <c r="AV617" s="8"/>
      <c r="AW617" s="8"/>
      <c r="AX617" s="8"/>
      <c r="AY617" s="8"/>
      <c r="AZ617" s="8"/>
      <c r="BA617" s="8"/>
      <c r="BB617" s="8"/>
      <c r="BC617" s="8"/>
      <c r="BD617" s="14">
        <v>42094</v>
      </c>
      <c r="BE617" s="14">
        <v>42094</v>
      </c>
      <c r="BF617" s="8"/>
      <c r="BG617" s="8"/>
      <c r="BH617" s="8"/>
      <c r="BI617" s="8"/>
      <c r="BJ617" s="8"/>
      <c r="BK617" s="8"/>
      <c r="BL617" s="8"/>
      <c r="BM617" s="8"/>
      <c r="BN617" s="8"/>
      <c r="BO617" s="8" t="s">
        <v>35</v>
      </c>
      <c r="BP617" s="8" t="s">
        <v>35</v>
      </c>
      <c r="BQ617" s="8" t="s">
        <v>31</v>
      </c>
      <c r="BR617" s="8" t="s">
        <v>160</v>
      </c>
      <c r="BS617" s="10">
        <v>80045088883.199997</v>
      </c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 t="s">
        <v>42</v>
      </c>
      <c r="CE617" s="8" t="s">
        <v>42</v>
      </c>
      <c r="CF617" s="8" t="s">
        <v>391</v>
      </c>
      <c r="CG617" s="8" t="s">
        <v>99</v>
      </c>
    </row>
    <row r="618" spans="1:85" ht="15.75" customHeight="1" x14ac:dyDescent="0.35">
      <c r="A618" s="8">
        <v>611</v>
      </c>
      <c r="B618" s="8" t="s">
        <v>846</v>
      </c>
      <c r="C618" s="8"/>
      <c r="D618" s="8"/>
      <c r="E618" s="9">
        <v>3.0000000000000001E-6</v>
      </c>
      <c r="F618" s="9">
        <v>3.9999999999999998E-6</v>
      </c>
      <c r="G618" s="9">
        <v>0</v>
      </c>
      <c r="H618" s="9">
        <v>0</v>
      </c>
      <c r="I618" s="9">
        <v>0</v>
      </c>
      <c r="J618" s="8"/>
      <c r="K618" s="8"/>
      <c r="L618" s="8"/>
      <c r="M618" s="8"/>
      <c r="N618" s="8"/>
      <c r="O618" s="8"/>
      <c r="P618" s="10">
        <v>289200</v>
      </c>
      <c r="Q618" s="10">
        <v>366000</v>
      </c>
      <c r="R618" s="10">
        <v>0</v>
      </c>
      <c r="S618" s="10">
        <v>0</v>
      </c>
      <c r="T618" s="10">
        <v>39000</v>
      </c>
      <c r="U618" s="8"/>
      <c r="V618" s="8"/>
      <c r="W618" s="8"/>
      <c r="X618" s="8"/>
      <c r="Y618" s="8"/>
      <c r="Z618" s="8"/>
      <c r="AA618" s="12">
        <v>-76800</v>
      </c>
      <c r="AB618" s="13">
        <v>366000</v>
      </c>
      <c r="AC618" s="11">
        <v>0</v>
      </c>
      <c r="AD618" s="12">
        <v>-39000</v>
      </c>
      <c r="AE618" s="13">
        <v>39000</v>
      </c>
      <c r="AF618" s="8"/>
      <c r="AG618" s="8"/>
      <c r="AH618" s="8"/>
      <c r="AI618" s="8"/>
      <c r="AJ618" s="8"/>
      <c r="AK618" s="8"/>
      <c r="AL618" s="10">
        <v>1438769939.8499999</v>
      </c>
      <c r="AM618" s="10">
        <v>1926074950.8</v>
      </c>
      <c r="AN618" s="10">
        <v>0</v>
      </c>
      <c r="AO618" s="10">
        <v>0</v>
      </c>
      <c r="AP618" s="10">
        <v>149232485.59999999</v>
      </c>
      <c r="AQ618" s="8"/>
      <c r="AR618" s="8"/>
      <c r="AS618" s="8"/>
      <c r="AT618" s="8"/>
      <c r="AU618" s="8"/>
      <c r="AV618" s="8"/>
      <c r="AW618" s="14">
        <v>44957</v>
      </c>
      <c r="AX618" s="14">
        <v>44895</v>
      </c>
      <c r="AY618" s="14">
        <v>43982</v>
      </c>
      <c r="AZ618" s="14">
        <v>43982</v>
      </c>
      <c r="BA618" s="14">
        <v>43830</v>
      </c>
      <c r="BB618" s="8"/>
      <c r="BC618" s="8"/>
      <c r="BD618" s="8"/>
      <c r="BE618" s="8"/>
      <c r="BF618" s="8"/>
      <c r="BG618" s="8"/>
      <c r="BH618" s="8" t="s">
        <v>35</v>
      </c>
      <c r="BI618" s="8" t="s">
        <v>35</v>
      </c>
      <c r="BJ618" s="8" t="s">
        <v>35</v>
      </c>
      <c r="BK618" s="8" t="s">
        <v>35</v>
      </c>
      <c r="BL618" s="8" t="s">
        <v>35</v>
      </c>
      <c r="BM618" s="8"/>
      <c r="BN618" s="8"/>
      <c r="BO618" s="8"/>
      <c r="BP618" s="8"/>
      <c r="BQ618" s="8" t="s">
        <v>31</v>
      </c>
      <c r="BR618" s="8" t="s">
        <v>49</v>
      </c>
      <c r="BS618" s="10">
        <v>968136717344833</v>
      </c>
      <c r="BT618" s="8" t="s">
        <v>61</v>
      </c>
      <c r="BU618" s="8"/>
      <c r="BV618" s="8"/>
      <c r="BW618" s="8" t="s">
        <v>27</v>
      </c>
      <c r="BX618" s="8" t="s">
        <v>27</v>
      </c>
      <c r="BY618" s="8" t="s">
        <v>27</v>
      </c>
      <c r="BZ618" s="8" t="s">
        <v>42</v>
      </c>
      <c r="CA618" s="8" t="s">
        <v>27</v>
      </c>
      <c r="CB618" s="8"/>
      <c r="CC618" s="8"/>
      <c r="CD618" s="8"/>
      <c r="CE618" s="8"/>
      <c r="CF618" s="8" t="s">
        <v>847</v>
      </c>
      <c r="CG618" s="8" t="s">
        <v>51</v>
      </c>
    </row>
    <row r="619" spans="1:85" ht="15.75" hidden="1" customHeight="1" x14ac:dyDescent="0.35">
      <c r="A619" s="8">
        <v>612</v>
      </c>
      <c r="B619" s="8" t="s">
        <v>848</v>
      </c>
      <c r="C619" s="8"/>
      <c r="D619" s="8"/>
      <c r="E619" s="8"/>
      <c r="F619" s="9">
        <v>4.3999999999999999E-5</v>
      </c>
      <c r="G619" s="9">
        <v>3.4E-5</v>
      </c>
      <c r="H619" s="9">
        <v>2.5000000000000001E-5</v>
      </c>
      <c r="I619" s="9">
        <v>6.9999999999999999E-6</v>
      </c>
      <c r="J619" s="8"/>
      <c r="K619" s="8"/>
      <c r="L619" s="8"/>
      <c r="M619" s="8"/>
      <c r="N619" s="8"/>
      <c r="O619" s="8"/>
      <c r="P619" s="8"/>
      <c r="Q619" s="10">
        <v>4051400</v>
      </c>
      <c r="R619" s="10">
        <v>3130400</v>
      </c>
      <c r="S619" s="10">
        <v>2270200</v>
      </c>
      <c r="T619" s="10">
        <v>690200</v>
      </c>
      <c r="U619" s="8"/>
      <c r="V619" s="8"/>
      <c r="W619" s="8"/>
      <c r="X619" s="8"/>
      <c r="Y619" s="8"/>
      <c r="Z619" s="8"/>
      <c r="AA619" s="8"/>
      <c r="AB619" s="13">
        <v>921000</v>
      </c>
      <c r="AC619" s="13">
        <v>860200</v>
      </c>
      <c r="AD619" s="13">
        <v>1580000</v>
      </c>
      <c r="AE619" s="13">
        <v>690200</v>
      </c>
      <c r="AF619" s="8"/>
      <c r="AG619" s="8"/>
      <c r="AH619" s="8"/>
      <c r="AI619" s="8"/>
      <c r="AJ619" s="8"/>
      <c r="AK619" s="8"/>
      <c r="AL619" s="8"/>
      <c r="AM619" s="10">
        <v>20105072511.150002</v>
      </c>
      <c r="AN619" s="10">
        <v>10983967972.5</v>
      </c>
      <c r="AO619" s="10">
        <v>7179507457.1999998</v>
      </c>
      <c r="AP619" s="10">
        <v>2641031435.1999998</v>
      </c>
      <c r="AQ619" s="8"/>
      <c r="AR619" s="8"/>
      <c r="AS619" s="8"/>
      <c r="AT619" s="8"/>
      <c r="AU619" s="8"/>
      <c r="AV619" s="8"/>
      <c r="AW619" s="8"/>
      <c r="AX619" s="14">
        <v>44926</v>
      </c>
      <c r="AY619" s="14">
        <v>44561</v>
      </c>
      <c r="AZ619" s="14">
        <v>44196</v>
      </c>
      <c r="BA619" s="14">
        <v>43830</v>
      </c>
      <c r="BB619" s="8"/>
      <c r="BC619" s="8"/>
      <c r="BD619" s="8"/>
      <c r="BE619" s="8"/>
      <c r="BF619" s="8"/>
      <c r="BG619" s="8"/>
      <c r="BH619" s="8"/>
      <c r="BI619" s="8" t="s">
        <v>201</v>
      </c>
      <c r="BJ619" s="8" t="s">
        <v>201</v>
      </c>
      <c r="BK619" s="8" t="s">
        <v>201</v>
      </c>
      <c r="BL619" s="8" t="s">
        <v>201</v>
      </c>
      <c r="BM619" s="8"/>
      <c r="BN619" s="8"/>
      <c r="BO619" s="8"/>
      <c r="BP619" s="8"/>
      <c r="BQ619" s="8" t="s">
        <v>25</v>
      </c>
      <c r="BR619" s="8" t="s">
        <v>202</v>
      </c>
      <c r="BS619" s="10">
        <v>21545300962.799999</v>
      </c>
      <c r="BT619" s="8"/>
      <c r="BU619" s="8"/>
      <c r="BV619" s="8"/>
      <c r="BW619" s="8"/>
      <c r="BX619" s="8" t="s">
        <v>27</v>
      </c>
      <c r="BY619" s="8" t="s">
        <v>27</v>
      </c>
      <c r="BZ619" s="8" t="s">
        <v>42</v>
      </c>
      <c r="CA619" s="8" t="s">
        <v>27</v>
      </c>
      <c r="CB619" s="8"/>
      <c r="CC619" s="8"/>
      <c r="CD619" s="8"/>
      <c r="CE619" s="8"/>
      <c r="CF619" s="8"/>
      <c r="CG619" s="8" t="s">
        <v>29</v>
      </c>
    </row>
    <row r="620" spans="1:85" ht="15.75" customHeight="1" x14ac:dyDescent="0.35">
      <c r="A620" s="8">
        <v>613</v>
      </c>
      <c r="B620" s="8" t="s">
        <v>849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>
        <v>2.6999999999999999E-5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10">
        <v>2499912</v>
      </c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11">
        <v>0</v>
      </c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10">
        <v>6698965693.3999996</v>
      </c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14">
        <v>42004</v>
      </c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 t="s">
        <v>24</v>
      </c>
      <c r="BQ620" s="8" t="s">
        <v>31</v>
      </c>
      <c r="BR620" s="8" t="s">
        <v>32</v>
      </c>
      <c r="BS620" s="10">
        <v>33285673086</v>
      </c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 t="s">
        <v>27</v>
      </c>
      <c r="CF620" s="8" t="s">
        <v>194</v>
      </c>
      <c r="CG620" s="8" t="s">
        <v>195</v>
      </c>
    </row>
    <row r="621" spans="1:85" ht="15.75" customHeight="1" x14ac:dyDescent="0.35">
      <c r="A621" s="8">
        <v>614</v>
      </c>
      <c r="B621" s="8" t="s">
        <v>850</v>
      </c>
      <c r="C621" s="8"/>
      <c r="D621" s="8"/>
      <c r="E621" s="8"/>
      <c r="F621" s="8"/>
      <c r="G621" s="8"/>
      <c r="H621" s="8"/>
      <c r="I621" s="8"/>
      <c r="J621" s="8"/>
      <c r="K621" s="8"/>
      <c r="L621" s="9">
        <v>6.7999999999999999E-5</v>
      </c>
      <c r="M621" s="9">
        <v>9.2E-5</v>
      </c>
      <c r="N621" s="8"/>
      <c r="O621" s="8"/>
      <c r="P621" s="8"/>
      <c r="Q621" s="8"/>
      <c r="R621" s="8"/>
      <c r="S621" s="8"/>
      <c r="T621" s="8"/>
      <c r="U621" s="8"/>
      <c r="V621" s="8"/>
      <c r="W621" s="10">
        <v>6237860</v>
      </c>
      <c r="X621" s="10">
        <v>8540000</v>
      </c>
      <c r="Y621" s="8"/>
      <c r="Z621" s="8"/>
      <c r="AA621" s="8"/>
      <c r="AB621" s="8"/>
      <c r="AC621" s="8"/>
      <c r="AD621" s="8"/>
      <c r="AE621" s="8"/>
      <c r="AF621" s="8"/>
      <c r="AG621" s="8"/>
      <c r="AH621" s="12">
        <v>-2302140</v>
      </c>
      <c r="AI621" s="11">
        <v>0</v>
      </c>
      <c r="AJ621" s="8"/>
      <c r="AK621" s="8"/>
      <c r="AL621" s="8"/>
      <c r="AM621" s="8"/>
      <c r="AN621" s="8"/>
      <c r="AO621" s="8"/>
      <c r="AP621" s="8"/>
      <c r="AQ621" s="8"/>
      <c r="AR621" s="8"/>
      <c r="AS621" s="10">
        <v>14970863936.700001</v>
      </c>
      <c r="AT621" s="10">
        <v>19755915680.099998</v>
      </c>
      <c r="AU621" s="8"/>
      <c r="AV621" s="8"/>
      <c r="AW621" s="8"/>
      <c r="AX621" s="8"/>
      <c r="AY621" s="8"/>
      <c r="AZ621" s="8"/>
      <c r="BA621" s="8"/>
      <c r="BB621" s="8"/>
      <c r="BC621" s="8"/>
      <c r="BD621" s="14">
        <v>42400</v>
      </c>
      <c r="BE621" s="14">
        <v>42369</v>
      </c>
      <c r="BF621" s="8"/>
      <c r="BG621" s="8"/>
      <c r="BH621" s="8"/>
      <c r="BI621" s="8"/>
      <c r="BJ621" s="8"/>
      <c r="BK621" s="8"/>
      <c r="BL621" s="8"/>
      <c r="BM621" s="8"/>
      <c r="BN621" s="8"/>
      <c r="BO621" s="8" t="s">
        <v>35</v>
      </c>
      <c r="BP621" s="8" t="s">
        <v>35</v>
      </c>
      <c r="BQ621" s="8" t="s">
        <v>31</v>
      </c>
      <c r="BR621" s="8" t="s">
        <v>49</v>
      </c>
      <c r="BS621" s="10">
        <v>1162402774543.2</v>
      </c>
      <c r="BT621" s="8" t="s">
        <v>41</v>
      </c>
      <c r="BU621" s="8"/>
      <c r="BV621" s="8"/>
      <c r="BW621" s="8"/>
      <c r="BX621" s="8"/>
      <c r="BY621" s="8"/>
      <c r="BZ621" s="8"/>
      <c r="CA621" s="8"/>
      <c r="CB621" s="8"/>
      <c r="CC621" s="8"/>
      <c r="CD621" s="8" t="s">
        <v>27</v>
      </c>
      <c r="CE621" s="8" t="s">
        <v>27</v>
      </c>
      <c r="CF621" s="8" t="s">
        <v>131</v>
      </c>
      <c r="CG621" s="8" t="s">
        <v>132</v>
      </c>
    </row>
    <row r="622" spans="1:85" ht="15.75" customHeight="1" x14ac:dyDescent="0.35">
      <c r="A622" s="8">
        <v>615</v>
      </c>
      <c r="B622" s="8" t="s">
        <v>851</v>
      </c>
      <c r="C622" s="8"/>
      <c r="D622" s="9">
        <v>0</v>
      </c>
      <c r="E622" s="9">
        <v>0</v>
      </c>
      <c r="F622" s="9">
        <v>1.9999999999999999E-6</v>
      </c>
      <c r="G622" s="9">
        <v>3.0000000000000001E-6</v>
      </c>
      <c r="H622" s="9">
        <v>3.0000000000000001E-6</v>
      </c>
      <c r="I622" s="8"/>
      <c r="J622" s="8"/>
      <c r="K622" s="8"/>
      <c r="L622" s="8"/>
      <c r="M622" s="8"/>
      <c r="N622" s="8"/>
      <c r="O622" s="10">
        <v>0</v>
      </c>
      <c r="P622" s="10">
        <v>0</v>
      </c>
      <c r="Q622" s="10">
        <v>193544</v>
      </c>
      <c r="R622" s="10">
        <v>305342</v>
      </c>
      <c r="S622" s="10">
        <v>250252</v>
      </c>
      <c r="T622" s="8"/>
      <c r="U622" s="8"/>
      <c r="V622" s="8"/>
      <c r="W622" s="8"/>
      <c r="X622" s="8"/>
      <c r="Y622" s="8"/>
      <c r="Z622" s="11">
        <v>0</v>
      </c>
      <c r="AA622" s="12">
        <v>-193544</v>
      </c>
      <c r="AB622" s="12">
        <v>-111798</v>
      </c>
      <c r="AC622" s="13">
        <v>55090</v>
      </c>
      <c r="AD622" s="13">
        <v>250252</v>
      </c>
      <c r="AE622" s="8"/>
      <c r="AF622" s="8"/>
      <c r="AG622" s="8"/>
      <c r="AH622" s="8"/>
      <c r="AI622" s="8"/>
      <c r="AJ622" s="8"/>
      <c r="AK622" s="10">
        <v>0</v>
      </c>
      <c r="AL622" s="10">
        <v>0</v>
      </c>
      <c r="AM622" s="10">
        <v>960462139.45000005</v>
      </c>
      <c r="AN622" s="10">
        <v>1071385965</v>
      </c>
      <c r="AO622" s="10">
        <v>791421883.20000005</v>
      </c>
      <c r="AP622" s="8"/>
      <c r="AQ622" s="8"/>
      <c r="AR622" s="8"/>
      <c r="AS622" s="8"/>
      <c r="AT622" s="8"/>
      <c r="AU622" s="8"/>
      <c r="AV622" s="14">
        <v>45230</v>
      </c>
      <c r="AW622" s="14">
        <v>45230</v>
      </c>
      <c r="AX622" s="14">
        <v>44926</v>
      </c>
      <c r="AY622" s="14">
        <v>44561</v>
      </c>
      <c r="AZ622" s="14">
        <v>44196</v>
      </c>
      <c r="BA622" s="8"/>
      <c r="BB622" s="8"/>
      <c r="BC622" s="8"/>
      <c r="BD622" s="8"/>
      <c r="BE622" s="8"/>
      <c r="BF622" s="8"/>
      <c r="BG622" s="8" t="s">
        <v>35</v>
      </c>
      <c r="BH622" s="8" t="s">
        <v>35</v>
      </c>
      <c r="BI622" s="8" t="s">
        <v>35</v>
      </c>
      <c r="BJ622" s="8" t="s">
        <v>35</v>
      </c>
      <c r="BK622" s="8" t="s">
        <v>35</v>
      </c>
      <c r="BL622" s="8"/>
      <c r="BM622" s="8"/>
      <c r="BN622" s="8"/>
      <c r="BO622" s="8"/>
      <c r="BP622" s="8"/>
      <c r="BQ622" s="8" t="s">
        <v>31</v>
      </c>
      <c r="BR622" s="8" t="s">
        <v>53</v>
      </c>
      <c r="BS622" s="10">
        <v>39479017980009.602</v>
      </c>
      <c r="BT622" s="8" t="s">
        <v>61</v>
      </c>
      <c r="BU622" s="8"/>
      <c r="BV622" s="8" t="s">
        <v>27</v>
      </c>
      <c r="BW622" s="8" t="s">
        <v>42</v>
      </c>
      <c r="BX622" s="8" t="s">
        <v>42</v>
      </c>
      <c r="BY622" s="8" t="s">
        <v>27</v>
      </c>
      <c r="BZ622" s="8" t="s">
        <v>42</v>
      </c>
      <c r="CA622" s="8"/>
      <c r="CB622" s="8"/>
      <c r="CC622" s="8"/>
      <c r="CD622" s="8"/>
      <c r="CE622" s="8"/>
      <c r="CF622" s="8" t="s">
        <v>98</v>
      </c>
      <c r="CG622" s="8" t="s">
        <v>99</v>
      </c>
    </row>
    <row r="623" spans="1:85" ht="15.75" customHeight="1" x14ac:dyDescent="0.35">
      <c r="A623" s="8">
        <v>616</v>
      </c>
      <c r="B623" s="8" t="s">
        <v>852</v>
      </c>
      <c r="C623" s="8"/>
      <c r="D623" s="8"/>
      <c r="E623" s="8"/>
      <c r="F623" s="8"/>
      <c r="G623" s="8"/>
      <c r="H623" s="8"/>
      <c r="I623" s="8"/>
      <c r="J623" s="8"/>
      <c r="K623" s="9">
        <v>4.06E-4</v>
      </c>
      <c r="L623" s="9">
        <v>4.06E-4</v>
      </c>
      <c r="M623" s="9">
        <v>5.6400000000000005E-4</v>
      </c>
      <c r="N623" s="8"/>
      <c r="O623" s="8"/>
      <c r="P623" s="8"/>
      <c r="Q623" s="8"/>
      <c r="R623" s="8"/>
      <c r="S623" s="8"/>
      <c r="T623" s="8"/>
      <c r="U623" s="8"/>
      <c r="V623" s="10">
        <v>37526800</v>
      </c>
      <c r="W623" s="10">
        <v>37526800</v>
      </c>
      <c r="X623" s="10">
        <v>52071600</v>
      </c>
      <c r="Y623" s="8"/>
      <c r="Z623" s="8"/>
      <c r="AA623" s="8"/>
      <c r="AB623" s="8"/>
      <c r="AC623" s="8"/>
      <c r="AD623" s="8"/>
      <c r="AE623" s="8"/>
      <c r="AF623" s="8"/>
      <c r="AG623" s="11">
        <v>0</v>
      </c>
      <c r="AH623" s="12">
        <v>-14544800</v>
      </c>
      <c r="AI623" s="13">
        <v>52071600</v>
      </c>
      <c r="AJ623" s="8"/>
      <c r="AK623" s="8"/>
      <c r="AL623" s="8"/>
      <c r="AM623" s="8"/>
      <c r="AN623" s="8"/>
      <c r="AO623" s="8"/>
      <c r="AP623" s="8"/>
      <c r="AQ623" s="8"/>
      <c r="AR623" s="10">
        <v>98507850006.5</v>
      </c>
      <c r="AS623" s="10">
        <v>98507850006.5</v>
      </c>
      <c r="AT623" s="10">
        <v>120459267199.5</v>
      </c>
      <c r="AU623" s="8"/>
      <c r="AV623" s="8"/>
      <c r="AW623" s="8"/>
      <c r="AX623" s="8"/>
      <c r="AY623" s="8"/>
      <c r="AZ623" s="8"/>
      <c r="BA623" s="8"/>
      <c r="BB623" s="8"/>
      <c r="BC623" s="14">
        <v>42704</v>
      </c>
      <c r="BD623" s="14">
        <v>42704</v>
      </c>
      <c r="BE623" s="14">
        <v>42369</v>
      </c>
      <c r="BF623" s="8"/>
      <c r="BG623" s="8"/>
      <c r="BH623" s="8"/>
      <c r="BI623" s="8"/>
      <c r="BJ623" s="8"/>
      <c r="BK623" s="8"/>
      <c r="BL623" s="8"/>
      <c r="BM623" s="8"/>
      <c r="BN623" s="8" t="s">
        <v>35</v>
      </c>
      <c r="BO623" s="8" t="s">
        <v>35</v>
      </c>
      <c r="BP623" s="8" t="s">
        <v>35</v>
      </c>
      <c r="BQ623" s="8" t="s">
        <v>31</v>
      </c>
      <c r="BR623" s="8" t="s">
        <v>36</v>
      </c>
      <c r="BS623" s="10">
        <v>162308186088</v>
      </c>
      <c r="BT623" s="8"/>
      <c r="BU623" s="8"/>
      <c r="BV623" s="8"/>
      <c r="BW623" s="8"/>
      <c r="BX623" s="8"/>
      <c r="BY623" s="8"/>
      <c r="BZ623" s="8"/>
      <c r="CA623" s="8"/>
      <c r="CB623" s="8"/>
      <c r="CC623" s="8" t="s">
        <v>43</v>
      </c>
      <c r="CD623" s="8" t="s">
        <v>42</v>
      </c>
      <c r="CE623" s="8" t="s">
        <v>42</v>
      </c>
      <c r="CF623" s="8" t="s">
        <v>853</v>
      </c>
      <c r="CG623" s="8" t="s">
        <v>39</v>
      </c>
    </row>
    <row r="624" spans="1:85" ht="15.75" customHeight="1" x14ac:dyDescent="0.35">
      <c r="A624" s="8">
        <v>617</v>
      </c>
      <c r="B624" s="8" t="s">
        <v>854</v>
      </c>
      <c r="C624" s="8"/>
      <c r="D624" s="8"/>
      <c r="E624" s="8"/>
      <c r="F624" s="8"/>
      <c r="G624" s="8"/>
      <c r="H624" s="8"/>
      <c r="I624" s="8"/>
      <c r="J624" s="8"/>
      <c r="K624" s="8"/>
      <c r="L624" s="9">
        <v>6.0000000000000002E-6</v>
      </c>
      <c r="M624" s="9">
        <v>6.0000000000000002E-6</v>
      </c>
      <c r="N624" s="8"/>
      <c r="O624" s="8"/>
      <c r="P624" s="8"/>
      <c r="Q624" s="8"/>
      <c r="R624" s="8"/>
      <c r="S624" s="8"/>
      <c r="T624" s="8"/>
      <c r="U624" s="8"/>
      <c r="V624" s="8"/>
      <c r="W624" s="10">
        <v>540860</v>
      </c>
      <c r="X624" s="10">
        <v>540860</v>
      </c>
      <c r="Y624" s="8"/>
      <c r="Z624" s="8"/>
      <c r="AA624" s="8"/>
      <c r="AB624" s="8"/>
      <c r="AC624" s="8"/>
      <c r="AD624" s="8"/>
      <c r="AE624" s="8"/>
      <c r="AF624" s="8"/>
      <c r="AG624" s="8"/>
      <c r="AH624" s="11">
        <v>0</v>
      </c>
      <c r="AI624" s="11">
        <v>0</v>
      </c>
      <c r="AJ624" s="8"/>
      <c r="AK624" s="8"/>
      <c r="AL624" s="8"/>
      <c r="AM624" s="8"/>
      <c r="AN624" s="8"/>
      <c r="AO624" s="8"/>
      <c r="AP624" s="8"/>
      <c r="AQ624" s="8"/>
      <c r="AR624" s="8"/>
      <c r="AS624" s="10">
        <v>1176370542</v>
      </c>
      <c r="AT624" s="10">
        <v>1176370542</v>
      </c>
      <c r="AU624" s="8"/>
      <c r="AV624" s="8"/>
      <c r="AW624" s="8"/>
      <c r="AX624" s="8"/>
      <c r="AY624" s="8"/>
      <c r="AZ624" s="8"/>
      <c r="BA624" s="8"/>
      <c r="BB624" s="8"/>
      <c r="BC624" s="8"/>
      <c r="BD624" s="14">
        <v>42308</v>
      </c>
      <c r="BE624" s="14">
        <v>42308</v>
      </c>
      <c r="BF624" s="8"/>
      <c r="BG624" s="8"/>
      <c r="BH624" s="8"/>
      <c r="BI624" s="8"/>
      <c r="BJ624" s="8"/>
      <c r="BK624" s="8"/>
      <c r="BL624" s="8"/>
      <c r="BM624" s="8"/>
      <c r="BN624" s="8"/>
      <c r="BO624" s="8" t="s">
        <v>35</v>
      </c>
      <c r="BP624" s="8" t="s">
        <v>35</v>
      </c>
      <c r="BQ624" s="8" t="s">
        <v>31</v>
      </c>
      <c r="BR624" s="8" t="s">
        <v>36</v>
      </c>
      <c r="BS624" s="10">
        <v>1835733267183.6001</v>
      </c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 t="s">
        <v>27</v>
      </c>
      <c r="CE624" s="8" t="s">
        <v>42</v>
      </c>
      <c r="CF624" s="8" t="s">
        <v>131</v>
      </c>
      <c r="CG624" s="8" t="s">
        <v>132</v>
      </c>
    </row>
    <row r="625" spans="1:85" ht="15.75" customHeight="1" x14ac:dyDescent="0.35">
      <c r="A625" s="8">
        <v>618</v>
      </c>
      <c r="B625" s="8" t="s">
        <v>855</v>
      </c>
      <c r="C625" s="8"/>
      <c r="D625" s="8"/>
      <c r="E625" s="8"/>
      <c r="F625" s="8"/>
      <c r="G625" s="9">
        <v>3.1999999999999999E-5</v>
      </c>
      <c r="H625" s="9">
        <v>3.1999999999999999E-5</v>
      </c>
      <c r="I625" s="9">
        <v>3.0000000000000001E-5</v>
      </c>
      <c r="J625" s="9">
        <v>2.9E-5</v>
      </c>
      <c r="K625" s="8"/>
      <c r="L625" s="8"/>
      <c r="M625" s="8"/>
      <c r="N625" s="8"/>
      <c r="O625" s="8"/>
      <c r="P625" s="8"/>
      <c r="Q625" s="8"/>
      <c r="R625" s="10">
        <v>3000000</v>
      </c>
      <c r="S625" s="10">
        <v>3000000</v>
      </c>
      <c r="T625" s="10">
        <v>2800000</v>
      </c>
      <c r="U625" s="10">
        <v>2700000</v>
      </c>
      <c r="V625" s="8"/>
      <c r="W625" s="8"/>
      <c r="X625" s="8"/>
      <c r="Y625" s="8"/>
      <c r="Z625" s="8"/>
      <c r="AA625" s="8"/>
      <c r="AB625" s="8"/>
      <c r="AC625" s="11">
        <v>0</v>
      </c>
      <c r="AD625" s="13">
        <v>200000</v>
      </c>
      <c r="AE625" s="13">
        <v>100000</v>
      </c>
      <c r="AF625" s="13">
        <v>2700000</v>
      </c>
      <c r="AG625" s="8"/>
      <c r="AH625" s="8"/>
      <c r="AI625" s="8"/>
      <c r="AJ625" s="8"/>
      <c r="AK625" s="8"/>
      <c r="AL625" s="8"/>
      <c r="AM625" s="8"/>
      <c r="AN625" s="10">
        <v>6705000068.25</v>
      </c>
      <c r="AO625" s="10">
        <v>6705000068.25</v>
      </c>
      <c r="AP625" s="10">
        <v>10714123569.6</v>
      </c>
      <c r="AQ625" s="10">
        <v>9833122150</v>
      </c>
      <c r="AR625" s="8"/>
      <c r="AS625" s="8"/>
      <c r="AT625" s="8"/>
      <c r="AU625" s="8"/>
      <c r="AV625" s="8"/>
      <c r="AW625" s="8"/>
      <c r="AX625" s="8"/>
      <c r="AY625" s="14">
        <v>43982</v>
      </c>
      <c r="AZ625" s="14">
        <v>43982</v>
      </c>
      <c r="BA625" s="14">
        <v>43830</v>
      </c>
      <c r="BB625" s="14">
        <v>43465</v>
      </c>
      <c r="BC625" s="8"/>
      <c r="BD625" s="8"/>
      <c r="BE625" s="8"/>
      <c r="BF625" s="8"/>
      <c r="BG625" s="8"/>
      <c r="BH625" s="8"/>
      <c r="BI625" s="8"/>
      <c r="BJ625" s="8" t="s">
        <v>35</v>
      </c>
      <c r="BK625" s="8" t="s">
        <v>35</v>
      </c>
      <c r="BL625" s="8" t="s">
        <v>35</v>
      </c>
      <c r="BM625" s="8" t="s">
        <v>35</v>
      </c>
      <c r="BN625" s="8"/>
      <c r="BO625" s="8"/>
      <c r="BP625" s="8"/>
      <c r="BQ625" s="8" t="s">
        <v>31</v>
      </c>
      <c r="BR625" s="8" t="s">
        <v>36</v>
      </c>
      <c r="BS625" s="10">
        <v>0</v>
      </c>
      <c r="BT625" s="8"/>
      <c r="BU625" s="8"/>
      <c r="BV625" s="8"/>
      <c r="BW625" s="8"/>
      <c r="BX625" s="8"/>
      <c r="BY625" s="8" t="s">
        <v>27</v>
      </c>
      <c r="BZ625" s="8" t="s">
        <v>27</v>
      </c>
      <c r="CA625" s="8" t="s">
        <v>43</v>
      </c>
      <c r="CB625" s="8" t="s">
        <v>43</v>
      </c>
      <c r="CC625" s="8"/>
      <c r="CD625" s="8"/>
      <c r="CE625" s="8"/>
      <c r="CF625" s="8" t="s">
        <v>173</v>
      </c>
      <c r="CG625" s="8" t="s">
        <v>174</v>
      </c>
    </row>
    <row r="626" spans="1:85" ht="15.75" customHeight="1" x14ac:dyDescent="0.35">
      <c r="A626" s="8">
        <v>619</v>
      </c>
      <c r="B626" s="8" t="s">
        <v>856</v>
      </c>
      <c r="C626" s="8"/>
      <c r="D626" s="8"/>
      <c r="E626" s="8"/>
      <c r="F626" s="8"/>
      <c r="G626" s="8"/>
      <c r="H626" s="8"/>
      <c r="I626" s="8"/>
      <c r="J626" s="8"/>
      <c r="K626" s="9">
        <v>0</v>
      </c>
      <c r="L626" s="9">
        <v>0</v>
      </c>
      <c r="M626" s="9">
        <v>5.3000000000000001E-5</v>
      </c>
      <c r="N626" s="8"/>
      <c r="O626" s="8"/>
      <c r="P626" s="8"/>
      <c r="Q626" s="8"/>
      <c r="R626" s="8"/>
      <c r="S626" s="8"/>
      <c r="T626" s="8"/>
      <c r="U626" s="8"/>
      <c r="V626" s="10">
        <v>0</v>
      </c>
      <c r="W626" s="10">
        <v>0</v>
      </c>
      <c r="X626" s="10">
        <v>4923368</v>
      </c>
      <c r="Y626" s="8"/>
      <c r="Z626" s="8"/>
      <c r="AA626" s="8"/>
      <c r="AB626" s="8"/>
      <c r="AC626" s="8"/>
      <c r="AD626" s="8"/>
      <c r="AE626" s="8"/>
      <c r="AF626" s="8"/>
      <c r="AG626" s="11">
        <v>0</v>
      </c>
      <c r="AH626" s="12">
        <v>-4923368</v>
      </c>
      <c r="AI626" s="13">
        <v>1819472</v>
      </c>
      <c r="AJ626" s="8"/>
      <c r="AK626" s="8"/>
      <c r="AL626" s="8"/>
      <c r="AM626" s="8"/>
      <c r="AN626" s="8"/>
      <c r="AO626" s="8"/>
      <c r="AP626" s="8"/>
      <c r="AQ626" s="8"/>
      <c r="AR626" s="10">
        <v>0</v>
      </c>
      <c r="AS626" s="10">
        <v>0</v>
      </c>
      <c r="AT626" s="10">
        <v>11389419541.200001</v>
      </c>
      <c r="AU626" s="8"/>
      <c r="AV626" s="8"/>
      <c r="AW626" s="8"/>
      <c r="AX626" s="8"/>
      <c r="AY626" s="8"/>
      <c r="AZ626" s="8"/>
      <c r="BA626" s="8"/>
      <c r="BB626" s="8"/>
      <c r="BC626" s="14">
        <v>42735</v>
      </c>
      <c r="BD626" s="14">
        <v>42735</v>
      </c>
      <c r="BE626" s="14">
        <v>42369</v>
      </c>
      <c r="BF626" s="8"/>
      <c r="BG626" s="8"/>
      <c r="BH626" s="8"/>
      <c r="BI626" s="8"/>
      <c r="BJ626" s="8"/>
      <c r="BK626" s="8"/>
      <c r="BL626" s="8"/>
      <c r="BM626" s="8"/>
      <c r="BN626" s="8" t="s">
        <v>35</v>
      </c>
      <c r="BO626" s="8" t="s">
        <v>35</v>
      </c>
      <c r="BP626" s="8" t="s">
        <v>35</v>
      </c>
      <c r="BQ626" s="8" t="s">
        <v>31</v>
      </c>
      <c r="BR626" s="8" t="s">
        <v>36</v>
      </c>
      <c r="BS626" s="10">
        <v>54034161571704</v>
      </c>
      <c r="BT626" s="8" t="s">
        <v>57</v>
      </c>
      <c r="BU626" s="8"/>
      <c r="BV626" s="8"/>
      <c r="BW626" s="8"/>
      <c r="BX626" s="8"/>
      <c r="BY626" s="8"/>
      <c r="BZ626" s="8"/>
      <c r="CA626" s="8"/>
      <c r="CB626" s="8"/>
      <c r="CC626" s="8" t="s">
        <v>42</v>
      </c>
      <c r="CD626" s="8" t="s">
        <v>42</v>
      </c>
      <c r="CE626" s="8" t="s">
        <v>42</v>
      </c>
      <c r="CF626" s="8" t="s">
        <v>346</v>
      </c>
      <c r="CG626" s="8" t="s">
        <v>347</v>
      </c>
    </row>
    <row r="627" spans="1:85" ht="15.75" customHeight="1" x14ac:dyDescent="0.35">
      <c r="A627" s="8">
        <v>620</v>
      </c>
      <c r="B627" s="8" t="s">
        <v>857</v>
      </c>
      <c r="C627" s="8"/>
      <c r="D627" s="9">
        <v>7.9999999999999996E-6</v>
      </c>
      <c r="E627" s="9">
        <v>7.9999999999999996E-6</v>
      </c>
      <c r="F627" s="8"/>
      <c r="G627" s="8"/>
      <c r="H627" s="8"/>
      <c r="I627" s="9">
        <v>0</v>
      </c>
      <c r="J627" s="9">
        <v>2.0000000000000002E-5</v>
      </c>
      <c r="K627" s="9">
        <v>2.8899999999999998E-4</v>
      </c>
      <c r="L627" s="9">
        <v>1.1E-4</v>
      </c>
      <c r="M627" s="9">
        <v>3.6699999999999998E-4</v>
      </c>
      <c r="N627" s="8"/>
      <c r="O627" s="10">
        <v>721200</v>
      </c>
      <c r="P627" s="10">
        <v>721200</v>
      </c>
      <c r="Q627" s="8"/>
      <c r="R627" s="8"/>
      <c r="S627" s="8"/>
      <c r="T627" s="10">
        <v>0</v>
      </c>
      <c r="U627" s="10">
        <v>1841800</v>
      </c>
      <c r="V627" s="10">
        <v>26675200</v>
      </c>
      <c r="W627" s="10">
        <v>10157600</v>
      </c>
      <c r="X627" s="10">
        <v>33915600</v>
      </c>
      <c r="Y627" s="8"/>
      <c r="Z627" s="11">
        <v>0</v>
      </c>
      <c r="AA627" s="13">
        <v>721200</v>
      </c>
      <c r="AB627" s="8"/>
      <c r="AC627" s="8"/>
      <c r="AD627" s="8"/>
      <c r="AE627" s="12">
        <v>-1841800</v>
      </c>
      <c r="AF627" s="12">
        <v>-24833400</v>
      </c>
      <c r="AG627" s="13">
        <v>16517600</v>
      </c>
      <c r="AH627" s="12">
        <v>-23758000</v>
      </c>
      <c r="AI627" s="13">
        <v>1655200</v>
      </c>
      <c r="AJ627" s="8"/>
      <c r="AK627" s="10">
        <v>3750240022.0999999</v>
      </c>
      <c r="AL627" s="10">
        <v>3750240022.0999999</v>
      </c>
      <c r="AM627" s="8"/>
      <c r="AN627" s="8"/>
      <c r="AO627" s="8"/>
      <c r="AP627" s="10">
        <v>0</v>
      </c>
      <c r="AQ627" s="10">
        <v>6707646112.5</v>
      </c>
      <c r="AR627" s="10">
        <v>106700800020.39999</v>
      </c>
      <c r="AS627" s="10">
        <v>29393554977.299999</v>
      </c>
      <c r="AT627" s="10">
        <v>78458282938.350006</v>
      </c>
      <c r="AU627" s="8"/>
      <c r="AV627" s="14">
        <v>45107</v>
      </c>
      <c r="AW627" s="14">
        <v>45107</v>
      </c>
      <c r="AX627" s="8"/>
      <c r="AY627" s="8"/>
      <c r="AZ627" s="8"/>
      <c r="BA627" s="14">
        <v>43496</v>
      </c>
      <c r="BB627" s="14">
        <v>43465</v>
      </c>
      <c r="BC627" s="14">
        <v>43100</v>
      </c>
      <c r="BD627" s="14">
        <v>42735</v>
      </c>
      <c r="BE627" s="14">
        <v>42369</v>
      </c>
      <c r="BF627" s="8"/>
      <c r="BG627" s="8" t="s">
        <v>35</v>
      </c>
      <c r="BH627" s="8" t="s">
        <v>35</v>
      </c>
      <c r="BI627" s="8"/>
      <c r="BJ627" s="8"/>
      <c r="BK627" s="8"/>
      <c r="BL627" s="8" t="s">
        <v>35</v>
      </c>
      <c r="BM627" s="8" t="s">
        <v>35</v>
      </c>
      <c r="BN627" s="8" t="s">
        <v>35</v>
      </c>
      <c r="BO627" s="8" t="s">
        <v>35</v>
      </c>
      <c r="BP627" s="8" t="s">
        <v>35</v>
      </c>
      <c r="BQ627" s="8" t="s">
        <v>31</v>
      </c>
      <c r="BR627" s="8" t="s">
        <v>49</v>
      </c>
      <c r="BS627" s="10">
        <v>737540166692633</v>
      </c>
      <c r="BT627" s="8" t="s">
        <v>41</v>
      </c>
      <c r="BU627" s="8"/>
      <c r="BV627" s="8" t="s">
        <v>42</v>
      </c>
      <c r="BW627" s="8" t="s">
        <v>27</v>
      </c>
      <c r="BX627" s="8"/>
      <c r="BY627" s="8"/>
      <c r="BZ627" s="8"/>
      <c r="CA627" s="8" t="s">
        <v>27</v>
      </c>
      <c r="CB627" s="8" t="s">
        <v>27</v>
      </c>
      <c r="CC627" s="8" t="s">
        <v>27</v>
      </c>
      <c r="CD627" s="8" t="s">
        <v>42</v>
      </c>
      <c r="CE627" s="8" t="s">
        <v>27</v>
      </c>
      <c r="CF627" s="8" t="s">
        <v>50</v>
      </c>
      <c r="CG627" s="8" t="s">
        <v>51</v>
      </c>
    </row>
    <row r="628" spans="1:85" ht="15.75" customHeight="1" x14ac:dyDescent="0.35">
      <c r="A628" s="8">
        <v>621</v>
      </c>
      <c r="B628" s="8" t="s">
        <v>858</v>
      </c>
      <c r="C628" s="8"/>
      <c r="D628" s="8"/>
      <c r="E628" s="8"/>
      <c r="F628" s="8"/>
      <c r="G628" s="8"/>
      <c r="H628" s="8"/>
      <c r="I628" s="8"/>
      <c r="J628" s="9">
        <v>3.6999999999999998E-5</v>
      </c>
      <c r="K628" s="9">
        <v>3.6999999999999998E-5</v>
      </c>
      <c r="L628" s="9">
        <v>3.8000000000000002E-5</v>
      </c>
      <c r="M628" s="9">
        <v>3.8000000000000002E-5</v>
      </c>
      <c r="N628" s="8"/>
      <c r="O628" s="8"/>
      <c r="P628" s="8"/>
      <c r="Q628" s="8"/>
      <c r="R628" s="8"/>
      <c r="S628" s="8"/>
      <c r="T628" s="8"/>
      <c r="U628" s="10">
        <v>3458432</v>
      </c>
      <c r="V628" s="10">
        <v>3458432</v>
      </c>
      <c r="W628" s="10">
        <v>3478048</v>
      </c>
      <c r="X628" s="10">
        <v>3537196</v>
      </c>
      <c r="Y628" s="8"/>
      <c r="Z628" s="8"/>
      <c r="AA628" s="8"/>
      <c r="AB628" s="8"/>
      <c r="AC628" s="8"/>
      <c r="AD628" s="8"/>
      <c r="AE628" s="8"/>
      <c r="AF628" s="11">
        <v>0</v>
      </c>
      <c r="AG628" s="12">
        <v>-19616</v>
      </c>
      <c r="AH628" s="12">
        <v>-59148</v>
      </c>
      <c r="AI628" s="11">
        <v>0</v>
      </c>
      <c r="AJ628" s="8"/>
      <c r="AK628" s="8"/>
      <c r="AL628" s="8"/>
      <c r="AM628" s="8"/>
      <c r="AN628" s="8"/>
      <c r="AO628" s="8"/>
      <c r="AP628" s="8"/>
      <c r="AQ628" s="10">
        <v>11023751979.5</v>
      </c>
      <c r="AR628" s="10">
        <v>11023751979.5</v>
      </c>
      <c r="AS628" s="10">
        <v>8303839586.1300001</v>
      </c>
      <c r="AT628" s="10">
        <v>7516541520.3000002</v>
      </c>
      <c r="AU628" s="8"/>
      <c r="AV628" s="8"/>
      <c r="AW628" s="8"/>
      <c r="AX628" s="8"/>
      <c r="AY628" s="8"/>
      <c r="AZ628" s="8"/>
      <c r="BA628" s="8"/>
      <c r="BB628" s="14">
        <v>42916</v>
      </c>
      <c r="BC628" s="14">
        <v>42916</v>
      </c>
      <c r="BD628" s="14">
        <v>42429</v>
      </c>
      <c r="BE628" s="14">
        <v>42338</v>
      </c>
      <c r="BF628" s="8"/>
      <c r="BG628" s="8"/>
      <c r="BH628" s="8"/>
      <c r="BI628" s="8"/>
      <c r="BJ628" s="8"/>
      <c r="BK628" s="8"/>
      <c r="BL628" s="8"/>
      <c r="BM628" s="8" t="s">
        <v>35</v>
      </c>
      <c r="BN628" s="8" t="s">
        <v>35</v>
      </c>
      <c r="BO628" s="8" t="s">
        <v>35</v>
      </c>
      <c r="BP628" s="8" t="s">
        <v>35</v>
      </c>
      <c r="BQ628" s="8" t="s">
        <v>31</v>
      </c>
      <c r="BR628" s="8" t="s">
        <v>36</v>
      </c>
      <c r="BS628" s="10">
        <v>48471144261007.203</v>
      </c>
      <c r="BT628" s="8" t="s">
        <v>61</v>
      </c>
      <c r="BU628" s="8"/>
      <c r="BV628" s="8"/>
      <c r="BW628" s="8"/>
      <c r="BX628" s="8"/>
      <c r="BY628" s="8"/>
      <c r="BZ628" s="8"/>
      <c r="CA628" s="8"/>
      <c r="CB628" s="8" t="s">
        <v>42</v>
      </c>
      <c r="CC628" s="8" t="s">
        <v>27</v>
      </c>
      <c r="CD628" s="8" t="s">
        <v>27</v>
      </c>
      <c r="CE628" s="8" t="s">
        <v>42</v>
      </c>
      <c r="CF628" s="8" t="s">
        <v>377</v>
      </c>
      <c r="CG628" s="8" t="s">
        <v>378</v>
      </c>
    </row>
    <row r="629" spans="1:85" ht="15.75" customHeight="1" x14ac:dyDescent="0.35">
      <c r="A629" s="8">
        <v>622</v>
      </c>
      <c r="B629" s="8" t="s">
        <v>859</v>
      </c>
      <c r="C629" s="8"/>
      <c r="D629" s="8"/>
      <c r="E629" s="8"/>
      <c r="F629" s="8"/>
      <c r="G629" s="8"/>
      <c r="H629" s="8"/>
      <c r="I629" s="8"/>
      <c r="J629" s="8"/>
      <c r="K629" s="8"/>
      <c r="L629" s="9">
        <v>0</v>
      </c>
      <c r="M629" s="9">
        <v>9.6000000000000002E-5</v>
      </c>
      <c r="N629" s="8"/>
      <c r="O629" s="8"/>
      <c r="P629" s="8"/>
      <c r="Q629" s="8"/>
      <c r="R629" s="8"/>
      <c r="S629" s="8"/>
      <c r="T629" s="8"/>
      <c r="U629" s="8"/>
      <c r="V629" s="8"/>
      <c r="W629" s="10">
        <v>0</v>
      </c>
      <c r="X629" s="10">
        <v>8884072</v>
      </c>
      <c r="Y629" s="8"/>
      <c r="Z629" s="8"/>
      <c r="AA629" s="8"/>
      <c r="AB629" s="8"/>
      <c r="AC629" s="8"/>
      <c r="AD629" s="8"/>
      <c r="AE629" s="8"/>
      <c r="AF629" s="8"/>
      <c r="AG629" s="8"/>
      <c r="AH629" s="12">
        <v>-8884072</v>
      </c>
      <c r="AI629" s="11">
        <v>0</v>
      </c>
      <c r="AJ629" s="8"/>
      <c r="AK629" s="8"/>
      <c r="AL629" s="8"/>
      <c r="AM629" s="8"/>
      <c r="AN629" s="8"/>
      <c r="AO629" s="8"/>
      <c r="AP629" s="8"/>
      <c r="AQ629" s="8"/>
      <c r="AR629" s="8"/>
      <c r="AS629" s="10">
        <v>0</v>
      </c>
      <c r="AT629" s="10">
        <v>18878652978.900002</v>
      </c>
      <c r="AU629" s="8"/>
      <c r="AV629" s="8"/>
      <c r="AW629" s="8"/>
      <c r="AX629" s="8"/>
      <c r="AY629" s="8"/>
      <c r="AZ629" s="8"/>
      <c r="BA629" s="8"/>
      <c r="BB629" s="8"/>
      <c r="BC629" s="8"/>
      <c r="BD629" s="14">
        <v>42400</v>
      </c>
      <c r="BE629" s="14">
        <v>42338</v>
      </c>
      <c r="BF629" s="8"/>
      <c r="BG629" s="8"/>
      <c r="BH629" s="8"/>
      <c r="BI629" s="8"/>
      <c r="BJ629" s="8"/>
      <c r="BK629" s="8"/>
      <c r="BL629" s="8"/>
      <c r="BM629" s="8"/>
      <c r="BN629" s="8"/>
      <c r="BO629" s="8" t="s">
        <v>35</v>
      </c>
      <c r="BP629" s="8" t="s">
        <v>35</v>
      </c>
      <c r="BQ629" s="8" t="s">
        <v>31</v>
      </c>
      <c r="BR629" s="8" t="s">
        <v>49</v>
      </c>
      <c r="BS629" s="10">
        <v>6930582762516</v>
      </c>
      <c r="BT629" s="8" t="s">
        <v>316</v>
      </c>
      <c r="BU629" s="8"/>
      <c r="BV629" s="8"/>
      <c r="BW629" s="8"/>
      <c r="BX629" s="8"/>
      <c r="BY629" s="8"/>
      <c r="BZ629" s="8"/>
      <c r="CA629" s="8"/>
      <c r="CB629" s="8"/>
      <c r="CC629" s="8"/>
      <c r="CD629" s="8" t="s">
        <v>27</v>
      </c>
      <c r="CE629" s="8" t="s">
        <v>43</v>
      </c>
      <c r="CF629" s="8" t="s">
        <v>194</v>
      </c>
      <c r="CG629" s="8" t="s">
        <v>195</v>
      </c>
    </row>
    <row r="630" spans="1:85" ht="15.75" customHeight="1" x14ac:dyDescent="0.35">
      <c r="A630" s="8">
        <v>623</v>
      </c>
      <c r="B630" s="8" t="s">
        <v>860</v>
      </c>
      <c r="C630" s="8"/>
      <c r="D630" s="8"/>
      <c r="E630" s="8"/>
      <c r="F630" s="8"/>
      <c r="G630" s="8"/>
      <c r="H630" s="8"/>
      <c r="I630" s="8"/>
      <c r="J630" s="8"/>
      <c r="K630" s="9">
        <v>0</v>
      </c>
      <c r="L630" s="9">
        <v>0</v>
      </c>
      <c r="M630" s="9">
        <v>5.5000000000000002E-5</v>
      </c>
      <c r="N630" s="8"/>
      <c r="O630" s="8"/>
      <c r="P630" s="8"/>
      <c r="Q630" s="8"/>
      <c r="R630" s="8"/>
      <c r="S630" s="8"/>
      <c r="T630" s="8"/>
      <c r="U630" s="8"/>
      <c r="V630" s="10">
        <v>0</v>
      </c>
      <c r="W630" s="10">
        <v>0</v>
      </c>
      <c r="X630" s="10">
        <v>5083044</v>
      </c>
      <c r="Y630" s="8"/>
      <c r="Z630" s="8"/>
      <c r="AA630" s="8"/>
      <c r="AB630" s="8"/>
      <c r="AC630" s="8"/>
      <c r="AD630" s="8"/>
      <c r="AE630" s="8"/>
      <c r="AF630" s="8"/>
      <c r="AG630" s="11">
        <v>0</v>
      </c>
      <c r="AH630" s="12">
        <v>-5083044</v>
      </c>
      <c r="AI630" s="13">
        <v>5083044</v>
      </c>
      <c r="AJ630" s="8"/>
      <c r="AK630" s="8"/>
      <c r="AL630" s="8"/>
      <c r="AM630" s="8"/>
      <c r="AN630" s="8"/>
      <c r="AO630" s="8"/>
      <c r="AP630" s="8"/>
      <c r="AQ630" s="8"/>
      <c r="AR630" s="10">
        <v>0</v>
      </c>
      <c r="AS630" s="10">
        <v>0</v>
      </c>
      <c r="AT630" s="10">
        <v>11758804331.1</v>
      </c>
      <c r="AU630" s="8"/>
      <c r="AV630" s="8"/>
      <c r="AW630" s="8"/>
      <c r="AX630" s="8"/>
      <c r="AY630" s="8"/>
      <c r="AZ630" s="8"/>
      <c r="BA630" s="8"/>
      <c r="BB630" s="8"/>
      <c r="BC630" s="14">
        <v>42735</v>
      </c>
      <c r="BD630" s="14">
        <v>42735</v>
      </c>
      <c r="BE630" s="14">
        <v>42369</v>
      </c>
      <c r="BF630" s="8"/>
      <c r="BG630" s="8"/>
      <c r="BH630" s="8"/>
      <c r="BI630" s="8"/>
      <c r="BJ630" s="8"/>
      <c r="BK630" s="8"/>
      <c r="BL630" s="8"/>
      <c r="BM630" s="8"/>
      <c r="BN630" s="8" t="s">
        <v>35</v>
      </c>
      <c r="BO630" s="8" t="s">
        <v>35</v>
      </c>
      <c r="BP630" s="8" t="s">
        <v>35</v>
      </c>
      <c r="BQ630" s="8" t="s">
        <v>31</v>
      </c>
      <c r="BR630" s="8" t="s">
        <v>36</v>
      </c>
      <c r="BS630" s="10">
        <v>20572018745595.602</v>
      </c>
      <c r="BT630" s="8"/>
      <c r="BU630" s="8"/>
      <c r="BV630" s="8"/>
      <c r="BW630" s="8"/>
      <c r="BX630" s="8"/>
      <c r="BY630" s="8"/>
      <c r="BZ630" s="8"/>
      <c r="CA630" s="8"/>
      <c r="CB630" s="8"/>
      <c r="CC630" s="8" t="s">
        <v>42</v>
      </c>
      <c r="CD630" s="8" t="s">
        <v>43</v>
      </c>
      <c r="CE630" s="8" t="s">
        <v>43</v>
      </c>
      <c r="CF630" s="8" t="s">
        <v>346</v>
      </c>
      <c r="CG630" s="8" t="s">
        <v>347</v>
      </c>
    </row>
    <row r="631" spans="1:85" ht="15.75" customHeight="1" x14ac:dyDescent="0.35">
      <c r="A631" s="8">
        <v>624</v>
      </c>
      <c r="B631" s="8" t="s">
        <v>861</v>
      </c>
      <c r="C631" s="8"/>
      <c r="D631" s="8"/>
      <c r="E631" s="8"/>
      <c r="F631" s="8"/>
      <c r="G631" s="9">
        <v>1.8E-5</v>
      </c>
      <c r="H631" s="9">
        <v>1.8E-5</v>
      </c>
      <c r="I631" s="9">
        <v>1.1E-5</v>
      </c>
      <c r="J631" s="9">
        <v>6.9999999999999999E-6</v>
      </c>
      <c r="K631" s="8"/>
      <c r="L631" s="8"/>
      <c r="M631" s="8"/>
      <c r="N631" s="8"/>
      <c r="O631" s="8"/>
      <c r="P631" s="8"/>
      <c r="Q631" s="8"/>
      <c r="R631" s="10">
        <v>1680000</v>
      </c>
      <c r="S631" s="10">
        <v>1680000</v>
      </c>
      <c r="T631" s="10">
        <v>1062000</v>
      </c>
      <c r="U631" s="10">
        <v>631600</v>
      </c>
      <c r="V631" s="8"/>
      <c r="W631" s="8"/>
      <c r="X631" s="8"/>
      <c r="Y631" s="8"/>
      <c r="Z631" s="8"/>
      <c r="AA631" s="8"/>
      <c r="AB631" s="8"/>
      <c r="AC631" s="11">
        <v>0</v>
      </c>
      <c r="AD631" s="13">
        <v>618000</v>
      </c>
      <c r="AE631" s="13">
        <v>430400</v>
      </c>
      <c r="AF631" s="13">
        <v>631600</v>
      </c>
      <c r="AG631" s="8"/>
      <c r="AH631" s="8"/>
      <c r="AI631" s="8"/>
      <c r="AJ631" s="8"/>
      <c r="AK631" s="8"/>
      <c r="AL631" s="8"/>
      <c r="AM631" s="8"/>
      <c r="AN631" s="10">
        <v>4157999982</v>
      </c>
      <c r="AO631" s="10">
        <v>4157999982</v>
      </c>
      <c r="AP631" s="10">
        <v>4063713946.4000001</v>
      </c>
      <c r="AQ631" s="10">
        <v>2123754961</v>
      </c>
      <c r="AR631" s="8"/>
      <c r="AS631" s="8"/>
      <c r="AT631" s="8"/>
      <c r="AU631" s="8"/>
      <c r="AV631" s="8"/>
      <c r="AW631" s="8"/>
      <c r="AX631" s="8"/>
      <c r="AY631" s="14">
        <v>44012</v>
      </c>
      <c r="AZ631" s="14">
        <v>44012</v>
      </c>
      <c r="BA631" s="14">
        <v>43830</v>
      </c>
      <c r="BB631" s="14">
        <v>43373</v>
      </c>
      <c r="BC631" s="8"/>
      <c r="BD631" s="8"/>
      <c r="BE631" s="8"/>
      <c r="BF631" s="8"/>
      <c r="BG631" s="8"/>
      <c r="BH631" s="8"/>
      <c r="BI631" s="8"/>
      <c r="BJ631" s="8" t="s">
        <v>35</v>
      </c>
      <c r="BK631" s="8" t="s">
        <v>35</v>
      </c>
      <c r="BL631" s="8" t="s">
        <v>35</v>
      </c>
      <c r="BM631" s="8" t="s">
        <v>35</v>
      </c>
      <c r="BN631" s="8"/>
      <c r="BO631" s="8"/>
      <c r="BP631" s="8"/>
      <c r="BQ631" s="8" t="s">
        <v>31</v>
      </c>
      <c r="BR631" s="8" t="s">
        <v>36</v>
      </c>
      <c r="BS631" s="10">
        <v>37304091216772.797</v>
      </c>
      <c r="BT631" s="8"/>
      <c r="BU631" s="8"/>
      <c r="BV631" s="8"/>
      <c r="BW631" s="8"/>
      <c r="BX631" s="8"/>
      <c r="BY631" s="8" t="s">
        <v>42</v>
      </c>
      <c r="BZ631" s="8" t="s">
        <v>42</v>
      </c>
      <c r="CA631" s="8" t="s">
        <v>42</v>
      </c>
      <c r="CB631" s="8" t="s">
        <v>27</v>
      </c>
      <c r="CC631" s="8"/>
      <c r="CD631" s="8"/>
      <c r="CE631" s="8"/>
      <c r="CF631" s="8" t="s">
        <v>301</v>
      </c>
      <c r="CG631" s="8" t="s">
        <v>302</v>
      </c>
    </row>
    <row r="632" spans="1:85" ht="15.75" customHeight="1" x14ac:dyDescent="0.35">
      <c r="A632" s="8">
        <v>625</v>
      </c>
      <c r="B632" s="8" t="s">
        <v>862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>
        <v>5.8999999999999998E-5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10">
        <v>5448400</v>
      </c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11">
        <v>0</v>
      </c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10">
        <v>14983100026.700001</v>
      </c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14">
        <v>42035</v>
      </c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 t="s">
        <v>35</v>
      </c>
      <c r="BQ632" s="8" t="s">
        <v>31</v>
      </c>
      <c r="BR632" s="8" t="s">
        <v>36</v>
      </c>
      <c r="BS632" s="10">
        <v>533789728764</v>
      </c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 t="s">
        <v>27</v>
      </c>
      <c r="CF632" s="8" t="s">
        <v>180</v>
      </c>
      <c r="CG632" s="8" t="s">
        <v>181</v>
      </c>
    </row>
    <row r="633" spans="1:85" ht="15.75" customHeight="1" x14ac:dyDescent="0.35">
      <c r="A633" s="8">
        <v>626</v>
      </c>
      <c r="B633" s="8" t="s">
        <v>863</v>
      </c>
      <c r="C633" s="8"/>
      <c r="D633" s="8"/>
      <c r="E633" s="8"/>
      <c r="F633" s="8"/>
      <c r="G633" s="8"/>
      <c r="H633" s="9">
        <v>0</v>
      </c>
      <c r="I633" s="9">
        <v>0</v>
      </c>
      <c r="J633" s="8"/>
      <c r="K633" s="8"/>
      <c r="L633" s="8"/>
      <c r="M633" s="8"/>
      <c r="N633" s="8"/>
      <c r="O633" s="8"/>
      <c r="P633" s="8"/>
      <c r="Q633" s="8"/>
      <c r="R633" s="8"/>
      <c r="S633" s="10">
        <v>0</v>
      </c>
      <c r="T633" s="10">
        <v>0</v>
      </c>
      <c r="U633" s="8"/>
      <c r="V633" s="8"/>
      <c r="W633" s="8"/>
      <c r="X633" s="8"/>
      <c r="Y633" s="8"/>
      <c r="Z633" s="8"/>
      <c r="AA633" s="8"/>
      <c r="AB633" s="8"/>
      <c r="AC633" s="8"/>
      <c r="AD633" s="11">
        <v>0</v>
      </c>
      <c r="AE633" s="11">
        <v>0</v>
      </c>
      <c r="AF633" s="8"/>
      <c r="AG633" s="8"/>
      <c r="AH633" s="8"/>
      <c r="AI633" s="8"/>
      <c r="AJ633" s="8"/>
      <c r="AK633" s="8"/>
      <c r="AL633" s="8"/>
      <c r="AM633" s="8"/>
      <c r="AN633" s="8"/>
      <c r="AO633" s="10">
        <v>0</v>
      </c>
      <c r="AP633" s="10">
        <v>0</v>
      </c>
      <c r="AQ633" s="8"/>
      <c r="AR633" s="8"/>
      <c r="AS633" s="8"/>
      <c r="AT633" s="8"/>
      <c r="AU633" s="8"/>
      <c r="AV633" s="8"/>
      <c r="AW633" s="8"/>
      <c r="AX633" s="8"/>
      <c r="AY633" s="8"/>
      <c r="AZ633" s="14">
        <v>43830</v>
      </c>
      <c r="BA633" s="14">
        <v>43830</v>
      </c>
      <c r="BB633" s="8"/>
      <c r="BC633" s="8"/>
      <c r="BD633" s="8"/>
      <c r="BE633" s="8"/>
      <c r="BF633" s="8"/>
      <c r="BG633" s="8"/>
      <c r="BH633" s="8"/>
      <c r="BI633" s="8"/>
      <c r="BJ633" s="8"/>
      <c r="BK633" s="8" t="s">
        <v>749</v>
      </c>
      <c r="BL633" s="8" t="s">
        <v>749</v>
      </c>
      <c r="BM633" s="8"/>
      <c r="BN633" s="8"/>
      <c r="BO633" s="8"/>
      <c r="BP633" s="8"/>
      <c r="BQ633" s="8" t="s">
        <v>31</v>
      </c>
      <c r="BR633" s="8" t="s">
        <v>36</v>
      </c>
      <c r="BS633" s="10">
        <v>13999832610357.6</v>
      </c>
      <c r="BT633" s="8" t="s">
        <v>61</v>
      </c>
      <c r="BU633" s="8"/>
      <c r="BV633" s="8"/>
      <c r="BW633" s="8"/>
      <c r="BX633" s="8"/>
      <c r="BY633" s="8"/>
      <c r="BZ633" s="8" t="s">
        <v>42</v>
      </c>
      <c r="CA633" s="8" t="s">
        <v>43</v>
      </c>
      <c r="CB633" s="8"/>
      <c r="CC633" s="8"/>
      <c r="CD633" s="8"/>
      <c r="CE633" s="8"/>
      <c r="CF633" s="8" t="s">
        <v>73</v>
      </c>
      <c r="CG633" s="8" t="s">
        <v>39</v>
      </c>
    </row>
    <row r="634" spans="1:85" ht="15.75" customHeight="1" x14ac:dyDescent="0.35">
      <c r="A634" s="8">
        <v>627</v>
      </c>
      <c r="B634" s="8" t="s">
        <v>864</v>
      </c>
      <c r="C634" s="8"/>
      <c r="D634" s="8"/>
      <c r="E634" s="9">
        <v>0</v>
      </c>
      <c r="F634" s="9">
        <v>0</v>
      </c>
      <c r="G634" s="9">
        <v>5.5000000000000002E-5</v>
      </c>
      <c r="H634" s="9">
        <v>5.8E-5</v>
      </c>
      <c r="I634" s="8"/>
      <c r="J634" s="9">
        <v>0</v>
      </c>
      <c r="K634" s="9">
        <v>0</v>
      </c>
      <c r="L634" s="8"/>
      <c r="M634" s="8"/>
      <c r="N634" s="8"/>
      <c r="O634" s="8"/>
      <c r="P634" s="10">
        <v>0</v>
      </c>
      <c r="Q634" s="10">
        <v>0</v>
      </c>
      <c r="R634" s="10">
        <v>5102400</v>
      </c>
      <c r="S634" s="10">
        <v>5332600</v>
      </c>
      <c r="T634" s="8"/>
      <c r="U634" s="10">
        <v>0</v>
      </c>
      <c r="V634" s="10">
        <v>0</v>
      </c>
      <c r="W634" s="8"/>
      <c r="X634" s="8"/>
      <c r="Y634" s="8"/>
      <c r="Z634" s="8"/>
      <c r="AA634" s="11">
        <v>0</v>
      </c>
      <c r="AB634" s="12">
        <v>-5102400</v>
      </c>
      <c r="AC634" s="12">
        <v>-230200</v>
      </c>
      <c r="AD634" s="13">
        <v>5332600</v>
      </c>
      <c r="AE634" s="8"/>
      <c r="AF634" s="11">
        <v>0</v>
      </c>
      <c r="AG634" s="11">
        <v>0</v>
      </c>
      <c r="AH634" s="8"/>
      <c r="AI634" s="8"/>
      <c r="AJ634" s="8"/>
      <c r="AK634" s="8"/>
      <c r="AL634" s="10">
        <v>0</v>
      </c>
      <c r="AM634" s="10">
        <v>0</v>
      </c>
      <c r="AN634" s="10">
        <v>17903334345</v>
      </c>
      <c r="AO634" s="10">
        <v>16864347474</v>
      </c>
      <c r="AP634" s="8"/>
      <c r="AQ634" s="10">
        <v>0</v>
      </c>
      <c r="AR634" s="10">
        <v>0</v>
      </c>
      <c r="AS634" s="8"/>
      <c r="AT634" s="8"/>
      <c r="AU634" s="8"/>
      <c r="AV634" s="8"/>
      <c r="AW634" s="14">
        <v>44926</v>
      </c>
      <c r="AX634" s="14">
        <v>44926</v>
      </c>
      <c r="AY634" s="14">
        <v>44561</v>
      </c>
      <c r="AZ634" s="14">
        <v>44196</v>
      </c>
      <c r="BA634" s="8"/>
      <c r="BB634" s="14">
        <v>43008</v>
      </c>
      <c r="BC634" s="14">
        <v>43008</v>
      </c>
      <c r="BD634" s="8"/>
      <c r="BE634" s="8"/>
      <c r="BF634" s="8"/>
      <c r="BG634" s="8"/>
      <c r="BH634" s="8" t="s">
        <v>35</v>
      </c>
      <c r="BI634" s="8" t="s">
        <v>35</v>
      </c>
      <c r="BJ634" s="8" t="s">
        <v>35</v>
      </c>
      <c r="BK634" s="8" t="s">
        <v>35</v>
      </c>
      <c r="BL634" s="8"/>
      <c r="BM634" s="8" t="s">
        <v>35</v>
      </c>
      <c r="BN634" s="8" t="s">
        <v>35</v>
      </c>
      <c r="BO634" s="8"/>
      <c r="BP634" s="8"/>
      <c r="BQ634" s="8" t="s">
        <v>31</v>
      </c>
      <c r="BR634" s="8" t="s">
        <v>36</v>
      </c>
      <c r="BS634" s="10">
        <v>110266902586830</v>
      </c>
      <c r="BT634" s="8" t="s">
        <v>61</v>
      </c>
      <c r="BU634" s="8"/>
      <c r="BV634" s="8"/>
      <c r="BW634" s="8" t="s">
        <v>27</v>
      </c>
      <c r="BX634" s="8" t="s">
        <v>27</v>
      </c>
      <c r="BY634" s="8" t="s">
        <v>27</v>
      </c>
      <c r="BZ634" s="8" t="s">
        <v>27</v>
      </c>
      <c r="CA634" s="8"/>
      <c r="CB634" s="8" t="s">
        <v>27</v>
      </c>
      <c r="CC634" s="8" t="s">
        <v>27</v>
      </c>
      <c r="CD634" s="8"/>
      <c r="CE634" s="8"/>
      <c r="CF634" s="8" t="s">
        <v>639</v>
      </c>
      <c r="CG634" s="8" t="s">
        <v>115</v>
      </c>
    </row>
    <row r="635" spans="1:85" ht="15.75" customHeight="1" x14ac:dyDescent="0.35">
      <c r="A635" s="8">
        <v>628</v>
      </c>
      <c r="B635" s="8" t="s">
        <v>865</v>
      </c>
      <c r="C635" s="8"/>
      <c r="D635" s="8"/>
      <c r="E635" s="8"/>
      <c r="F635" s="8"/>
      <c r="G635" s="9">
        <v>0</v>
      </c>
      <c r="H635" s="9">
        <v>0</v>
      </c>
      <c r="I635" s="9">
        <v>3.9999999999999998E-6</v>
      </c>
      <c r="J635" s="8"/>
      <c r="K635" s="8"/>
      <c r="L635" s="8"/>
      <c r="M635" s="8"/>
      <c r="N635" s="8"/>
      <c r="O635" s="8"/>
      <c r="P635" s="8"/>
      <c r="Q635" s="8"/>
      <c r="R635" s="10">
        <v>0</v>
      </c>
      <c r="S635" s="10">
        <v>0</v>
      </c>
      <c r="T635" s="10">
        <v>400000</v>
      </c>
      <c r="U635" s="8"/>
      <c r="V635" s="8"/>
      <c r="W635" s="8"/>
      <c r="X635" s="8"/>
      <c r="Y635" s="8"/>
      <c r="Z635" s="8"/>
      <c r="AA635" s="8"/>
      <c r="AB635" s="8"/>
      <c r="AC635" s="11">
        <v>0</v>
      </c>
      <c r="AD635" s="12">
        <v>-400000</v>
      </c>
      <c r="AE635" s="13">
        <v>400000</v>
      </c>
      <c r="AF635" s="8"/>
      <c r="AG635" s="8"/>
      <c r="AH635" s="8"/>
      <c r="AI635" s="8"/>
      <c r="AJ635" s="8"/>
      <c r="AK635" s="8"/>
      <c r="AL635" s="8"/>
      <c r="AM635" s="8"/>
      <c r="AN635" s="10">
        <v>0</v>
      </c>
      <c r="AO635" s="10">
        <v>0</v>
      </c>
      <c r="AP635" s="10">
        <v>1530589101.2</v>
      </c>
      <c r="AQ635" s="8"/>
      <c r="AR635" s="8"/>
      <c r="AS635" s="8"/>
      <c r="AT635" s="8"/>
      <c r="AU635" s="8"/>
      <c r="AV635" s="8"/>
      <c r="AW635" s="8"/>
      <c r="AX635" s="8"/>
      <c r="AY635" s="14">
        <v>44012</v>
      </c>
      <c r="AZ635" s="14">
        <v>44012</v>
      </c>
      <c r="BA635" s="14">
        <v>43830</v>
      </c>
      <c r="BB635" s="8"/>
      <c r="BC635" s="8"/>
      <c r="BD635" s="8"/>
      <c r="BE635" s="8"/>
      <c r="BF635" s="8"/>
      <c r="BG635" s="8"/>
      <c r="BH635" s="8"/>
      <c r="BI635" s="8"/>
      <c r="BJ635" s="8" t="s">
        <v>35</v>
      </c>
      <c r="BK635" s="8" t="s">
        <v>35</v>
      </c>
      <c r="BL635" s="8" t="s">
        <v>35</v>
      </c>
      <c r="BM635" s="8"/>
      <c r="BN635" s="8"/>
      <c r="BO635" s="8"/>
      <c r="BP635" s="8"/>
      <c r="BQ635" s="8" t="s">
        <v>31</v>
      </c>
      <c r="BR635" s="8" t="s">
        <v>49</v>
      </c>
      <c r="BS635" s="10">
        <v>14090511309996</v>
      </c>
      <c r="BT635" s="8" t="s">
        <v>57</v>
      </c>
      <c r="BU635" s="8"/>
      <c r="BV635" s="8"/>
      <c r="BW635" s="8"/>
      <c r="BX635" s="8"/>
      <c r="BY635" s="8" t="s">
        <v>27</v>
      </c>
      <c r="BZ635" s="8" t="s">
        <v>42</v>
      </c>
      <c r="CA635" s="8" t="s">
        <v>42</v>
      </c>
      <c r="CB635" s="8"/>
      <c r="CC635" s="8"/>
      <c r="CD635" s="8"/>
      <c r="CE635" s="8"/>
      <c r="CF635" s="8" t="s">
        <v>652</v>
      </c>
      <c r="CG635" s="8" t="s">
        <v>39</v>
      </c>
    </row>
    <row r="636" spans="1:85" ht="15.75" customHeight="1" x14ac:dyDescent="0.35">
      <c r="A636" s="8">
        <v>629</v>
      </c>
      <c r="B636" s="8" t="s">
        <v>866</v>
      </c>
      <c r="C636" s="8"/>
      <c r="D636" s="8"/>
      <c r="E636" s="8"/>
      <c r="F636" s="8"/>
      <c r="G636" s="8"/>
      <c r="H636" s="8"/>
      <c r="I636" s="8"/>
      <c r="J636" s="9">
        <v>0</v>
      </c>
      <c r="K636" s="9">
        <v>0</v>
      </c>
      <c r="L636" s="9">
        <v>5.5000000000000002E-5</v>
      </c>
      <c r="M636" s="9">
        <v>8.8999999999999995E-5</v>
      </c>
      <c r="N636" s="8"/>
      <c r="O636" s="8"/>
      <c r="P636" s="8"/>
      <c r="Q636" s="8"/>
      <c r="R636" s="8"/>
      <c r="S636" s="8"/>
      <c r="T636" s="8"/>
      <c r="U636" s="10">
        <v>0</v>
      </c>
      <c r="V636" s="10">
        <v>0</v>
      </c>
      <c r="W636" s="10">
        <v>5050800</v>
      </c>
      <c r="X636" s="10">
        <v>8232000</v>
      </c>
      <c r="Y636" s="8"/>
      <c r="Z636" s="8"/>
      <c r="AA636" s="8"/>
      <c r="AB636" s="8"/>
      <c r="AC636" s="8"/>
      <c r="AD636" s="8"/>
      <c r="AE636" s="8"/>
      <c r="AF636" s="11">
        <v>0</v>
      </c>
      <c r="AG636" s="12">
        <v>-5050800</v>
      </c>
      <c r="AH636" s="12">
        <v>-3181200</v>
      </c>
      <c r="AI636" s="11">
        <v>0</v>
      </c>
      <c r="AJ636" s="8"/>
      <c r="AK636" s="8"/>
      <c r="AL636" s="8"/>
      <c r="AM636" s="8"/>
      <c r="AN636" s="8"/>
      <c r="AO636" s="8"/>
      <c r="AP636" s="8"/>
      <c r="AQ636" s="10">
        <v>0</v>
      </c>
      <c r="AR636" s="10">
        <v>0</v>
      </c>
      <c r="AS636" s="10">
        <v>13258349935.5</v>
      </c>
      <c r="AT636" s="10">
        <v>17492999970</v>
      </c>
      <c r="AU636" s="8"/>
      <c r="AV636" s="8"/>
      <c r="AW636" s="8"/>
      <c r="AX636" s="8"/>
      <c r="AY636" s="8"/>
      <c r="AZ636" s="8"/>
      <c r="BA636" s="8"/>
      <c r="BB636" s="14">
        <v>42886</v>
      </c>
      <c r="BC636" s="14">
        <v>42886</v>
      </c>
      <c r="BD636" s="14">
        <v>42704</v>
      </c>
      <c r="BE636" s="14">
        <v>42338</v>
      </c>
      <c r="BF636" s="8"/>
      <c r="BG636" s="8"/>
      <c r="BH636" s="8"/>
      <c r="BI636" s="8"/>
      <c r="BJ636" s="8"/>
      <c r="BK636" s="8"/>
      <c r="BL636" s="8"/>
      <c r="BM636" s="8" t="s">
        <v>35</v>
      </c>
      <c r="BN636" s="8" t="s">
        <v>35</v>
      </c>
      <c r="BO636" s="8" t="s">
        <v>35</v>
      </c>
      <c r="BP636" s="8" t="s">
        <v>35</v>
      </c>
      <c r="BQ636" s="8" t="s">
        <v>31</v>
      </c>
      <c r="BR636" s="8" t="s">
        <v>49</v>
      </c>
      <c r="BS636" s="10">
        <v>69895167518031.602</v>
      </c>
      <c r="BT636" s="8" t="s">
        <v>57</v>
      </c>
      <c r="BU636" s="8"/>
      <c r="BV636" s="8"/>
      <c r="BW636" s="8"/>
      <c r="BX636" s="8"/>
      <c r="BY636" s="8"/>
      <c r="BZ636" s="8"/>
      <c r="CA636" s="8"/>
      <c r="CB636" s="8" t="s">
        <v>42</v>
      </c>
      <c r="CC636" s="8" t="s">
        <v>43</v>
      </c>
      <c r="CD636" s="8" t="s">
        <v>43</v>
      </c>
      <c r="CE636" s="8" t="s">
        <v>42</v>
      </c>
      <c r="CF636" s="8" t="s">
        <v>867</v>
      </c>
      <c r="CG636" s="8" t="s">
        <v>99</v>
      </c>
    </row>
    <row r="637" spans="1:85" ht="15.75" customHeight="1" x14ac:dyDescent="0.35">
      <c r="A637" s="8">
        <v>630</v>
      </c>
      <c r="B637" s="8" t="s">
        <v>868</v>
      </c>
      <c r="C637" s="8"/>
      <c r="D637" s="8"/>
      <c r="E637" s="8"/>
      <c r="F637" s="8"/>
      <c r="G637" s="8"/>
      <c r="H637" s="9">
        <v>5.1999999999999997E-5</v>
      </c>
      <c r="I637" s="9">
        <v>4.6999999999999997E-5</v>
      </c>
      <c r="J637" s="8"/>
      <c r="K637" s="9">
        <v>2.1999999999999999E-5</v>
      </c>
      <c r="L637" s="9">
        <v>2.1999999999999999E-5</v>
      </c>
      <c r="M637" s="9">
        <v>2.5999999999999998E-5</v>
      </c>
      <c r="N637" s="8"/>
      <c r="O637" s="8"/>
      <c r="P637" s="8"/>
      <c r="Q637" s="8"/>
      <c r="R637" s="8"/>
      <c r="S637" s="10">
        <v>4829200</v>
      </c>
      <c r="T637" s="10">
        <v>4368800</v>
      </c>
      <c r="U637" s="8"/>
      <c r="V637" s="10">
        <v>2007200</v>
      </c>
      <c r="W637" s="10">
        <v>2007200</v>
      </c>
      <c r="X637" s="10">
        <v>2370800</v>
      </c>
      <c r="Y637" s="8"/>
      <c r="Z637" s="8"/>
      <c r="AA637" s="8"/>
      <c r="AB637" s="8"/>
      <c r="AC637" s="8"/>
      <c r="AD637" s="13">
        <v>460400</v>
      </c>
      <c r="AE637" s="13">
        <v>4368800</v>
      </c>
      <c r="AF637" s="8"/>
      <c r="AG637" s="11">
        <v>0</v>
      </c>
      <c r="AH637" s="12">
        <v>-363600</v>
      </c>
      <c r="AI637" s="13">
        <v>82400</v>
      </c>
      <c r="AJ637" s="8"/>
      <c r="AK637" s="8"/>
      <c r="AL637" s="8"/>
      <c r="AM637" s="8"/>
      <c r="AN637" s="8"/>
      <c r="AO637" s="10">
        <v>11952269959.4</v>
      </c>
      <c r="AP637" s="10">
        <v>16717093930.4</v>
      </c>
      <c r="AQ637" s="8"/>
      <c r="AR637" s="10">
        <v>5620160033.6099997</v>
      </c>
      <c r="AS637" s="10">
        <v>5620160033.6099997</v>
      </c>
      <c r="AT637" s="10">
        <v>5484464259</v>
      </c>
      <c r="AU637" s="8"/>
      <c r="AV637" s="8"/>
      <c r="AW637" s="8"/>
      <c r="AX637" s="8"/>
      <c r="AY637" s="8"/>
      <c r="AZ637" s="14">
        <v>44012</v>
      </c>
      <c r="BA637" s="14">
        <v>43830</v>
      </c>
      <c r="BB637" s="8"/>
      <c r="BC637" s="14">
        <v>42643</v>
      </c>
      <c r="BD637" s="14">
        <v>42643</v>
      </c>
      <c r="BE637" s="14">
        <v>42369</v>
      </c>
      <c r="BF637" s="8"/>
      <c r="BG637" s="8"/>
      <c r="BH637" s="8"/>
      <c r="BI637" s="8"/>
      <c r="BJ637" s="8"/>
      <c r="BK637" s="8" t="s">
        <v>35</v>
      </c>
      <c r="BL637" s="8" t="s">
        <v>35</v>
      </c>
      <c r="BM637" s="8"/>
      <c r="BN637" s="8" t="s">
        <v>35</v>
      </c>
      <c r="BO637" s="8" t="s">
        <v>35</v>
      </c>
      <c r="BP637" s="8" t="s">
        <v>35</v>
      </c>
      <c r="BQ637" s="8" t="s">
        <v>31</v>
      </c>
      <c r="BR637" s="8" t="s">
        <v>36</v>
      </c>
      <c r="BS637" s="10">
        <v>129208799235692</v>
      </c>
      <c r="BT637" s="8"/>
      <c r="BU637" s="8"/>
      <c r="BV637" s="8"/>
      <c r="BW637" s="8"/>
      <c r="BX637" s="8"/>
      <c r="BY637" s="8"/>
      <c r="BZ637" s="8" t="s">
        <v>27</v>
      </c>
      <c r="CA637" s="8" t="s">
        <v>27</v>
      </c>
      <c r="CB637" s="8"/>
      <c r="CC637" s="8" t="s">
        <v>27</v>
      </c>
      <c r="CD637" s="8" t="s">
        <v>27</v>
      </c>
      <c r="CE637" s="8" t="s">
        <v>42</v>
      </c>
      <c r="CF637" s="8" t="s">
        <v>869</v>
      </c>
      <c r="CG637" s="8" t="s">
        <v>39</v>
      </c>
    </row>
    <row r="638" spans="1:85" ht="15.75" customHeight="1" x14ac:dyDescent="0.35">
      <c r="A638" s="8">
        <v>631</v>
      </c>
      <c r="B638" s="8" t="s">
        <v>870</v>
      </c>
      <c r="C638" s="8"/>
      <c r="D638" s="8"/>
      <c r="E638" s="8"/>
      <c r="F638" s="8"/>
      <c r="G638" s="9">
        <v>0</v>
      </c>
      <c r="H638" s="9">
        <v>0</v>
      </c>
      <c r="I638" s="8"/>
      <c r="J638" s="8"/>
      <c r="K638" s="8"/>
      <c r="L638" s="8"/>
      <c r="M638" s="8"/>
      <c r="N638" s="8"/>
      <c r="O638" s="8"/>
      <c r="P638" s="8"/>
      <c r="Q638" s="8"/>
      <c r="R638" s="10">
        <v>0</v>
      </c>
      <c r="S638" s="10">
        <v>0</v>
      </c>
      <c r="T638" s="8"/>
      <c r="U638" s="8"/>
      <c r="V638" s="8"/>
      <c r="W638" s="8"/>
      <c r="X638" s="8"/>
      <c r="Y638" s="8"/>
      <c r="Z638" s="8"/>
      <c r="AA638" s="8"/>
      <c r="AB638" s="8"/>
      <c r="AC638" s="11">
        <v>0</v>
      </c>
      <c r="AD638" s="11">
        <v>0</v>
      </c>
      <c r="AE638" s="8"/>
      <c r="AF638" s="8"/>
      <c r="AG638" s="8"/>
      <c r="AH638" s="8"/>
      <c r="AI638" s="8"/>
      <c r="AJ638" s="8"/>
      <c r="AK638" s="8"/>
      <c r="AL638" s="8"/>
      <c r="AM638" s="8"/>
      <c r="AN638" s="10">
        <v>0</v>
      </c>
      <c r="AO638" s="10">
        <v>0</v>
      </c>
      <c r="AP638" s="8"/>
      <c r="AQ638" s="8"/>
      <c r="AR638" s="8"/>
      <c r="AS638" s="8"/>
      <c r="AT638" s="8"/>
      <c r="AU638" s="8"/>
      <c r="AV638" s="8"/>
      <c r="AW638" s="8"/>
      <c r="AX638" s="8"/>
      <c r="AY638" s="14">
        <v>44165</v>
      </c>
      <c r="AZ638" s="14">
        <v>44165</v>
      </c>
      <c r="BA638" s="8"/>
      <c r="BB638" s="8"/>
      <c r="BC638" s="8"/>
      <c r="BD638" s="8"/>
      <c r="BE638" s="8"/>
      <c r="BF638" s="8"/>
      <c r="BG638" s="8"/>
      <c r="BH638" s="8"/>
      <c r="BI638" s="8"/>
      <c r="BJ638" s="8" t="s">
        <v>35</v>
      </c>
      <c r="BK638" s="8" t="s">
        <v>35</v>
      </c>
      <c r="BL638" s="8"/>
      <c r="BM638" s="8"/>
      <c r="BN638" s="8"/>
      <c r="BO638" s="8"/>
      <c r="BP638" s="8"/>
      <c r="BQ638" s="8" t="s">
        <v>31</v>
      </c>
      <c r="BR638" s="8" t="s">
        <v>49</v>
      </c>
      <c r="BS638" s="10">
        <v>28064368762838.398</v>
      </c>
      <c r="BT638" s="8" t="s">
        <v>37</v>
      </c>
      <c r="BU638" s="8"/>
      <c r="BV638" s="8"/>
      <c r="BW638" s="8"/>
      <c r="BX638" s="8"/>
      <c r="BY638" s="8" t="s">
        <v>27</v>
      </c>
      <c r="BZ638" s="8" t="s">
        <v>42</v>
      </c>
      <c r="CA638" s="8"/>
      <c r="CB638" s="8"/>
      <c r="CC638" s="8"/>
      <c r="CD638" s="8"/>
      <c r="CE638" s="8"/>
      <c r="CF638" s="8" t="s">
        <v>85</v>
      </c>
      <c r="CG638" s="8" t="s">
        <v>39</v>
      </c>
    </row>
    <row r="639" spans="1:85" ht="15.75" customHeight="1" x14ac:dyDescent="0.35">
      <c r="A639" s="8">
        <v>632</v>
      </c>
      <c r="B639" s="8" t="s">
        <v>871</v>
      </c>
      <c r="C639" s="8"/>
      <c r="D639" s="8"/>
      <c r="E639" s="8"/>
      <c r="F639" s="8"/>
      <c r="G639" s="8"/>
      <c r="H639" s="8"/>
      <c r="I639" s="8"/>
      <c r="J639" s="8"/>
      <c r="K639" s="8"/>
      <c r="L639" s="9">
        <v>2.8200000000000002E-4</v>
      </c>
      <c r="M639" s="9">
        <v>2.8200000000000002E-4</v>
      </c>
      <c r="N639" s="8"/>
      <c r="O639" s="8"/>
      <c r="P639" s="8"/>
      <c r="Q639" s="8"/>
      <c r="R639" s="8"/>
      <c r="S639" s="8"/>
      <c r="T639" s="8"/>
      <c r="U639" s="8"/>
      <c r="V639" s="8"/>
      <c r="W639" s="10">
        <v>26065840</v>
      </c>
      <c r="X639" s="10">
        <v>26065840</v>
      </c>
      <c r="Y639" s="8"/>
      <c r="Z639" s="8"/>
      <c r="AA639" s="8"/>
      <c r="AB639" s="8"/>
      <c r="AC639" s="8"/>
      <c r="AD639" s="8"/>
      <c r="AE639" s="8"/>
      <c r="AF639" s="8"/>
      <c r="AG639" s="8"/>
      <c r="AH639" s="11">
        <v>0</v>
      </c>
      <c r="AI639" s="12">
        <v>-100096</v>
      </c>
      <c r="AJ639" s="8"/>
      <c r="AK639" s="8"/>
      <c r="AL639" s="8"/>
      <c r="AM639" s="8"/>
      <c r="AN639" s="8"/>
      <c r="AO639" s="8"/>
      <c r="AP639" s="8"/>
      <c r="AQ639" s="8"/>
      <c r="AR639" s="8"/>
      <c r="AS639" s="10">
        <v>60299126266.050003</v>
      </c>
      <c r="AT639" s="10">
        <v>60299126266.050003</v>
      </c>
      <c r="AU639" s="8"/>
      <c r="AV639" s="8"/>
      <c r="AW639" s="8"/>
      <c r="AX639" s="8"/>
      <c r="AY639" s="8"/>
      <c r="AZ639" s="8"/>
      <c r="BA639" s="8"/>
      <c r="BB639" s="8"/>
      <c r="BC639" s="8"/>
      <c r="BD639" s="14">
        <v>42369</v>
      </c>
      <c r="BE639" s="14">
        <v>42369</v>
      </c>
      <c r="BF639" s="8"/>
      <c r="BG639" s="8"/>
      <c r="BH639" s="8"/>
      <c r="BI639" s="8"/>
      <c r="BJ639" s="8"/>
      <c r="BK639" s="8"/>
      <c r="BL639" s="8"/>
      <c r="BM639" s="8"/>
      <c r="BN639" s="8"/>
      <c r="BO639" s="8" t="s">
        <v>35</v>
      </c>
      <c r="BP639" s="8" t="s">
        <v>35</v>
      </c>
      <c r="BQ639" s="8" t="s">
        <v>31</v>
      </c>
      <c r="BR639" s="8" t="s">
        <v>49</v>
      </c>
      <c r="BS639" s="10">
        <v>0</v>
      </c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 t="s">
        <v>43</v>
      </c>
      <c r="CE639" s="8" t="s">
        <v>27</v>
      </c>
      <c r="CF639" s="8" t="s">
        <v>145</v>
      </c>
      <c r="CG639" s="8" t="s">
        <v>146</v>
      </c>
    </row>
    <row r="640" spans="1:85" ht="15.75" customHeight="1" x14ac:dyDescent="0.35">
      <c r="A640" s="8">
        <v>633</v>
      </c>
      <c r="B640" s="8" t="s">
        <v>872</v>
      </c>
      <c r="C640" s="8"/>
      <c r="D640" s="8"/>
      <c r="E640" s="8"/>
      <c r="F640" s="8"/>
      <c r="G640" s="8"/>
      <c r="H640" s="8"/>
      <c r="I640" s="8"/>
      <c r="J640" s="8"/>
      <c r="K640" s="9">
        <v>0</v>
      </c>
      <c r="L640" s="9">
        <v>0</v>
      </c>
      <c r="M640" s="8"/>
      <c r="N640" s="8"/>
      <c r="O640" s="8"/>
      <c r="P640" s="8"/>
      <c r="Q640" s="8"/>
      <c r="R640" s="8"/>
      <c r="S640" s="8"/>
      <c r="T640" s="8"/>
      <c r="U640" s="8"/>
      <c r="V640" s="10">
        <v>0</v>
      </c>
      <c r="W640" s="10">
        <v>0</v>
      </c>
      <c r="X640" s="8"/>
      <c r="Y640" s="8"/>
      <c r="Z640" s="8"/>
      <c r="AA640" s="8"/>
      <c r="AB640" s="8"/>
      <c r="AC640" s="8"/>
      <c r="AD640" s="8"/>
      <c r="AE640" s="8"/>
      <c r="AF640" s="8"/>
      <c r="AG640" s="11">
        <v>0</v>
      </c>
      <c r="AH640" s="11">
        <v>0</v>
      </c>
      <c r="AI640" s="8"/>
      <c r="AJ640" s="8"/>
      <c r="AK640" s="8"/>
      <c r="AL640" s="8"/>
      <c r="AM640" s="8"/>
      <c r="AN640" s="8"/>
      <c r="AO640" s="8"/>
      <c r="AP640" s="8"/>
      <c r="AQ640" s="8"/>
      <c r="AR640" s="10">
        <v>0</v>
      </c>
      <c r="AS640" s="10">
        <v>0</v>
      </c>
      <c r="AT640" s="8"/>
      <c r="AU640" s="8"/>
      <c r="AV640" s="8"/>
      <c r="AW640" s="8"/>
      <c r="AX640" s="8"/>
      <c r="AY640" s="8"/>
      <c r="AZ640" s="8"/>
      <c r="BA640" s="8"/>
      <c r="BB640" s="8"/>
      <c r="BC640" s="14">
        <v>42643</v>
      </c>
      <c r="BD640" s="14">
        <v>42643</v>
      </c>
      <c r="BE640" s="8"/>
      <c r="BF640" s="8"/>
      <c r="BG640" s="8"/>
      <c r="BH640" s="8"/>
      <c r="BI640" s="8"/>
      <c r="BJ640" s="8"/>
      <c r="BK640" s="8"/>
      <c r="BL640" s="8"/>
      <c r="BM640" s="8"/>
      <c r="BN640" s="8" t="s">
        <v>35</v>
      </c>
      <c r="BO640" s="8" t="s">
        <v>35</v>
      </c>
      <c r="BP640" s="8"/>
      <c r="BQ640" s="8" t="s">
        <v>31</v>
      </c>
      <c r="BR640" s="8" t="s">
        <v>36</v>
      </c>
      <c r="BS640" s="10">
        <v>0</v>
      </c>
      <c r="BT640" s="8"/>
      <c r="BU640" s="8"/>
      <c r="BV640" s="8"/>
      <c r="BW640" s="8"/>
      <c r="BX640" s="8"/>
      <c r="BY640" s="8"/>
      <c r="BZ640" s="8"/>
      <c r="CA640" s="8"/>
      <c r="CB640" s="8"/>
      <c r="CC640" s="8" t="s">
        <v>43</v>
      </c>
      <c r="CD640" s="8" t="s">
        <v>43</v>
      </c>
      <c r="CE640" s="8"/>
      <c r="CF640" s="8" t="s">
        <v>232</v>
      </c>
      <c r="CG640" s="8" t="s">
        <v>232</v>
      </c>
    </row>
    <row r="641" spans="1:85" ht="15.75" customHeight="1" x14ac:dyDescent="0.35">
      <c r="A641" s="8">
        <v>634</v>
      </c>
      <c r="B641" s="8" t="s">
        <v>873</v>
      </c>
      <c r="C641" s="8"/>
      <c r="D641" s="8"/>
      <c r="E641" s="8"/>
      <c r="F641" s="8"/>
      <c r="G641" s="8"/>
      <c r="H641" s="8"/>
      <c r="I641" s="8"/>
      <c r="J641" s="8"/>
      <c r="K641" s="9">
        <v>0</v>
      </c>
      <c r="L641" s="9">
        <v>0</v>
      </c>
      <c r="M641" s="9">
        <v>8.2999999999999998E-5</v>
      </c>
      <c r="N641" s="8"/>
      <c r="O641" s="8"/>
      <c r="P641" s="8"/>
      <c r="Q641" s="8"/>
      <c r="R641" s="8"/>
      <c r="S641" s="8"/>
      <c r="T641" s="8"/>
      <c r="U641" s="8"/>
      <c r="V641" s="10">
        <v>0</v>
      </c>
      <c r="W641" s="10">
        <v>0</v>
      </c>
      <c r="X641" s="10">
        <v>7693600</v>
      </c>
      <c r="Y641" s="8"/>
      <c r="Z641" s="8"/>
      <c r="AA641" s="8"/>
      <c r="AB641" s="8"/>
      <c r="AC641" s="8"/>
      <c r="AD641" s="8"/>
      <c r="AE641" s="8"/>
      <c r="AF641" s="8"/>
      <c r="AG641" s="11">
        <v>0</v>
      </c>
      <c r="AH641" s="12">
        <v>-7693600</v>
      </c>
      <c r="AI641" s="11">
        <v>0</v>
      </c>
      <c r="AJ641" s="8"/>
      <c r="AK641" s="8"/>
      <c r="AL641" s="8"/>
      <c r="AM641" s="8"/>
      <c r="AN641" s="8"/>
      <c r="AO641" s="8"/>
      <c r="AP641" s="8"/>
      <c r="AQ641" s="8"/>
      <c r="AR641" s="10">
        <v>0</v>
      </c>
      <c r="AS641" s="10">
        <v>0</v>
      </c>
      <c r="AT641" s="10">
        <v>17797905583.799999</v>
      </c>
      <c r="AU641" s="8"/>
      <c r="AV641" s="8"/>
      <c r="AW641" s="8"/>
      <c r="AX641" s="8"/>
      <c r="AY641" s="8"/>
      <c r="AZ641" s="8"/>
      <c r="BA641" s="8"/>
      <c r="BB641" s="8"/>
      <c r="BC641" s="14">
        <v>42704</v>
      </c>
      <c r="BD641" s="14">
        <v>42704</v>
      </c>
      <c r="BE641" s="14">
        <v>42369</v>
      </c>
      <c r="BF641" s="8"/>
      <c r="BG641" s="8"/>
      <c r="BH641" s="8"/>
      <c r="BI641" s="8"/>
      <c r="BJ641" s="8"/>
      <c r="BK641" s="8"/>
      <c r="BL641" s="8"/>
      <c r="BM641" s="8"/>
      <c r="BN641" s="8" t="s">
        <v>35</v>
      </c>
      <c r="BO641" s="8" t="s">
        <v>35</v>
      </c>
      <c r="BP641" s="8" t="s">
        <v>35</v>
      </c>
      <c r="BQ641" s="8" t="s">
        <v>31</v>
      </c>
      <c r="BR641" s="8" t="s">
        <v>36</v>
      </c>
      <c r="BS641" s="10">
        <v>24711430646010</v>
      </c>
      <c r="BT641" s="8" t="s">
        <v>41</v>
      </c>
      <c r="BU641" s="8"/>
      <c r="BV641" s="8"/>
      <c r="BW641" s="8"/>
      <c r="BX641" s="8"/>
      <c r="BY641" s="8"/>
      <c r="BZ641" s="8"/>
      <c r="CA641" s="8"/>
      <c r="CB641" s="8"/>
      <c r="CC641" s="8" t="s">
        <v>42</v>
      </c>
      <c r="CD641" s="8" t="s">
        <v>42</v>
      </c>
      <c r="CE641" s="8" t="s">
        <v>42</v>
      </c>
      <c r="CF641" s="8" t="s">
        <v>78</v>
      </c>
      <c r="CG641" s="8" t="s">
        <v>71</v>
      </c>
    </row>
    <row r="642" spans="1:85" ht="15.75" customHeight="1" x14ac:dyDescent="0.35">
      <c r="A642" s="8">
        <v>635</v>
      </c>
      <c r="B642" s="8" t="s">
        <v>874</v>
      </c>
      <c r="C642" s="8"/>
      <c r="D642" s="8"/>
      <c r="E642" s="8"/>
      <c r="F642" s="9">
        <v>1.25E-4</v>
      </c>
      <c r="G642" s="9">
        <v>1.25E-4</v>
      </c>
      <c r="H642" s="8"/>
      <c r="I642" s="8"/>
      <c r="J642" s="8"/>
      <c r="K642" s="9">
        <v>0</v>
      </c>
      <c r="L642" s="9">
        <v>0</v>
      </c>
      <c r="M642" s="9">
        <v>0</v>
      </c>
      <c r="N642" s="8"/>
      <c r="O642" s="8"/>
      <c r="P642" s="8"/>
      <c r="Q642" s="10">
        <v>11541400</v>
      </c>
      <c r="R642" s="10">
        <v>11541400</v>
      </c>
      <c r="S642" s="8"/>
      <c r="T642" s="8"/>
      <c r="U642" s="8"/>
      <c r="V642" s="10">
        <v>0</v>
      </c>
      <c r="W642" s="10">
        <v>0</v>
      </c>
      <c r="X642" s="10">
        <v>0</v>
      </c>
      <c r="Y642" s="8"/>
      <c r="Z642" s="8"/>
      <c r="AA642" s="8"/>
      <c r="AB642" s="11">
        <v>0</v>
      </c>
      <c r="AC642" s="13">
        <v>11541400</v>
      </c>
      <c r="AD642" s="8"/>
      <c r="AE642" s="8"/>
      <c r="AF642" s="8"/>
      <c r="AG642" s="11">
        <v>0</v>
      </c>
      <c r="AH642" s="11">
        <v>0</v>
      </c>
      <c r="AI642" s="11">
        <v>0</v>
      </c>
      <c r="AJ642" s="8"/>
      <c r="AK642" s="8"/>
      <c r="AL642" s="8"/>
      <c r="AM642" s="10">
        <v>34047129965.549999</v>
      </c>
      <c r="AN642" s="10">
        <v>34047129965.549999</v>
      </c>
      <c r="AO642" s="8"/>
      <c r="AP642" s="8"/>
      <c r="AQ642" s="8"/>
      <c r="AR642" s="10">
        <v>0</v>
      </c>
      <c r="AS642" s="10">
        <v>0</v>
      </c>
      <c r="AT642" s="10">
        <v>0</v>
      </c>
      <c r="AU642" s="8"/>
      <c r="AV642" s="8"/>
      <c r="AW642" s="8"/>
      <c r="AX642" s="14">
        <v>44377</v>
      </c>
      <c r="AY642" s="14">
        <v>44377</v>
      </c>
      <c r="AZ642" s="8"/>
      <c r="BA642" s="8"/>
      <c r="BB642" s="8"/>
      <c r="BC642" s="14">
        <v>42613</v>
      </c>
      <c r="BD642" s="14">
        <v>42613</v>
      </c>
      <c r="BE642" s="14">
        <v>42155</v>
      </c>
      <c r="BF642" s="8"/>
      <c r="BG642" s="8"/>
      <c r="BH642" s="8"/>
      <c r="BI642" s="8" t="s">
        <v>35</v>
      </c>
      <c r="BJ642" s="8" t="s">
        <v>35</v>
      </c>
      <c r="BK642" s="8"/>
      <c r="BL642" s="8"/>
      <c r="BM642" s="8"/>
      <c r="BN642" s="8" t="s">
        <v>35</v>
      </c>
      <c r="BO642" s="8" t="s">
        <v>35</v>
      </c>
      <c r="BP642" s="8" t="s">
        <v>35</v>
      </c>
      <c r="BQ642" s="8" t="s">
        <v>31</v>
      </c>
      <c r="BR642" s="8" t="s">
        <v>36</v>
      </c>
      <c r="BS642" s="10">
        <v>18026422753681.199</v>
      </c>
      <c r="BT642" s="8" t="s">
        <v>41</v>
      </c>
      <c r="BU642" s="8"/>
      <c r="BV642" s="8"/>
      <c r="BW642" s="8"/>
      <c r="BX642" s="8" t="s">
        <v>27</v>
      </c>
      <c r="BY642" s="8" t="s">
        <v>43</v>
      </c>
      <c r="BZ642" s="8"/>
      <c r="CA642" s="8"/>
      <c r="CB642" s="8"/>
      <c r="CC642" s="8" t="s">
        <v>43</v>
      </c>
      <c r="CD642" s="8" t="s">
        <v>43</v>
      </c>
      <c r="CE642" s="8" t="s">
        <v>42</v>
      </c>
      <c r="CF642" s="8" t="s">
        <v>682</v>
      </c>
      <c r="CG642" s="8" t="s">
        <v>461</v>
      </c>
    </row>
    <row r="643" spans="1:85" ht="15.75" customHeight="1" x14ac:dyDescent="0.35">
      <c r="A643" s="8">
        <v>636</v>
      </c>
      <c r="B643" s="8" t="s">
        <v>875</v>
      </c>
      <c r="C643" s="8"/>
      <c r="D643" s="8"/>
      <c r="E643" s="8"/>
      <c r="F643" s="8"/>
      <c r="G643" s="8"/>
      <c r="H643" s="8"/>
      <c r="I643" s="8"/>
      <c r="J643" s="8"/>
      <c r="K643" s="9">
        <v>1.2999999999999999E-5</v>
      </c>
      <c r="L643" s="9">
        <v>1.2999999999999999E-5</v>
      </c>
      <c r="M643" s="8"/>
      <c r="N643" s="8"/>
      <c r="O643" s="8"/>
      <c r="P643" s="8"/>
      <c r="Q643" s="8"/>
      <c r="R643" s="8"/>
      <c r="S643" s="8"/>
      <c r="T643" s="8"/>
      <c r="U643" s="8"/>
      <c r="V643" s="10">
        <v>1200000</v>
      </c>
      <c r="W643" s="10">
        <v>1200000</v>
      </c>
      <c r="X643" s="8"/>
      <c r="Y643" s="8"/>
      <c r="Z643" s="8"/>
      <c r="AA643" s="8"/>
      <c r="AB643" s="8"/>
      <c r="AC643" s="8"/>
      <c r="AD643" s="8"/>
      <c r="AE643" s="8"/>
      <c r="AF643" s="8"/>
      <c r="AG643" s="11">
        <v>0</v>
      </c>
      <c r="AH643" s="13">
        <v>1200000</v>
      </c>
      <c r="AI643" s="8"/>
      <c r="AJ643" s="8"/>
      <c r="AK643" s="8"/>
      <c r="AL643" s="8"/>
      <c r="AM643" s="8"/>
      <c r="AN643" s="8"/>
      <c r="AO643" s="8"/>
      <c r="AP643" s="8"/>
      <c r="AQ643" s="8"/>
      <c r="AR643" s="10">
        <v>3360000042.0900002</v>
      </c>
      <c r="AS643" s="10">
        <v>3360000042.0900002</v>
      </c>
      <c r="AT643" s="8"/>
      <c r="AU643" s="8"/>
      <c r="AV643" s="8"/>
      <c r="AW643" s="8"/>
      <c r="AX643" s="8"/>
      <c r="AY643" s="8"/>
      <c r="AZ643" s="8"/>
      <c r="BA643" s="8"/>
      <c r="BB643" s="8"/>
      <c r="BC643" s="14">
        <v>42643</v>
      </c>
      <c r="BD643" s="14">
        <v>42643</v>
      </c>
      <c r="BE643" s="8"/>
      <c r="BF643" s="8"/>
      <c r="BG643" s="8"/>
      <c r="BH643" s="8"/>
      <c r="BI643" s="8"/>
      <c r="BJ643" s="8"/>
      <c r="BK643" s="8"/>
      <c r="BL643" s="8"/>
      <c r="BM643" s="8"/>
      <c r="BN643" s="8" t="s">
        <v>35</v>
      </c>
      <c r="BO643" s="8" t="s">
        <v>35</v>
      </c>
      <c r="BP643" s="8"/>
      <c r="BQ643" s="8" t="s">
        <v>31</v>
      </c>
      <c r="BR643" s="8" t="s">
        <v>36</v>
      </c>
      <c r="BS643" s="10">
        <v>2715885371353.2002</v>
      </c>
      <c r="BT643" s="8" t="s">
        <v>57</v>
      </c>
      <c r="BU643" s="8"/>
      <c r="BV643" s="8"/>
      <c r="BW643" s="8"/>
      <c r="BX643" s="8"/>
      <c r="BY643" s="8"/>
      <c r="BZ643" s="8"/>
      <c r="CA643" s="8"/>
      <c r="CB643" s="8"/>
      <c r="CC643" s="8"/>
      <c r="CD643" s="8" t="s">
        <v>42</v>
      </c>
      <c r="CE643" s="8"/>
      <c r="CF643" s="8" t="s">
        <v>145</v>
      </c>
      <c r="CG643" s="8" t="s">
        <v>146</v>
      </c>
    </row>
    <row r="644" spans="1:85" ht="15.75" hidden="1" customHeight="1" x14ac:dyDescent="0.35">
      <c r="A644" s="8">
        <v>637</v>
      </c>
      <c r="B644" s="8" t="s">
        <v>876</v>
      </c>
      <c r="C644" s="8"/>
      <c r="D644" s="8"/>
      <c r="E644" s="8"/>
      <c r="F644" s="8"/>
      <c r="G644" s="8"/>
      <c r="H644" s="8"/>
      <c r="I644" s="8"/>
      <c r="J644" s="8"/>
      <c r="K644" s="8"/>
      <c r="L644" s="9">
        <v>3.4999999999999997E-5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10">
        <v>3266000</v>
      </c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13">
        <v>3266000</v>
      </c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10">
        <v>9450987485.1000004</v>
      </c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14">
        <v>42735</v>
      </c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 t="s">
        <v>201</v>
      </c>
      <c r="BP644" s="8"/>
      <c r="BQ644" s="8" t="s">
        <v>25</v>
      </c>
      <c r="BR644" s="8" t="s">
        <v>202</v>
      </c>
      <c r="BS644" s="10">
        <v>3046675725.5999999</v>
      </c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 t="s">
        <v>27</v>
      </c>
      <c r="CE644" s="8"/>
      <c r="CF644" s="8"/>
      <c r="CG644" s="8" t="s">
        <v>29</v>
      </c>
    </row>
    <row r="645" spans="1:85" ht="15.75" customHeight="1" x14ac:dyDescent="0.35">
      <c r="A645" s="8">
        <v>638</v>
      </c>
      <c r="B645" s="8" t="s">
        <v>877</v>
      </c>
      <c r="C645" s="8"/>
      <c r="D645" s="8"/>
      <c r="E645" s="8"/>
      <c r="F645" s="8"/>
      <c r="G645" s="8"/>
      <c r="H645" s="9">
        <v>2.3E-5</v>
      </c>
      <c r="I645" s="9">
        <v>2.3E-5</v>
      </c>
      <c r="J645" s="8"/>
      <c r="K645" s="8"/>
      <c r="L645" s="8"/>
      <c r="M645" s="8"/>
      <c r="N645" s="8"/>
      <c r="O645" s="8"/>
      <c r="P645" s="8"/>
      <c r="Q645" s="8"/>
      <c r="R645" s="8"/>
      <c r="S645" s="10">
        <v>2157800</v>
      </c>
      <c r="T645" s="10">
        <v>2157800</v>
      </c>
      <c r="U645" s="8"/>
      <c r="V645" s="8"/>
      <c r="W645" s="8"/>
      <c r="X645" s="8"/>
      <c r="Y645" s="8"/>
      <c r="Z645" s="8"/>
      <c r="AA645" s="8"/>
      <c r="AB645" s="8"/>
      <c r="AC645" s="8"/>
      <c r="AD645" s="11">
        <v>0</v>
      </c>
      <c r="AE645" s="13">
        <v>2157800</v>
      </c>
      <c r="AF645" s="8"/>
      <c r="AG645" s="8"/>
      <c r="AH645" s="8"/>
      <c r="AI645" s="8"/>
      <c r="AJ645" s="8"/>
      <c r="AK645" s="8"/>
      <c r="AL645" s="8"/>
      <c r="AM645" s="8"/>
      <c r="AN645" s="8"/>
      <c r="AO645" s="10">
        <v>7822025058.6000004</v>
      </c>
      <c r="AP645" s="10">
        <v>7822025058.6000004</v>
      </c>
      <c r="AQ645" s="8"/>
      <c r="AR645" s="8"/>
      <c r="AS645" s="8"/>
      <c r="AT645" s="8"/>
      <c r="AU645" s="8"/>
      <c r="AV645" s="8"/>
      <c r="AW645" s="8"/>
      <c r="AX645" s="8"/>
      <c r="AY645" s="8"/>
      <c r="AZ645" s="14">
        <v>43708</v>
      </c>
      <c r="BA645" s="14">
        <v>43708</v>
      </c>
      <c r="BB645" s="8"/>
      <c r="BC645" s="8"/>
      <c r="BD645" s="8"/>
      <c r="BE645" s="8"/>
      <c r="BF645" s="8"/>
      <c r="BG645" s="8"/>
      <c r="BH645" s="8"/>
      <c r="BI645" s="8"/>
      <c r="BJ645" s="8"/>
      <c r="BK645" s="8" t="s">
        <v>35</v>
      </c>
      <c r="BL645" s="8" t="s">
        <v>35</v>
      </c>
      <c r="BM645" s="8"/>
      <c r="BN645" s="8"/>
      <c r="BO645" s="8"/>
      <c r="BP645" s="8"/>
      <c r="BQ645" s="8" t="s">
        <v>31</v>
      </c>
      <c r="BR645" s="8" t="s">
        <v>36</v>
      </c>
      <c r="BS645" s="10">
        <v>11937078028.799999</v>
      </c>
      <c r="BT645" s="8"/>
      <c r="BU645" s="8"/>
      <c r="BV645" s="8"/>
      <c r="BW645" s="8"/>
      <c r="BX645" s="8"/>
      <c r="BY645" s="8"/>
      <c r="BZ645" s="8" t="s">
        <v>27</v>
      </c>
      <c r="CA645" s="8" t="s">
        <v>42</v>
      </c>
      <c r="CB645" s="8"/>
      <c r="CC645" s="8"/>
      <c r="CD645" s="8"/>
      <c r="CE645" s="8"/>
      <c r="CF645" s="8" t="s">
        <v>50</v>
      </c>
      <c r="CG645" s="8" t="s">
        <v>51</v>
      </c>
    </row>
    <row r="646" spans="1:85" ht="15.75" customHeight="1" x14ac:dyDescent="0.35">
      <c r="A646" s="8">
        <v>639</v>
      </c>
      <c r="B646" s="8" t="s">
        <v>878</v>
      </c>
      <c r="C646" s="8"/>
      <c r="D646" s="9">
        <v>2.6999999999999999E-5</v>
      </c>
      <c r="E646" s="9">
        <v>2.6999999999999999E-5</v>
      </c>
      <c r="F646" s="8"/>
      <c r="G646" s="8"/>
      <c r="H646" s="8"/>
      <c r="I646" s="8"/>
      <c r="J646" s="8"/>
      <c r="K646" s="8"/>
      <c r="L646" s="8"/>
      <c r="M646" s="8"/>
      <c r="N646" s="8"/>
      <c r="O646" s="10">
        <v>2496100</v>
      </c>
      <c r="P646" s="10">
        <v>2496100</v>
      </c>
      <c r="Q646" s="8"/>
      <c r="R646" s="8"/>
      <c r="S646" s="8"/>
      <c r="T646" s="8"/>
      <c r="U646" s="8"/>
      <c r="V646" s="8"/>
      <c r="W646" s="8"/>
      <c r="X646" s="8"/>
      <c r="Y646" s="8"/>
      <c r="Z646" s="11">
        <v>0</v>
      </c>
      <c r="AA646" s="13">
        <v>2496100</v>
      </c>
      <c r="AB646" s="8"/>
      <c r="AC646" s="8"/>
      <c r="AD646" s="8"/>
      <c r="AE646" s="8"/>
      <c r="AF646" s="8"/>
      <c r="AG646" s="8"/>
      <c r="AH646" s="8"/>
      <c r="AI646" s="8"/>
      <c r="AJ646" s="8"/>
      <c r="AK646" s="10">
        <v>16599065019.25</v>
      </c>
      <c r="AL646" s="10">
        <v>15101405034</v>
      </c>
      <c r="AM646" s="8"/>
      <c r="AN646" s="8"/>
      <c r="AO646" s="8"/>
      <c r="AP646" s="8"/>
      <c r="AQ646" s="8"/>
      <c r="AR646" s="8"/>
      <c r="AS646" s="8"/>
      <c r="AT646" s="8"/>
      <c r="AU646" s="8"/>
      <c r="AV646" s="14">
        <v>45322</v>
      </c>
      <c r="AW646" s="14">
        <v>45291</v>
      </c>
      <c r="AX646" s="8"/>
      <c r="AY646" s="8"/>
      <c r="AZ646" s="8"/>
      <c r="BA646" s="8"/>
      <c r="BB646" s="8"/>
      <c r="BC646" s="8"/>
      <c r="BD646" s="8"/>
      <c r="BE646" s="8"/>
      <c r="BF646" s="8"/>
      <c r="BG646" s="8" t="s">
        <v>35</v>
      </c>
      <c r="BH646" s="8" t="s">
        <v>35</v>
      </c>
      <c r="BI646" s="8"/>
      <c r="BJ646" s="8"/>
      <c r="BK646" s="8"/>
      <c r="BL646" s="8"/>
      <c r="BM646" s="8"/>
      <c r="BN646" s="8"/>
      <c r="BO646" s="8"/>
      <c r="BP646" s="8"/>
      <c r="BQ646" s="8" t="s">
        <v>31</v>
      </c>
      <c r="BR646" s="8" t="s">
        <v>36</v>
      </c>
      <c r="BS646" s="10">
        <v>1086852386880</v>
      </c>
      <c r="BT646" s="8"/>
      <c r="BU646" s="8"/>
      <c r="BV646" s="8" t="s">
        <v>27</v>
      </c>
      <c r="BW646" s="8" t="s">
        <v>27</v>
      </c>
      <c r="BX646" s="8"/>
      <c r="BY646" s="8"/>
      <c r="BZ646" s="8"/>
      <c r="CA646" s="8"/>
      <c r="CB646" s="8"/>
      <c r="CC646" s="8"/>
      <c r="CD646" s="8"/>
      <c r="CE646" s="8"/>
      <c r="CF646" s="8" t="s">
        <v>194</v>
      </c>
      <c r="CG646" s="8" t="s">
        <v>195</v>
      </c>
    </row>
    <row r="647" spans="1:85" ht="15.75" customHeight="1" x14ac:dyDescent="0.35">
      <c r="A647" s="8">
        <v>640</v>
      </c>
      <c r="B647" s="8" t="s">
        <v>879</v>
      </c>
      <c r="C647" s="8"/>
      <c r="D647" s="8"/>
      <c r="E647" s="8"/>
      <c r="F647" s="9">
        <v>0</v>
      </c>
      <c r="G647" s="9">
        <v>0</v>
      </c>
      <c r="H647" s="9">
        <v>2.5999999999999998E-4</v>
      </c>
      <c r="I647" s="8"/>
      <c r="J647" s="8"/>
      <c r="K647" s="8"/>
      <c r="L647" s="8"/>
      <c r="M647" s="8"/>
      <c r="N647" s="8"/>
      <c r="O647" s="8"/>
      <c r="P647" s="8"/>
      <c r="Q647" s="10">
        <v>0</v>
      </c>
      <c r="R647" s="10">
        <v>0</v>
      </c>
      <c r="S647" s="10">
        <v>24041800</v>
      </c>
      <c r="T647" s="8"/>
      <c r="U647" s="8"/>
      <c r="V647" s="8"/>
      <c r="W647" s="8"/>
      <c r="X647" s="8"/>
      <c r="Y647" s="8"/>
      <c r="Z647" s="8"/>
      <c r="AA647" s="8"/>
      <c r="AB647" s="11">
        <v>0</v>
      </c>
      <c r="AC647" s="12">
        <v>-24041800</v>
      </c>
      <c r="AD647" s="13">
        <v>24041800</v>
      </c>
      <c r="AE647" s="8"/>
      <c r="AF647" s="8"/>
      <c r="AG647" s="8"/>
      <c r="AH647" s="8"/>
      <c r="AI647" s="8"/>
      <c r="AJ647" s="8"/>
      <c r="AK647" s="8"/>
      <c r="AL647" s="8"/>
      <c r="AM647" s="10">
        <v>0</v>
      </c>
      <c r="AN647" s="10">
        <v>0</v>
      </c>
      <c r="AO647" s="10">
        <v>76032192412.800003</v>
      </c>
      <c r="AP647" s="8"/>
      <c r="AQ647" s="8"/>
      <c r="AR647" s="8"/>
      <c r="AS647" s="8"/>
      <c r="AT647" s="8"/>
      <c r="AU647" s="8"/>
      <c r="AV647" s="8"/>
      <c r="AW647" s="8"/>
      <c r="AX647" s="14">
        <v>44469</v>
      </c>
      <c r="AY647" s="14">
        <v>44469</v>
      </c>
      <c r="AZ647" s="14">
        <v>44196</v>
      </c>
      <c r="BA647" s="8"/>
      <c r="BB647" s="8"/>
      <c r="BC647" s="8"/>
      <c r="BD647" s="8"/>
      <c r="BE647" s="8"/>
      <c r="BF647" s="8"/>
      <c r="BG647" s="8"/>
      <c r="BH647" s="8"/>
      <c r="BI647" s="8" t="s">
        <v>35</v>
      </c>
      <c r="BJ647" s="8" t="s">
        <v>35</v>
      </c>
      <c r="BK647" s="8" t="s">
        <v>35</v>
      </c>
      <c r="BL647" s="8"/>
      <c r="BM647" s="8"/>
      <c r="BN647" s="8"/>
      <c r="BO647" s="8"/>
      <c r="BP647" s="8"/>
      <c r="BQ647" s="8" t="s">
        <v>31</v>
      </c>
      <c r="BR647" s="8" t="s">
        <v>36</v>
      </c>
      <c r="BS647" s="10">
        <v>240224719928018</v>
      </c>
      <c r="BT647" s="8" t="s">
        <v>61</v>
      </c>
      <c r="BU647" s="8"/>
      <c r="BV647" s="8"/>
      <c r="BW647" s="8"/>
      <c r="BX647" s="8" t="s">
        <v>27</v>
      </c>
      <c r="BY647" s="8" t="s">
        <v>27</v>
      </c>
      <c r="BZ647" s="8" t="s">
        <v>27</v>
      </c>
      <c r="CA647" s="8"/>
      <c r="CB647" s="8"/>
      <c r="CC647" s="8"/>
      <c r="CD647" s="8"/>
      <c r="CE647" s="8"/>
      <c r="CF647" s="8" t="s">
        <v>50</v>
      </c>
      <c r="CG647" s="8" t="s">
        <v>51</v>
      </c>
    </row>
    <row r="648" spans="1:85" ht="15.75" customHeight="1" x14ac:dyDescent="0.35">
      <c r="A648" s="8">
        <v>641</v>
      </c>
      <c r="B648" s="8" t="s">
        <v>880</v>
      </c>
      <c r="C648" s="8"/>
      <c r="D648" s="8"/>
      <c r="E648" s="9">
        <v>2.5999999999999998E-5</v>
      </c>
      <c r="F648" s="9">
        <v>2.5999999999999998E-5</v>
      </c>
      <c r="G648" s="8"/>
      <c r="H648" s="8"/>
      <c r="I648" s="8"/>
      <c r="J648" s="8"/>
      <c r="K648" s="8"/>
      <c r="L648" s="8"/>
      <c r="M648" s="8"/>
      <c r="N648" s="8"/>
      <c r="O648" s="8"/>
      <c r="P648" s="10">
        <v>2430000</v>
      </c>
      <c r="Q648" s="10">
        <v>2430000</v>
      </c>
      <c r="R648" s="8"/>
      <c r="S648" s="8"/>
      <c r="T648" s="8"/>
      <c r="U648" s="8"/>
      <c r="V648" s="8"/>
      <c r="W648" s="8"/>
      <c r="X648" s="8"/>
      <c r="Y648" s="8"/>
      <c r="Z648" s="8"/>
      <c r="AA648" s="11">
        <v>0</v>
      </c>
      <c r="AB648" s="13">
        <v>2430000</v>
      </c>
      <c r="AC648" s="8"/>
      <c r="AD648" s="8"/>
      <c r="AE648" s="8"/>
      <c r="AF648" s="8"/>
      <c r="AG648" s="8"/>
      <c r="AH648" s="8"/>
      <c r="AI648" s="8"/>
      <c r="AJ648" s="8"/>
      <c r="AK648" s="8"/>
      <c r="AL648" s="10">
        <v>9628874984.25</v>
      </c>
      <c r="AM648" s="10">
        <v>9628874984.25</v>
      </c>
      <c r="AN648" s="8"/>
      <c r="AO648" s="8"/>
      <c r="AP648" s="8"/>
      <c r="AQ648" s="8"/>
      <c r="AR648" s="8"/>
      <c r="AS648" s="8"/>
      <c r="AT648" s="8"/>
      <c r="AU648" s="8"/>
      <c r="AV648" s="8"/>
      <c r="AW648" s="14">
        <v>44742</v>
      </c>
      <c r="AX648" s="14">
        <v>44742</v>
      </c>
      <c r="AY648" s="8"/>
      <c r="AZ648" s="8"/>
      <c r="BA648" s="8"/>
      <c r="BB648" s="8"/>
      <c r="BC648" s="8"/>
      <c r="BD648" s="8"/>
      <c r="BE648" s="8"/>
      <c r="BF648" s="8"/>
      <c r="BG648" s="8"/>
      <c r="BH648" s="8" t="s">
        <v>35</v>
      </c>
      <c r="BI648" s="8" t="s">
        <v>35</v>
      </c>
      <c r="BJ648" s="8"/>
      <c r="BK648" s="8"/>
      <c r="BL648" s="8"/>
      <c r="BM648" s="8"/>
      <c r="BN648" s="8"/>
      <c r="BO648" s="8"/>
      <c r="BP648" s="8"/>
      <c r="BQ648" s="8" t="s">
        <v>31</v>
      </c>
      <c r="BR648" s="8" t="s">
        <v>36</v>
      </c>
      <c r="BS648" s="10">
        <v>168629073589.20001</v>
      </c>
      <c r="BT648" s="8"/>
      <c r="BU648" s="8"/>
      <c r="BV648" s="8"/>
      <c r="BW648" s="8" t="s">
        <v>27</v>
      </c>
      <c r="BX648" s="8" t="s">
        <v>43</v>
      </c>
      <c r="BY648" s="8"/>
      <c r="BZ648" s="8"/>
      <c r="CA648" s="8"/>
      <c r="CB648" s="8"/>
      <c r="CC648" s="8"/>
      <c r="CD648" s="8"/>
      <c r="CE648" s="8"/>
      <c r="CF648" s="8" t="s">
        <v>309</v>
      </c>
      <c r="CG648" s="8" t="s">
        <v>310</v>
      </c>
    </row>
    <row r="649" spans="1:85" ht="15.75" customHeight="1" x14ac:dyDescent="0.35">
      <c r="A649" s="8">
        <v>642</v>
      </c>
      <c r="B649" s="8" t="s">
        <v>881</v>
      </c>
      <c r="C649" s="8"/>
      <c r="D649" s="8"/>
      <c r="E649" s="8"/>
      <c r="F649" s="8"/>
      <c r="G649" s="8"/>
      <c r="H649" s="8"/>
      <c r="I649" s="9">
        <v>0</v>
      </c>
      <c r="J649" s="9">
        <v>0</v>
      </c>
      <c r="K649" s="9">
        <v>6.0000000000000002E-6</v>
      </c>
      <c r="L649" s="9">
        <v>5.0000000000000004E-6</v>
      </c>
      <c r="M649" s="8"/>
      <c r="N649" s="8"/>
      <c r="O649" s="8"/>
      <c r="P649" s="8"/>
      <c r="Q649" s="8"/>
      <c r="R649" s="8"/>
      <c r="S649" s="8"/>
      <c r="T649" s="10">
        <v>0</v>
      </c>
      <c r="U649" s="10">
        <v>0</v>
      </c>
      <c r="V649" s="10">
        <v>519000</v>
      </c>
      <c r="W649" s="10">
        <v>461600</v>
      </c>
      <c r="X649" s="8"/>
      <c r="Y649" s="8"/>
      <c r="Z649" s="8"/>
      <c r="AA649" s="8"/>
      <c r="AB649" s="8"/>
      <c r="AC649" s="8"/>
      <c r="AD649" s="8"/>
      <c r="AE649" s="11">
        <v>0</v>
      </c>
      <c r="AF649" s="12">
        <v>-519000</v>
      </c>
      <c r="AG649" s="13">
        <v>57400</v>
      </c>
      <c r="AH649" s="13">
        <v>461600</v>
      </c>
      <c r="AI649" s="8"/>
      <c r="AJ649" s="8"/>
      <c r="AK649" s="8"/>
      <c r="AL649" s="8"/>
      <c r="AM649" s="8"/>
      <c r="AN649" s="8"/>
      <c r="AO649" s="8"/>
      <c r="AP649" s="10">
        <v>0</v>
      </c>
      <c r="AQ649" s="10">
        <v>0</v>
      </c>
      <c r="AR649" s="10">
        <v>2075999944.1500001</v>
      </c>
      <c r="AS649" s="10">
        <v>1335754974.5999999</v>
      </c>
      <c r="AT649" s="8"/>
      <c r="AU649" s="8"/>
      <c r="AV649" s="8"/>
      <c r="AW649" s="8"/>
      <c r="AX649" s="8"/>
      <c r="AY649" s="8"/>
      <c r="AZ649" s="8"/>
      <c r="BA649" s="14">
        <v>43373</v>
      </c>
      <c r="BB649" s="14">
        <v>43373</v>
      </c>
      <c r="BC649" s="14">
        <v>43100</v>
      </c>
      <c r="BD649" s="14">
        <v>42735</v>
      </c>
      <c r="BE649" s="8"/>
      <c r="BF649" s="8"/>
      <c r="BG649" s="8"/>
      <c r="BH649" s="8"/>
      <c r="BI649" s="8"/>
      <c r="BJ649" s="8"/>
      <c r="BK649" s="8"/>
      <c r="BL649" s="8" t="s">
        <v>35</v>
      </c>
      <c r="BM649" s="8" t="s">
        <v>35</v>
      </c>
      <c r="BN649" s="8" t="s">
        <v>35</v>
      </c>
      <c r="BO649" s="8" t="s">
        <v>35</v>
      </c>
      <c r="BP649" s="8"/>
      <c r="BQ649" s="8" t="s">
        <v>31</v>
      </c>
      <c r="BR649" s="8" t="s">
        <v>219</v>
      </c>
      <c r="BS649" s="10">
        <v>105260464746617</v>
      </c>
      <c r="BT649" s="8"/>
      <c r="BU649" s="8"/>
      <c r="BV649" s="8"/>
      <c r="BW649" s="8"/>
      <c r="BX649" s="8"/>
      <c r="BY649" s="8"/>
      <c r="BZ649" s="8"/>
      <c r="CA649" s="8" t="s">
        <v>27</v>
      </c>
      <c r="CB649" s="8" t="s">
        <v>27</v>
      </c>
      <c r="CC649" s="8" t="s">
        <v>27</v>
      </c>
      <c r="CD649" s="8" t="s">
        <v>27</v>
      </c>
      <c r="CE649" s="8"/>
      <c r="CF649" s="8" t="s">
        <v>882</v>
      </c>
      <c r="CG649" s="8" t="s">
        <v>39</v>
      </c>
    </row>
    <row r="650" spans="1:85" ht="15.75" customHeight="1" x14ac:dyDescent="0.35">
      <c r="A650" s="8">
        <v>643</v>
      </c>
      <c r="B650" s="8" t="s">
        <v>883</v>
      </c>
      <c r="C650" s="8"/>
      <c r="D650" s="8"/>
      <c r="E650" s="8"/>
      <c r="F650" s="8"/>
      <c r="G650" s="8"/>
      <c r="H650" s="8"/>
      <c r="I650" s="9">
        <v>0</v>
      </c>
      <c r="J650" s="9">
        <v>0</v>
      </c>
      <c r="K650" s="9">
        <v>7.45E-4</v>
      </c>
      <c r="L650" s="9">
        <v>6.7100000000000005E-4</v>
      </c>
      <c r="M650" s="8"/>
      <c r="N650" s="8"/>
      <c r="O650" s="8"/>
      <c r="P650" s="8"/>
      <c r="Q650" s="8"/>
      <c r="R650" s="8"/>
      <c r="S650" s="8"/>
      <c r="T650" s="10">
        <v>0</v>
      </c>
      <c r="U650" s="10">
        <v>0</v>
      </c>
      <c r="V650" s="10">
        <v>68826360</v>
      </c>
      <c r="W650" s="10">
        <v>61991600</v>
      </c>
      <c r="X650" s="8"/>
      <c r="Y650" s="8"/>
      <c r="Z650" s="8"/>
      <c r="AA650" s="8"/>
      <c r="AB650" s="8"/>
      <c r="AC650" s="8"/>
      <c r="AD650" s="8"/>
      <c r="AE650" s="11">
        <v>0</v>
      </c>
      <c r="AF650" s="12">
        <v>-68826360</v>
      </c>
      <c r="AG650" s="13">
        <v>6834760</v>
      </c>
      <c r="AH650" s="13">
        <v>61991600</v>
      </c>
      <c r="AI650" s="8"/>
      <c r="AJ650" s="8"/>
      <c r="AK650" s="8"/>
      <c r="AL650" s="8"/>
      <c r="AM650" s="8"/>
      <c r="AN650" s="8"/>
      <c r="AO650" s="8"/>
      <c r="AP650" s="10">
        <v>0</v>
      </c>
      <c r="AQ650" s="10">
        <v>0</v>
      </c>
      <c r="AR650" s="10">
        <v>225406329074.92001</v>
      </c>
      <c r="AS650" s="10">
        <v>179388192556.5</v>
      </c>
      <c r="AT650" s="8"/>
      <c r="AU650" s="8"/>
      <c r="AV650" s="8"/>
      <c r="AW650" s="8"/>
      <c r="AX650" s="8"/>
      <c r="AY650" s="8"/>
      <c r="AZ650" s="8"/>
      <c r="BA650" s="14">
        <v>43312</v>
      </c>
      <c r="BB650" s="14">
        <v>43312</v>
      </c>
      <c r="BC650" s="14">
        <v>42978</v>
      </c>
      <c r="BD650" s="14">
        <v>42735</v>
      </c>
      <c r="BE650" s="8"/>
      <c r="BF650" s="8"/>
      <c r="BG650" s="8"/>
      <c r="BH650" s="8"/>
      <c r="BI650" s="8"/>
      <c r="BJ650" s="8"/>
      <c r="BK650" s="8"/>
      <c r="BL650" s="8" t="s">
        <v>35</v>
      </c>
      <c r="BM650" s="8" t="s">
        <v>35</v>
      </c>
      <c r="BN650" s="8" t="s">
        <v>35</v>
      </c>
      <c r="BO650" s="8" t="s">
        <v>35</v>
      </c>
      <c r="BP650" s="8"/>
      <c r="BQ650" s="8" t="s">
        <v>31</v>
      </c>
      <c r="BR650" s="8" t="s">
        <v>49</v>
      </c>
      <c r="BS650" s="10">
        <v>9531045780297.5996</v>
      </c>
      <c r="BT650" s="8" t="s">
        <v>37</v>
      </c>
      <c r="BU650" s="8"/>
      <c r="BV650" s="8"/>
      <c r="BW650" s="8"/>
      <c r="BX650" s="8"/>
      <c r="BY650" s="8"/>
      <c r="BZ650" s="8"/>
      <c r="CA650" s="8" t="s">
        <v>42</v>
      </c>
      <c r="CB650" s="8" t="s">
        <v>42</v>
      </c>
      <c r="CC650" s="8" t="s">
        <v>42</v>
      </c>
      <c r="CD650" s="8" t="s">
        <v>42</v>
      </c>
      <c r="CE650" s="8"/>
      <c r="CF650" s="8" t="s">
        <v>884</v>
      </c>
      <c r="CG650" s="8" t="s">
        <v>39</v>
      </c>
    </row>
    <row r="651" spans="1:85" ht="15.75" customHeight="1" x14ac:dyDescent="0.35">
      <c r="A651" s="8">
        <v>644</v>
      </c>
      <c r="B651" s="8" t="s">
        <v>885</v>
      </c>
      <c r="C651" s="8"/>
      <c r="D651" s="8"/>
      <c r="E651" s="8"/>
      <c r="F651" s="9">
        <v>1.4E-5</v>
      </c>
      <c r="G651" s="9">
        <v>2.6999999999999999E-5</v>
      </c>
      <c r="H651" s="9">
        <v>0</v>
      </c>
      <c r="I651" s="9">
        <v>1.7200000000000001E-4</v>
      </c>
      <c r="J651" s="9">
        <v>1.5300000000000001E-4</v>
      </c>
      <c r="K651" s="9">
        <v>5.5000000000000002E-5</v>
      </c>
      <c r="L651" s="9">
        <v>6.4999999999999994E-5</v>
      </c>
      <c r="M651" s="8"/>
      <c r="N651" s="8"/>
      <c r="O651" s="8"/>
      <c r="P651" s="8"/>
      <c r="Q651" s="10">
        <v>1337840</v>
      </c>
      <c r="R651" s="10">
        <v>2480240</v>
      </c>
      <c r="S651" s="10">
        <v>0</v>
      </c>
      <c r="T651" s="10">
        <v>15911800</v>
      </c>
      <c r="U651" s="10">
        <v>14095600</v>
      </c>
      <c r="V651" s="10">
        <v>5102880</v>
      </c>
      <c r="W651" s="10">
        <v>5996280</v>
      </c>
      <c r="X651" s="8"/>
      <c r="Y651" s="8"/>
      <c r="Z651" s="8"/>
      <c r="AA651" s="8"/>
      <c r="AB651" s="12">
        <v>-1142400</v>
      </c>
      <c r="AC651" s="13">
        <v>2480240</v>
      </c>
      <c r="AD651" s="12">
        <v>-15911800</v>
      </c>
      <c r="AE651" s="13">
        <v>1816200</v>
      </c>
      <c r="AF651" s="13">
        <v>8992720</v>
      </c>
      <c r="AG651" s="12">
        <v>-893400</v>
      </c>
      <c r="AH651" s="13">
        <v>5996280</v>
      </c>
      <c r="AI651" s="8"/>
      <c r="AJ651" s="8"/>
      <c r="AK651" s="8"/>
      <c r="AL651" s="8"/>
      <c r="AM651" s="10">
        <v>6639030972.1999998</v>
      </c>
      <c r="AN651" s="10">
        <v>8702682337.5</v>
      </c>
      <c r="AO651" s="10">
        <v>0</v>
      </c>
      <c r="AP651" s="10">
        <v>60886068378</v>
      </c>
      <c r="AQ651" s="10">
        <v>51334724937.5</v>
      </c>
      <c r="AR651" s="10">
        <v>20411520017.5</v>
      </c>
      <c r="AS651" s="10">
        <v>17351735299.799999</v>
      </c>
      <c r="AT651" s="8"/>
      <c r="AU651" s="8"/>
      <c r="AV651" s="8"/>
      <c r="AW651" s="8"/>
      <c r="AX651" s="14">
        <v>44926</v>
      </c>
      <c r="AY651" s="14">
        <v>44561</v>
      </c>
      <c r="AZ651" s="14">
        <v>44196</v>
      </c>
      <c r="BA651" s="14">
        <v>43830</v>
      </c>
      <c r="BB651" s="14">
        <v>43465</v>
      </c>
      <c r="BC651" s="14">
        <v>43100</v>
      </c>
      <c r="BD651" s="14">
        <v>42735</v>
      </c>
      <c r="BE651" s="8"/>
      <c r="BF651" s="8"/>
      <c r="BG651" s="8"/>
      <c r="BH651" s="8"/>
      <c r="BI651" s="8" t="s">
        <v>35</v>
      </c>
      <c r="BJ651" s="8" t="s">
        <v>35</v>
      </c>
      <c r="BK651" s="8" t="s">
        <v>35</v>
      </c>
      <c r="BL651" s="8" t="s">
        <v>35</v>
      </c>
      <c r="BM651" s="8" t="s">
        <v>35</v>
      </c>
      <c r="BN651" s="8" t="s">
        <v>35</v>
      </c>
      <c r="BO651" s="8" t="s">
        <v>35</v>
      </c>
      <c r="BP651" s="8"/>
      <c r="BQ651" s="8" t="s">
        <v>31</v>
      </c>
      <c r="BR651" s="8" t="s">
        <v>36</v>
      </c>
      <c r="BS651" s="10">
        <v>0</v>
      </c>
      <c r="BT651" s="8"/>
      <c r="BU651" s="8"/>
      <c r="BV651" s="8"/>
      <c r="BW651" s="8"/>
      <c r="BX651" s="8" t="s">
        <v>27</v>
      </c>
      <c r="BY651" s="8" t="s">
        <v>27</v>
      </c>
      <c r="BZ651" s="8" t="s">
        <v>27</v>
      </c>
      <c r="CA651" s="8" t="s">
        <v>42</v>
      </c>
      <c r="CB651" s="8" t="s">
        <v>42</v>
      </c>
      <c r="CC651" s="8" t="s">
        <v>42</v>
      </c>
      <c r="CD651" s="8" t="s">
        <v>27</v>
      </c>
      <c r="CE651" s="8"/>
      <c r="CF651" s="8" t="s">
        <v>194</v>
      </c>
      <c r="CG651" s="8" t="s">
        <v>195</v>
      </c>
    </row>
    <row r="652" spans="1:85" ht="15.75" customHeight="1" x14ac:dyDescent="0.35">
      <c r="A652" s="8">
        <v>645</v>
      </c>
      <c r="B652" s="8" t="s">
        <v>886</v>
      </c>
      <c r="C652" s="8"/>
      <c r="D652" s="8"/>
      <c r="E652" s="8"/>
      <c r="F652" s="8"/>
      <c r="G652" s="8"/>
      <c r="H652" s="8"/>
      <c r="I652" s="9">
        <v>2.0000000000000002E-5</v>
      </c>
      <c r="J652" s="9">
        <v>2.0000000000000002E-5</v>
      </c>
      <c r="K652" s="9">
        <v>2.8899999999999998E-4</v>
      </c>
      <c r="L652" s="9">
        <v>1.1E-4</v>
      </c>
      <c r="M652" s="9">
        <v>3.6699999999999998E-4</v>
      </c>
      <c r="N652" s="8"/>
      <c r="O652" s="8"/>
      <c r="P652" s="8"/>
      <c r="Q652" s="8"/>
      <c r="R652" s="8"/>
      <c r="S652" s="8"/>
      <c r="T652" s="10">
        <v>1841800</v>
      </c>
      <c r="U652" s="10">
        <v>1841800</v>
      </c>
      <c r="V652" s="10">
        <v>26675200</v>
      </c>
      <c r="W652" s="10">
        <v>10157600</v>
      </c>
      <c r="X652" s="10">
        <v>33915600</v>
      </c>
      <c r="Y652" s="8"/>
      <c r="Z652" s="8"/>
      <c r="AA652" s="8"/>
      <c r="AB652" s="8"/>
      <c r="AC652" s="8"/>
      <c r="AD652" s="8"/>
      <c r="AE652" s="11">
        <v>0</v>
      </c>
      <c r="AF652" s="12">
        <v>-24833400</v>
      </c>
      <c r="AG652" s="13">
        <v>16517600</v>
      </c>
      <c r="AH652" s="12">
        <v>-23758000</v>
      </c>
      <c r="AI652" s="13">
        <v>1655200</v>
      </c>
      <c r="AJ652" s="8"/>
      <c r="AK652" s="8"/>
      <c r="AL652" s="8"/>
      <c r="AM652" s="8"/>
      <c r="AN652" s="8"/>
      <c r="AO652" s="8"/>
      <c r="AP652" s="10">
        <v>6707646112.5</v>
      </c>
      <c r="AQ652" s="10">
        <v>6707646112.5</v>
      </c>
      <c r="AR652" s="10">
        <v>106700800020.39999</v>
      </c>
      <c r="AS652" s="10">
        <v>29393554977.299999</v>
      </c>
      <c r="AT652" s="10">
        <v>78458282938.350006</v>
      </c>
      <c r="AU652" s="8"/>
      <c r="AV652" s="8"/>
      <c r="AW652" s="8"/>
      <c r="AX652" s="8"/>
      <c r="AY652" s="8"/>
      <c r="AZ652" s="8"/>
      <c r="BA652" s="14">
        <v>43465</v>
      </c>
      <c r="BB652" s="14">
        <v>43465</v>
      </c>
      <c r="BC652" s="14">
        <v>43100</v>
      </c>
      <c r="BD652" s="14">
        <v>42735</v>
      </c>
      <c r="BE652" s="14">
        <v>42369</v>
      </c>
      <c r="BF652" s="8"/>
      <c r="BG652" s="8"/>
      <c r="BH652" s="8"/>
      <c r="BI652" s="8"/>
      <c r="BJ652" s="8"/>
      <c r="BK652" s="8"/>
      <c r="BL652" s="8" t="s">
        <v>35</v>
      </c>
      <c r="BM652" s="8" t="s">
        <v>35</v>
      </c>
      <c r="BN652" s="8" t="s">
        <v>35</v>
      </c>
      <c r="BO652" s="8" t="s">
        <v>35</v>
      </c>
      <c r="BP652" s="8" t="s">
        <v>35</v>
      </c>
      <c r="BQ652" s="8" t="s">
        <v>31</v>
      </c>
      <c r="BR652" s="8" t="s">
        <v>49</v>
      </c>
      <c r="BS652" s="10">
        <v>1328982450424.8</v>
      </c>
      <c r="BT652" s="8"/>
      <c r="BU652" s="8"/>
      <c r="BV652" s="8"/>
      <c r="BW652" s="8"/>
      <c r="BX652" s="8"/>
      <c r="BY652" s="8"/>
      <c r="BZ652" s="8"/>
      <c r="CA652" s="8" t="s">
        <v>42</v>
      </c>
      <c r="CB652" s="8" t="s">
        <v>42</v>
      </c>
      <c r="CC652" s="8" t="s">
        <v>42</v>
      </c>
      <c r="CD652" s="8" t="s">
        <v>42</v>
      </c>
      <c r="CE652" s="8" t="s">
        <v>42</v>
      </c>
      <c r="CF652" s="8" t="s">
        <v>50</v>
      </c>
      <c r="CG652" s="8" t="s">
        <v>51</v>
      </c>
    </row>
    <row r="653" spans="1:85" ht="15.75" customHeight="1" x14ac:dyDescent="0.35">
      <c r="A653" s="8">
        <v>646</v>
      </c>
      <c r="B653" s="8" t="s">
        <v>887</v>
      </c>
      <c r="C653" s="8"/>
      <c r="D653" s="8"/>
      <c r="E653" s="8"/>
      <c r="F653" s="8"/>
      <c r="G653" s="9">
        <v>0</v>
      </c>
      <c r="H653" s="9">
        <v>0</v>
      </c>
      <c r="I653" s="9">
        <v>1.3300000000000001E-4</v>
      </c>
      <c r="J653" s="9">
        <v>1E-4</v>
      </c>
      <c r="K653" s="9">
        <v>8.0000000000000007E-5</v>
      </c>
      <c r="L653" s="8"/>
      <c r="M653" s="8"/>
      <c r="N653" s="8"/>
      <c r="O653" s="8"/>
      <c r="P653" s="8"/>
      <c r="Q653" s="8"/>
      <c r="R653" s="10">
        <v>0</v>
      </c>
      <c r="S653" s="10">
        <v>0</v>
      </c>
      <c r="T653" s="10">
        <v>12281090</v>
      </c>
      <c r="U653" s="10">
        <v>9205698</v>
      </c>
      <c r="V653" s="10">
        <v>7429806</v>
      </c>
      <c r="W653" s="8"/>
      <c r="X653" s="8"/>
      <c r="Y653" s="8"/>
      <c r="Z653" s="8"/>
      <c r="AA653" s="8"/>
      <c r="AB653" s="8"/>
      <c r="AC653" s="11">
        <v>0</v>
      </c>
      <c r="AD653" s="12">
        <v>-12281090</v>
      </c>
      <c r="AE653" s="13">
        <v>3075392</v>
      </c>
      <c r="AF653" s="13">
        <v>1775892</v>
      </c>
      <c r="AG653" s="13">
        <v>7429806</v>
      </c>
      <c r="AH653" s="8"/>
      <c r="AI653" s="8"/>
      <c r="AJ653" s="8"/>
      <c r="AK653" s="8"/>
      <c r="AL653" s="8"/>
      <c r="AM653" s="8"/>
      <c r="AN653" s="10">
        <v>0</v>
      </c>
      <c r="AO653" s="10">
        <v>0</v>
      </c>
      <c r="AP653" s="10">
        <v>46993255611.199997</v>
      </c>
      <c r="AQ653" s="10">
        <v>33526205012.5</v>
      </c>
      <c r="AR653" s="10">
        <v>29719223987.099998</v>
      </c>
      <c r="AS653" s="8"/>
      <c r="AT653" s="8"/>
      <c r="AU653" s="8"/>
      <c r="AV653" s="8"/>
      <c r="AW653" s="8"/>
      <c r="AX653" s="8"/>
      <c r="AY653" s="14">
        <v>44012</v>
      </c>
      <c r="AZ653" s="14">
        <v>44012</v>
      </c>
      <c r="BA653" s="14">
        <v>43830</v>
      </c>
      <c r="BB653" s="14">
        <v>43465</v>
      </c>
      <c r="BC653" s="14">
        <v>43100</v>
      </c>
      <c r="BD653" s="8"/>
      <c r="BE653" s="8"/>
      <c r="BF653" s="8"/>
      <c r="BG653" s="8"/>
      <c r="BH653" s="8"/>
      <c r="BI653" s="8"/>
      <c r="BJ653" s="8" t="s">
        <v>35</v>
      </c>
      <c r="BK653" s="8" t="s">
        <v>35</v>
      </c>
      <c r="BL653" s="8" t="s">
        <v>35</v>
      </c>
      <c r="BM653" s="8" t="s">
        <v>35</v>
      </c>
      <c r="BN653" s="8" t="s">
        <v>35</v>
      </c>
      <c r="BO653" s="8"/>
      <c r="BP653" s="8"/>
      <c r="BQ653" s="8" t="s">
        <v>31</v>
      </c>
      <c r="BR653" s="8" t="s">
        <v>36</v>
      </c>
      <c r="BS653" s="10">
        <v>1573297304071.2</v>
      </c>
      <c r="BT653" s="8" t="s">
        <v>61</v>
      </c>
      <c r="BU653" s="8"/>
      <c r="BV653" s="8"/>
      <c r="BW653" s="8"/>
      <c r="BX653" s="8"/>
      <c r="BY653" s="8" t="s">
        <v>42</v>
      </c>
      <c r="BZ653" s="8" t="s">
        <v>42</v>
      </c>
      <c r="CA653" s="8" t="s">
        <v>43</v>
      </c>
      <c r="CB653" s="8" t="s">
        <v>42</v>
      </c>
      <c r="CC653" s="8" t="s">
        <v>42</v>
      </c>
      <c r="CD653" s="8"/>
      <c r="CE653" s="8"/>
      <c r="CF653" s="8" t="s">
        <v>575</v>
      </c>
      <c r="CG653" s="8" t="s">
        <v>433</v>
      </c>
    </row>
    <row r="654" spans="1:85" ht="15.75" customHeight="1" x14ac:dyDescent="0.35">
      <c r="A654" s="8">
        <v>647</v>
      </c>
      <c r="B654" s="8" t="s">
        <v>888</v>
      </c>
      <c r="C654" s="8"/>
      <c r="D654" s="8"/>
      <c r="E654" s="8"/>
      <c r="F654" s="8"/>
      <c r="G654" s="8"/>
      <c r="H654" s="8"/>
      <c r="I654" s="8"/>
      <c r="J654" s="8"/>
      <c r="K654" s="8"/>
      <c r="L654" s="9">
        <v>7.3999999999999996E-5</v>
      </c>
      <c r="M654" s="9">
        <v>7.3999999999999996E-5</v>
      </c>
      <c r="N654" s="8"/>
      <c r="O654" s="8"/>
      <c r="P654" s="8"/>
      <c r="Q654" s="8"/>
      <c r="R654" s="8"/>
      <c r="S654" s="8"/>
      <c r="T654" s="8"/>
      <c r="U654" s="8"/>
      <c r="V654" s="8"/>
      <c r="W654" s="10">
        <v>6853600</v>
      </c>
      <c r="X654" s="10">
        <v>6853600</v>
      </c>
      <c r="Y654" s="8"/>
      <c r="Z654" s="8"/>
      <c r="AA654" s="8"/>
      <c r="AB654" s="8"/>
      <c r="AC654" s="8"/>
      <c r="AD654" s="8"/>
      <c r="AE654" s="8"/>
      <c r="AF654" s="8"/>
      <c r="AG654" s="8"/>
      <c r="AH654" s="11">
        <v>0</v>
      </c>
      <c r="AI654" s="11">
        <v>0</v>
      </c>
      <c r="AJ654" s="8"/>
      <c r="AK654" s="8"/>
      <c r="AL654" s="8"/>
      <c r="AM654" s="8"/>
      <c r="AN654" s="8"/>
      <c r="AO654" s="8"/>
      <c r="AP654" s="8"/>
      <c r="AQ654" s="8"/>
      <c r="AR654" s="8"/>
      <c r="AS654" s="10">
        <v>16320134928</v>
      </c>
      <c r="AT654" s="10">
        <v>16320134928</v>
      </c>
      <c r="AU654" s="8"/>
      <c r="AV654" s="8"/>
      <c r="AW654" s="8"/>
      <c r="AX654" s="8"/>
      <c r="AY654" s="8"/>
      <c r="AZ654" s="8"/>
      <c r="BA654" s="8"/>
      <c r="BB654" s="8"/>
      <c r="BC654" s="8"/>
      <c r="BD654" s="14">
        <v>42216</v>
      </c>
      <c r="BE654" s="14">
        <v>42216</v>
      </c>
      <c r="BF654" s="8"/>
      <c r="BG654" s="8"/>
      <c r="BH654" s="8"/>
      <c r="BI654" s="8"/>
      <c r="BJ654" s="8"/>
      <c r="BK654" s="8"/>
      <c r="BL654" s="8"/>
      <c r="BM654" s="8"/>
      <c r="BN654" s="8"/>
      <c r="BO654" s="8" t="s">
        <v>35</v>
      </c>
      <c r="BP654" s="8" t="s">
        <v>35</v>
      </c>
      <c r="BQ654" s="8" t="s">
        <v>31</v>
      </c>
      <c r="BR654" s="8" t="s">
        <v>49</v>
      </c>
      <c r="BS654" s="10">
        <v>95728734103.199997</v>
      </c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 t="s">
        <v>27</v>
      </c>
      <c r="CE654" s="8" t="s">
        <v>43</v>
      </c>
      <c r="CF654" s="8" t="s">
        <v>131</v>
      </c>
      <c r="CG654" s="8" t="s">
        <v>132</v>
      </c>
    </row>
    <row r="655" spans="1:85" ht="15.75" customHeight="1" x14ac:dyDescent="0.35">
      <c r="A655" s="8">
        <v>648</v>
      </c>
      <c r="B655" s="8" t="s">
        <v>889</v>
      </c>
      <c r="C655" s="8"/>
      <c r="D655" s="8"/>
      <c r="E655" s="8"/>
      <c r="F655" s="8"/>
      <c r="G655" s="8"/>
      <c r="H655" s="9">
        <v>0</v>
      </c>
      <c r="I655" s="9">
        <v>0</v>
      </c>
      <c r="J655" s="9">
        <v>3.0000000000000001E-6</v>
      </c>
      <c r="K655" s="8"/>
      <c r="L655" s="8"/>
      <c r="M655" s="8"/>
      <c r="N655" s="8"/>
      <c r="O655" s="8"/>
      <c r="P655" s="8"/>
      <c r="Q655" s="8"/>
      <c r="R655" s="8"/>
      <c r="S655" s="10">
        <v>0</v>
      </c>
      <c r="T655" s="10">
        <v>0</v>
      </c>
      <c r="U655" s="10">
        <v>256600</v>
      </c>
      <c r="V655" s="8"/>
      <c r="W655" s="8"/>
      <c r="X655" s="8"/>
      <c r="Y655" s="8"/>
      <c r="Z655" s="8"/>
      <c r="AA655" s="8"/>
      <c r="AB655" s="8"/>
      <c r="AC655" s="8"/>
      <c r="AD655" s="11">
        <v>0</v>
      </c>
      <c r="AE655" s="12">
        <v>-256600</v>
      </c>
      <c r="AF655" s="13">
        <v>256600</v>
      </c>
      <c r="AG655" s="8"/>
      <c r="AH655" s="8"/>
      <c r="AI655" s="8"/>
      <c r="AJ655" s="8"/>
      <c r="AK655" s="8"/>
      <c r="AL655" s="8"/>
      <c r="AM655" s="8"/>
      <c r="AN655" s="8"/>
      <c r="AO655" s="10">
        <v>0</v>
      </c>
      <c r="AP655" s="10">
        <v>0</v>
      </c>
      <c r="AQ655" s="10">
        <v>934510843.75</v>
      </c>
      <c r="AR655" s="8"/>
      <c r="AS655" s="8"/>
      <c r="AT655" s="8"/>
      <c r="AU655" s="8"/>
      <c r="AV655" s="8"/>
      <c r="AW655" s="8"/>
      <c r="AX655" s="8"/>
      <c r="AY655" s="8"/>
      <c r="AZ655" s="14">
        <v>43616</v>
      </c>
      <c r="BA655" s="14">
        <v>43616</v>
      </c>
      <c r="BB655" s="14">
        <v>43465</v>
      </c>
      <c r="BC655" s="8"/>
      <c r="BD655" s="8"/>
      <c r="BE655" s="8"/>
      <c r="BF655" s="8"/>
      <c r="BG655" s="8"/>
      <c r="BH655" s="8"/>
      <c r="BI655" s="8"/>
      <c r="BJ655" s="8"/>
      <c r="BK655" s="8" t="s">
        <v>35</v>
      </c>
      <c r="BL655" s="8" t="s">
        <v>35</v>
      </c>
      <c r="BM655" s="8" t="s">
        <v>35</v>
      </c>
      <c r="BN655" s="8"/>
      <c r="BO655" s="8"/>
      <c r="BP655" s="8"/>
      <c r="BQ655" s="8" t="s">
        <v>31</v>
      </c>
      <c r="BR655" s="8" t="s">
        <v>36</v>
      </c>
      <c r="BS655" s="10">
        <v>194338741374560</v>
      </c>
      <c r="BT655" s="8" t="s">
        <v>41</v>
      </c>
      <c r="BU655" s="8"/>
      <c r="BV655" s="8"/>
      <c r="BW655" s="8"/>
      <c r="BX655" s="8"/>
      <c r="BY655" s="8"/>
      <c r="BZ655" s="8" t="s">
        <v>42</v>
      </c>
      <c r="CA655" s="8" t="s">
        <v>42</v>
      </c>
      <c r="CB655" s="8" t="s">
        <v>43</v>
      </c>
      <c r="CC655" s="8"/>
      <c r="CD655" s="8"/>
      <c r="CE655" s="8"/>
      <c r="CF655" s="8" t="s">
        <v>95</v>
      </c>
      <c r="CG655" s="8" t="s">
        <v>96</v>
      </c>
    </row>
    <row r="656" spans="1:85" ht="15.75" customHeight="1" x14ac:dyDescent="0.35">
      <c r="A656" s="8">
        <v>649</v>
      </c>
      <c r="B656" s="8" t="s">
        <v>890</v>
      </c>
      <c r="C656" s="8"/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8"/>
      <c r="J656" s="9">
        <v>0</v>
      </c>
      <c r="K656" s="9">
        <v>9.9999999999999995E-7</v>
      </c>
      <c r="L656" s="8"/>
      <c r="M656" s="9">
        <v>0</v>
      </c>
      <c r="N656" s="8"/>
      <c r="O656" s="10">
        <v>0</v>
      </c>
      <c r="P656" s="10">
        <v>0</v>
      </c>
      <c r="Q656" s="10">
        <v>0</v>
      </c>
      <c r="R656" s="10">
        <v>38000</v>
      </c>
      <c r="S656" s="10">
        <v>0</v>
      </c>
      <c r="T656" s="8"/>
      <c r="U656" s="10">
        <v>0</v>
      </c>
      <c r="V656" s="10">
        <v>67600</v>
      </c>
      <c r="W656" s="8"/>
      <c r="X656" s="10">
        <v>0</v>
      </c>
      <c r="Y656" s="8"/>
      <c r="Z656" s="11">
        <v>0</v>
      </c>
      <c r="AA656" s="11">
        <v>0</v>
      </c>
      <c r="AB656" s="12">
        <v>-38000</v>
      </c>
      <c r="AC656" s="13">
        <v>38000</v>
      </c>
      <c r="AD656" s="11">
        <v>0</v>
      </c>
      <c r="AE656" s="8"/>
      <c r="AF656" s="12">
        <v>-67600</v>
      </c>
      <c r="AG656" s="13">
        <v>67600</v>
      </c>
      <c r="AH656" s="8"/>
      <c r="AI656" s="11">
        <v>0</v>
      </c>
      <c r="AJ656" s="8"/>
      <c r="AK656" s="10">
        <v>0</v>
      </c>
      <c r="AL656" s="10">
        <v>0</v>
      </c>
      <c r="AM656" s="10">
        <v>0</v>
      </c>
      <c r="AN656" s="10">
        <v>108300049.8</v>
      </c>
      <c r="AO656" s="10">
        <v>0</v>
      </c>
      <c r="AP656" s="8"/>
      <c r="AQ656" s="10">
        <v>0</v>
      </c>
      <c r="AR656" s="10">
        <v>230684940.75999999</v>
      </c>
      <c r="AS656" s="8"/>
      <c r="AT656" s="10">
        <v>0</v>
      </c>
      <c r="AU656" s="8"/>
      <c r="AV656" s="14">
        <v>45199</v>
      </c>
      <c r="AW656" s="14">
        <v>45199</v>
      </c>
      <c r="AX656" s="14">
        <v>44773</v>
      </c>
      <c r="AY656" s="14">
        <v>44408</v>
      </c>
      <c r="AZ656" s="14">
        <v>44043</v>
      </c>
      <c r="BA656" s="8"/>
      <c r="BB656" s="14">
        <v>43131</v>
      </c>
      <c r="BC656" s="14">
        <v>42947</v>
      </c>
      <c r="BD656" s="8"/>
      <c r="BE656" s="14">
        <v>42035</v>
      </c>
      <c r="BF656" s="8"/>
      <c r="BG656" s="8" t="s">
        <v>35</v>
      </c>
      <c r="BH656" s="8" t="s">
        <v>35</v>
      </c>
      <c r="BI656" s="8" t="s">
        <v>35</v>
      </c>
      <c r="BJ656" s="8" t="s">
        <v>35</v>
      </c>
      <c r="BK656" s="8" t="s">
        <v>35</v>
      </c>
      <c r="BL656" s="8"/>
      <c r="BM656" s="8" t="s">
        <v>35</v>
      </c>
      <c r="BN656" s="8" t="s">
        <v>35</v>
      </c>
      <c r="BO656" s="8"/>
      <c r="BP656" s="8" t="s">
        <v>35</v>
      </c>
      <c r="BQ656" s="8" t="s">
        <v>31</v>
      </c>
      <c r="BR656" s="8" t="s">
        <v>36</v>
      </c>
      <c r="BS656" s="10">
        <v>112411427482681</v>
      </c>
      <c r="BT656" s="8" t="s">
        <v>61</v>
      </c>
      <c r="BU656" s="8"/>
      <c r="BV656" s="8" t="s">
        <v>27</v>
      </c>
      <c r="BW656" s="8" t="s">
        <v>27</v>
      </c>
      <c r="BX656" s="8" t="s">
        <v>27</v>
      </c>
      <c r="BY656" s="8" t="s">
        <v>27</v>
      </c>
      <c r="BZ656" s="8" t="s">
        <v>27</v>
      </c>
      <c r="CA656" s="8"/>
      <c r="CB656" s="8" t="s">
        <v>27</v>
      </c>
      <c r="CC656" s="8" t="s">
        <v>27</v>
      </c>
      <c r="CD656" s="8"/>
      <c r="CE656" s="8" t="s">
        <v>27</v>
      </c>
      <c r="CF656" s="8" t="s">
        <v>473</v>
      </c>
      <c r="CG656" s="8" t="s">
        <v>474</v>
      </c>
    </row>
    <row r="657" spans="1:85" ht="15.75" customHeight="1" x14ac:dyDescent="0.35">
      <c r="A657" s="8">
        <v>650</v>
      </c>
      <c r="B657" s="8" t="s">
        <v>891</v>
      </c>
      <c r="C657" s="8"/>
      <c r="D657" s="8"/>
      <c r="E657" s="9">
        <v>0</v>
      </c>
      <c r="F657" s="9">
        <v>0</v>
      </c>
      <c r="G657" s="9">
        <v>4.4900000000000002E-4</v>
      </c>
      <c r="H657" s="8"/>
      <c r="I657" s="8"/>
      <c r="J657" s="8"/>
      <c r="K657" s="8"/>
      <c r="L657" s="8"/>
      <c r="M657" s="8"/>
      <c r="N657" s="8"/>
      <c r="O657" s="8"/>
      <c r="P657" s="10">
        <v>0</v>
      </c>
      <c r="Q657" s="10">
        <v>0</v>
      </c>
      <c r="R657" s="10">
        <v>41451600</v>
      </c>
      <c r="S657" s="8"/>
      <c r="T657" s="8"/>
      <c r="U657" s="8"/>
      <c r="V657" s="8"/>
      <c r="W657" s="8"/>
      <c r="X657" s="8"/>
      <c r="Y657" s="8"/>
      <c r="Z657" s="8"/>
      <c r="AA657" s="11">
        <v>0</v>
      </c>
      <c r="AB657" s="12">
        <v>-41451600</v>
      </c>
      <c r="AC657" s="13">
        <v>41451600</v>
      </c>
      <c r="AD657" s="8"/>
      <c r="AE657" s="8"/>
      <c r="AF657" s="8"/>
      <c r="AG657" s="8"/>
      <c r="AH657" s="8"/>
      <c r="AI657" s="8"/>
      <c r="AJ657" s="8"/>
      <c r="AK657" s="8"/>
      <c r="AL657" s="10">
        <v>0</v>
      </c>
      <c r="AM657" s="10">
        <v>0</v>
      </c>
      <c r="AN657" s="10">
        <v>145445644290</v>
      </c>
      <c r="AO657" s="8"/>
      <c r="AP657" s="8"/>
      <c r="AQ657" s="8"/>
      <c r="AR657" s="8"/>
      <c r="AS657" s="8"/>
      <c r="AT657" s="8"/>
      <c r="AU657" s="8"/>
      <c r="AV657" s="8"/>
      <c r="AW657" s="14">
        <v>44712</v>
      </c>
      <c r="AX657" s="14">
        <v>44712</v>
      </c>
      <c r="AY657" s="14">
        <v>44561</v>
      </c>
      <c r="AZ657" s="8"/>
      <c r="BA657" s="8"/>
      <c r="BB657" s="8"/>
      <c r="BC657" s="8"/>
      <c r="BD657" s="8"/>
      <c r="BE657" s="8"/>
      <c r="BF657" s="8"/>
      <c r="BG657" s="8"/>
      <c r="BH657" s="8" t="s">
        <v>35</v>
      </c>
      <c r="BI657" s="8" t="s">
        <v>35</v>
      </c>
      <c r="BJ657" s="8" t="s">
        <v>35</v>
      </c>
      <c r="BK657" s="8"/>
      <c r="BL657" s="8"/>
      <c r="BM657" s="8"/>
      <c r="BN657" s="8"/>
      <c r="BO657" s="8"/>
      <c r="BP657" s="8"/>
      <c r="BQ657" s="8" t="s">
        <v>31</v>
      </c>
      <c r="BR657" s="8" t="s">
        <v>36</v>
      </c>
      <c r="BS657" s="10">
        <v>422207338148987</v>
      </c>
      <c r="BT657" s="8"/>
      <c r="BU657" s="8"/>
      <c r="BV657" s="8"/>
      <c r="BW657" s="8" t="s">
        <v>27</v>
      </c>
      <c r="BX657" s="8" t="s">
        <v>27</v>
      </c>
      <c r="BY657" s="8" t="s">
        <v>43</v>
      </c>
      <c r="BZ657" s="8"/>
      <c r="CA657" s="8"/>
      <c r="CB657" s="8"/>
      <c r="CC657" s="8"/>
      <c r="CD657" s="8"/>
      <c r="CE657" s="8"/>
      <c r="CF657" s="8" t="s">
        <v>85</v>
      </c>
      <c r="CG657" s="8" t="s">
        <v>39</v>
      </c>
    </row>
    <row r="658" spans="1:85" ht="15.75" customHeight="1" x14ac:dyDescent="0.35">
      <c r="A658" s="8">
        <v>651</v>
      </c>
      <c r="B658" s="8" t="s">
        <v>892</v>
      </c>
      <c r="C658" s="8"/>
      <c r="D658" s="8"/>
      <c r="E658" s="8"/>
      <c r="F658" s="8"/>
      <c r="G658" s="9">
        <v>0</v>
      </c>
      <c r="H658" s="9">
        <v>0</v>
      </c>
      <c r="I658" s="9">
        <v>6.9999999999999999E-6</v>
      </c>
      <c r="J658" s="8"/>
      <c r="K658" s="8"/>
      <c r="L658" s="8"/>
      <c r="M658" s="8"/>
      <c r="N658" s="8"/>
      <c r="O658" s="8"/>
      <c r="P658" s="8"/>
      <c r="Q658" s="8"/>
      <c r="R658" s="10">
        <v>0</v>
      </c>
      <c r="S658" s="10">
        <v>0</v>
      </c>
      <c r="T658" s="10">
        <v>657600</v>
      </c>
      <c r="U658" s="8"/>
      <c r="V658" s="8"/>
      <c r="W658" s="8"/>
      <c r="X658" s="8"/>
      <c r="Y658" s="8"/>
      <c r="Z658" s="8"/>
      <c r="AA658" s="8"/>
      <c r="AB658" s="8"/>
      <c r="AC658" s="11">
        <v>0</v>
      </c>
      <c r="AD658" s="12">
        <v>-657600</v>
      </c>
      <c r="AE658" s="13">
        <v>657600</v>
      </c>
      <c r="AF658" s="8"/>
      <c r="AG658" s="8"/>
      <c r="AH658" s="8"/>
      <c r="AI658" s="8"/>
      <c r="AJ658" s="8"/>
      <c r="AK658" s="8"/>
      <c r="AL658" s="8"/>
      <c r="AM658" s="8"/>
      <c r="AN658" s="10">
        <v>0</v>
      </c>
      <c r="AO658" s="10">
        <v>0</v>
      </c>
      <c r="AP658" s="10">
        <v>2516288405.1999998</v>
      </c>
      <c r="AQ658" s="8"/>
      <c r="AR658" s="8"/>
      <c r="AS658" s="8"/>
      <c r="AT658" s="8"/>
      <c r="AU658" s="8"/>
      <c r="AV658" s="8"/>
      <c r="AW658" s="8"/>
      <c r="AX658" s="8"/>
      <c r="AY658" s="14">
        <v>44012</v>
      </c>
      <c r="AZ658" s="14">
        <v>44012</v>
      </c>
      <c r="BA658" s="14">
        <v>43830</v>
      </c>
      <c r="BB658" s="8"/>
      <c r="BC658" s="8"/>
      <c r="BD658" s="8"/>
      <c r="BE658" s="8"/>
      <c r="BF658" s="8"/>
      <c r="BG658" s="8"/>
      <c r="BH658" s="8"/>
      <c r="BI658" s="8"/>
      <c r="BJ658" s="8" t="s">
        <v>35</v>
      </c>
      <c r="BK658" s="8" t="s">
        <v>35</v>
      </c>
      <c r="BL658" s="8" t="s">
        <v>35</v>
      </c>
      <c r="BM658" s="8"/>
      <c r="BN658" s="8"/>
      <c r="BO658" s="8"/>
      <c r="BP658" s="8"/>
      <c r="BQ658" s="8" t="s">
        <v>31</v>
      </c>
      <c r="BR658" s="8" t="s">
        <v>49</v>
      </c>
      <c r="BS658" s="10">
        <v>268312281780664</v>
      </c>
      <c r="BT658" s="8" t="s">
        <v>101</v>
      </c>
      <c r="BU658" s="8"/>
      <c r="BV658" s="8"/>
      <c r="BW658" s="8"/>
      <c r="BX658" s="8"/>
      <c r="BY658" s="8" t="s">
        <v>42</v>
      </c>
      <c r="BZ658" s="8" t="s">
        <v>42</v>
      </c>
      <c r="CA658" s="8" t="s">
        <v>27</v>
      </c>
      <c r="CB658" s="8"/>
      <c r="CC658" s="8"/>
      <c r="CD658" s="8"/>
      <c r="CE658" s="8"/>
      <c r="CF658" s="8" t="s">
        <v>80</v>
      </c>
      <c r="CG658" s="8" t="s">
        <v>39</v>
      </c>
    </row>
    <row r="659" spans="1:85" ht="15.75" customHeight="1" x14ac:dyDescent="0.35">
      <c r="A659" s="8">
        <v>652</v>
      </c>
      <c r="B659" s="8" t="s">
        <v>893</v>
      </c>
      <c r="C659" s="8"/>
      <c r="D659" s="8"/>
      <c r="E659" s="8"/>
      <c r="F659" s="8"/>
      <c r="G659" s="8"/>
      <c r="H659" s="8"/>
      <c r="I659" s="9">
        <v>2.3E-5</v>
      </c>
      <c r="J659" s="9">
        <v>2.3E-5</v>
      </c>
      <c r="K659" s="9">
        <v>1.8E-5</v>
      </c>
      <c r="L659" s="8"/>
      <c r="M659" s="8"/>
      <c r="N659" s="8"/>
      <c r="O659" s="8"/>
      <c r="P659" s="8"/>
      <c r="Q659" s="8"/>
      <c r="R659" s="8"/>
      <c r="S659" s="8"/>
      <c r="T659" s="10">
        <v>2114600</v>
      </c>
      <c r="U659" s="10">
        <v>2114600</v>
      </c>
      <c r="V659" s="10">
        <v>1626200</v>
      </c>
      <c r="W659" s="8"/>
      <c r="X659" s="8"/>
      <c r="Y659" s="8"/>
      <c r="Z659" s="8"/>
      <c r="AA659" s="8"/>
      <c r="AB659" s="8"/>
      <c r="AC659" s="8"/>
      <c r="AD659" s="8"/>
      <c r="AE659" s="11">
        <v>0</v>
      </c>
      <c r="AF659" s="13">
        <v>488400</v>
      </c>
      <c r="AG659" s="13">
        <v>1626200</v>
      </c>
      <c r="AH659" s="8"/>
      <c r="AI659" s="8"/>
      <c r="AJ659" s="8"/>
      <c r="AK659" s="8"/>
      <c r="AL659" s="8"/>
      <c r="AM659" s="8"/>
      <c r="AN659" s="8"/>
      <c r="AO659" s="8"/>
      <c r="AP659" s="10">
        <v>7701155693.75</v>
      </c>
      <c r="AQ659" s="10">
        <v>7701155693.75</v>
      </c>
      <c r="AR659" s="10">
        <v>6504800033</v>
      </c>
      <c r="AS659" s="8"/>
      <c r="AT659" s="8"/>
      <c r="AU659" s="8"/>
      <c r="AV659" s="8"/>
      <c r="AW659" s="8"/>
      <c r="AX659" s="8"/>
      <c r="AY659" s="8"/>
      <c r="AZ659" s="8"/>
      <c r="BA659" s="14">
        <v>43465</v>
      </c>
      <c r="BB659" s="14">
        <v>43465</v>
      </c>
      <c r="BC659" s="14">
        <v>43100</v>
      </c>
      <c r="BD659" s="8"/>
      <c r="BE659" s="8"/>
      <c r="BF659" s="8"/>
      <c r="BG659" s="8"/>
      <c r="BH659" s="8"/>
      <c r="BI659" s="8"/>
      <c r="BJ659" s="8"/>
      <c r="BK659" s="8"/>
      <c r="BL659" s="8" t="s">
        <v>35</v>
      </c>
      <c r="BM659" s="8" t="s">
        <v>35</v>
      </c>
      <c r="BN659" s="8" t="s">
        <v>35</v>
      </c>
      <c r="BO659" s="8"/>
      <c r="BP659" s="8"/>
      <c r="BQ659" s="8" t="s">
        <v>31</v>
      </c>
      <c r="BR659" s="8" t="s">
        <v>101</v>
      </c>
      <c r="BS659" s="10">
        <v>219019390285.20001</v>
      </c>
      <c r="BT659" s="8" t="s">
        <v>101</v>
      </c>
      <c r="BU659" s="8"/>
      <c r="BV659" s="8"/>
      <c r="BW659" s="8"/>
      <c r="BX659" s="8"/>
      <c r="BY659" s="8"/>
      <c r="BZ659" s="8"/>
      <c r="CA659" s="8" t="s">
        <v>27</v>
      </c>
      <c r="CB659" s="8" t="s">
        <v>42</v>
      </c>
      <c r="CC659" s="8" t="s">
        <v>42</v>
      </c>
      <c r="CD659" s="8"/>
      <c r="CE659" s="8"/>
      <c r="CF659" s="8" t="s">
        <v>50</v>
      </c>
      <c r="CG659" s="8" t="s">
        <v>51</v>
      </c>
    </row>
    <row r="660" spans="1:85" ht="15.75" customHeight="1" x14ac:dyDescent="0.35">
      <c r="A660" s="8">
        <v>653</v>
      </c>
      <c r="B660" s="8" t="s">
        <v>894</v>
      </c>
      <c r="C660" s="8"/>
      <c r="D660" s="8"/>
      <c r="E660" s="8"/>
      <c r="F660" s="8"/>
      <c r="G660" s="9">
        <v>0</v>
      </c>
      <c r="H660" s="9">
        <v>0</v>
      </c>
      <c r="I660" s="9">
        <v>1.5200000000000001E-4</v>
      </c>
      <c r="J660" s="9">
        <v>3.2499999999999999E-4</v>
      </c>
      <c r="K660" s="9">
        <v>1.54E-4</v>
      </c>
      <c r="L660" s="9">
        <v>2.5799999999999998E-4</v>
      </c>
      <c r="M660" s="9">
        <v>2.4800000000000001E-4</v>
      </c>
      <c r="N660" s="8"/>
      <c r="O660" s="8"/>
      <c r="P660" s="8"/>
      <c r="Q660" s="8"/>
      <c r="R660" s="10">
        <v>0</v>
      </c>
      <c r="S660" s="10">
        <v>0</v>
      </c>
      <c r="T660" s="10">
        <v>14044800</v>
      </c>
      <c r="U660" s="10">
        <v>30012600</v>
      </c>
      <c r="V660" s="10">
        <v>14220400</v>
      </c>
      <c r="W660" s="10">
        <v>23839600</v>
      </c>
      <c r="X660" s="10">
        <v>22920400</v>
      </c>
      <c r="Y660" s="8"/>
      <c r="Z660" s="8"/>
      <c r="AA660" s="8"/>
      <c r="AB660" s="8"/>
      <c r="AC660" s="11">
        <v>0</v>
      </c>
      <c r="AD660" s="12">
        <v>-14044800</v>
      </c>
      <c r="AE660" s="12">
        <v>-15967800</v>
      </c>
      <c r="AF660" s="13">
        <v>15792200</v>
      </c>
      <c r="AG660" s="12">
        <v>-9619200</v>
      </c>
      <c r="AH660" s="13">
        <v>919200</v>
      </c>
      <c r="AI660" s="11">
        <v>0</v>
      </c>
      <c r="AJ660" s="8"/>
      <c r="AK660" s="8"/>
      <c r="AL660" s="8"/>
      <c r="AM660" s="8"/>
      <c r="AN660" s="10">
        <v>0</v>
      </c>
      <c r="AO660" s="10">
        <v>0</v>
      </c>
      <c r="AP660" s="10">
        <v>53742043898.400002</v>
      </c>
      <c r="AQ660" s="10">
        <v>109302801387.5</v>
      </c>
      <c r="AR660" s="10">
        <v>56881599979.550003</v>
      </c>
      <c r="AS660" s="10">
        <v>68985842598</v>
      </c>
      <c r="AT660" s="10">
        <v>45411042456.75</v>
      </c>
      <c r="AU660" s="8"/>
      <c r="AV660" s="8"/>
      <c r="AW660" s="8"/>
      <c r="AX660" s="8"/>
      <c r="AY660" s="14">
        <v>43921</v>
      </c>
      <c r="AZ660" s="14">
        <v>43921</v>
      </c>
      <c r="BA660" s="14">
        <v>43830</v>
      </c>
      <c r="BB660" s="14">
        <v>43465</v>
      </c>
      <c r="BC660" s="14">
        <v>43100</v>
      </c>
      <c r="BD660" s="14">
        <v>42735</v>
      </c>
      <c r="BE660" s="14">
        <v>42277</v>
      </c>
      <c r="BF660" s="8"/>
      <c r="BG660" s="8"/>
      <c r="BH660" s="8"/>
      <c r="BI660" s="8"/>
      <c r="BJ660" s="8" t="s">
        <v>35</v>
      </c>
      <c r="BK660" s="8" t="s">
        <v>35</v>
      </c>
      <c r="BL660" s="8" t="s">
        <v>35</v>
      </c>
      <c r="BM660" s="8" t="s">
        <v>35</v>
      </c>
      <c r="BN660" s="8" t="s">
        <v>35</v>
      </c>
      <c r="BO660" s="8" t="s">
        <v>35</v>
      </c>
      <c r="BP660" s="8" t="s">
        <v>35</v>
      </c>
      <c r="BQ660" s="8" t="s">
        <v>31</v>
      </c>
      <c r="BR660" s="8" t="s">
        <v>36</v>
      </c>
      <c r="BS660" s="10">
        <v>9904333441713.5996</v>
      </c>
      <c r="BT660" s="8" t="s">
        <v>41</v>
      </c>
      <c r="BU660" s="8"/>
      <c r="BV660" s="8"/>
      <c r="BW660" s="8"/>
      <c r="BX660" s="8"/>
      <c r="BY660" s="8" t="s">
        <v>43</v>
      </c>
      <c r="BZ660" s="8" t="s">
        <v>43</v>
      </c>
      <c r="CA660" s="8" t="s">
        <v>42</v>
      </c>
      <c r="CB660" s="8" t="s">
        <v>42</v>
      </c>
      <c r="CC660" s="8" t="s">
        <v>42</v>
      </c>
      <c r="CD660" s="8" t="s">
        <v>42</v>
      </c>
      <c r="CE660" s="8" t="s">
        <v>42</v>
      </c>
      <c r="CF660" s="8" t="s">
        <v>50</v>
      </c>
      <c r="CG660" s="8" t="s">
        <v>51</v>
      </c>
    </row>
    <row r="661" spans="1:85" ht="15.75" customHeight="1" x14ac:dyDescent="0.35">
      <c r="A661" s="8">
        <v>654</v>
      </c>
      <c r="B661" s="8" t="s">
        <v>895</v>
      </c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>
        <v>9.9999999999999995E-7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10">
        <v>52740</v>
      </c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11">
        <v>0</v>
      </c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10">
        <v>145035020.59999999</v>
      </c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14">
        <v>42035</v>
      </c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 t="s">
        <v>35</v>
      </c>
      <c r="BQ661" s="8" t="s">
        <v>31</v>
      </c>
      <c r="BR661" s="8" t="s">
        <v>160</v>
      </c>
      <c r="BS661" s="10">
        <v>329000768023074</v>
      </c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 t="s">
        <v>27</v>
      </c>
      <c r="CF661" s="8" t="s">
        <v>180</v>
      </c>
      <c r="CG661" s="8" t="s">
        <v>181</v>
      </c>
    </row>
    <row r="662" spans="1:85" ht="15.75" customHeight="1" x14ac:dyDescent="0.35">
      <c r="A662" s="8">
        <v>655</v>
      </c>
      <c r="B662" s="8" t="s">
        <v>896</v>
      </c>
      <c r="C662" s="8"/>
      <c r="D662" s="8"/>
      <c r="E662" s="8"/>
      <c r="F662" s="8"/>
      <c r="G662" s="9">
        <v>3.8000000000000002E-5</v>
      </c>
      <c r="H662" s="9">
        <v>3.8000000000000002E-5</v>
      </c>
      <c r="I662" s="9">
        <v>5.5000000000000002E-5</v>
      </c>
      <c r="J662" s="9">
        <v>1.5200000000000001E-4</v>
      </c>
      <c r="K662" s="9">
        <v>0</v>
      </c>
      <c r="L662" s="9">
        <v>2.1599999999999999E-4</v>
      </c>
      <c r="M662" s="9">
        <v>6.0700000000000001E-4</v>
      </c>
      <c r="N662" s="8"/>
      <c r="O662" s="8"/>
      <c r="P662" s="8"/>
      <c r="Q662" s="8"/>
      <c r="R662" s="10">
        <v>3544400</v>
      </c>
      <c r="S662" s="10">
        <v>3544400</v>
      </c>
      <c r="T662" s="10">
        <v>5101200</v>
      </c>
      <c r="U662" s="10">
        <v>14046600</v>
      </c>
      <c r="V662" s="10">
        <v>0</v>
      </c>
      <c r="W662" s="10">
        <v>20002800</v>
      </c>
      <c r="X662" s="10">
        <v>56055600</v>
      </c>
      <c r="Y662" s="8"/>
      <c r="Z662" s="8"/>
      <c r="AA662" s="8"/>
      <c r="AB662" s="8"/>
      <c r="AC662" s="11">
        <v>0</v>
      </c>
      <c r="AD662" s="12">
        <v>-1556800</v>
      </c>
      <c r="AE662" s="12">
        <v>-8945400</v>
      </c>
      <c r="AF662" s="13">
        <v>14046600</v>
      </c>
      <c r="AG662" s="12">
        <v>-20002800</v>
      </c>
      <c r="AH662" s="12">
        <v>-36052800</v>
      </c>
      <c r="AI662" s="12">
        <v>-3207200</v>
      </c>
      <c r="AJ662" s="8"/>
      <c r="AK662" s="8"/>
      <c r="AL662" s="8"/>
      <c r="AM662" s="8"/>
      <c r="AN662" s="10">
        <v>11209164922.799999</v>
      </c>
      <c r="AO662" s="10">
        <v>11209164922.799999</v>
      </c>
      <c r="AP662" s="10">
        <v>19519602509.599998</v>
      </c>
      <c r="AQ662" s="10">
        <v>51156271962.5</v>
      </c>
      <c r="AR662" s="10">
        <v>0</v>
      </c>
      <c r="AS662" s="10">
        <v>57883102559.099998</v>
      </c>
      <c r="AT662" s="10">
        <v>129675610104.75</v>
      </c>
      <c r="AU662" s="8"/>
      <c r="AV662" s="8"/>
      <c r="AW662" s="8"/>
      <c r="AX662" s="8"/>
      <c r="AY662" s="14">
        <v>44196</v>
      </c>
      <c r="AZ662" s="14">
        <v>44196</v>
      </c>
      <c r="BA662" s="14">
        <v>43830</v>
      </c>
      <c r="BB662" s="14">
        <v>43465</v>
      </c>
      <c r="BC662" s="14">
        <v>42916</v>
      </c>
      <c r="BD662" s="14">
        <v>42735</v>
      </c>
      <c r="BE662" s="14">
        <v>42369</v>
      </c>
      <c r="BF662" s="8"/>
      <c r="BG662" s="8"/>
      <c r="BH662" s="8"/>
      <c r="BI662" s="8"/>
      <c r="BJ662" s="8" t="s">
        <v>35</v>
      </c>
      <c r="BK662" s="8" t="s">
        <v>35</v>
      </c>
      <c r="BL662" s="8" t="s">
        <v>35</v>
      </c>
      <c r="BM662" s="8" t="s">
        <v>35</v>
      </c>
      <c r="BN662" s="8" t="s">
        <v>35</v>
      </c>
      <c r="BO662" s="8" t="s">
        <v>35</v>
      </c>
      <c r="BP662" s="8" t="s">
        <v>35</v>
      </c>
      <c r="BQ662" s="8" t="s">
        <v>31</v>
      </c>
      <c r="BR662" s="8" t="s">
        <v>36</v>
      </c>
      <c r="BS662" s="10">
        <v>219983444891216</v>
      </c>
      <c r="BT662" s="8" t="s">
        <v>91</v>
      </c>
      <c r="BU662" s="8"/>
      <c r="BV662" s="8"/>
      <c r="BW662" s="8"/>
      <c r="BX662" s="8"/>
      <c r="BY662" s="8" t="s">
        <v>27</v>
      </c>
      <c r="BZ662" s="8" t="s">
        <v>27</v>
      </c>
      <c r="CA662" s="8" t="s">
        <v>27</v>
      </c>
      <c r="CB662" s="8" t="s">
        <v>27</v>
      </c>
      <c r="CC662" s="8" t="s">
        <v>27</v>
      </c>
      <c r="CD662" s="8" t="s">
        <v>27</v>
      </c>
      <c r="CE662" s="8" t="s">
        <v>27</v>
      </c>
      <c r="CF662" s="8" t="s">
        <v>50</v>
      </c>
      <c r="CG662" s="8" t="s">
        <v>51</v>
      </c>
    </row>
    <row r="663" spans="1:85" ht="15.75" customHeight="1" x14ac:dyDescent="0.35">
      <c r="A663" s="8">
        <v>656</v>
      </c>
      <c r="B663" s="8" t="s">
        <v>897</v>
      </c>
      <c r="C663" s="8"/>
      <c r="D663" s="8"/>
      <c r="E663" s="8"/>
      <c r="F663" s="8"/>
      <c r="G663" s="8"/>
      <c r="H663" s="8"/>
      <c r="I663" s="8"/>
      <c r="J663" s="8"/>
      <c r="K663" s="8"/>
      <c r="L663" s="9">
        <v>1.9999999999999999E-6</v>
      </c>
      <c r="M663" s="9">
        <v>1.9999999999999999E-6</v>
      </c>
      <c r="N663" s="8"/>
      <c r="O663" s="8"/>
      <c r="P663" s="8"/>
      <c r="Q663" s="8"/>
      <c r="R663" s="8"/>
      <c r="S663" s="8"/>
      <c r="T663" s="8"/>
      <c r="U663" s="8"/>
      <c r="V663" s="8"/>
      <c r="W663" s="10">
        <v>168000</v>
      </c>
      <c r="X663" s="10">
        <v>168000</v>
      </c>
      <c r="Y663" s="8"/>
      <c r="Z663" s="8"/>
      <c r="AA663" s="8"/>
      <c r="AB663" s="8"/>
      <c r="AC663" s="8"/>
      <c r="AD663" s="8"/>
      <c r="AE663" s="8"/>
      <c r="AF663" s="8"/>
      <c r="AG663" s="8"/>
      <c r="AH663" s="11">
        <v>0</v>
      </c>
      <c r="AI663" s="11">
        <v>0</v>
      </c>
      <c r="AJ663" s="8"/>
      <c r="AK663" s="8"/>
      <c r="AL663" s="8"/>
      <c r="AM663" s="8"/>
      <c r="AN663" s="8"/>
      <c r="AO663" s="8"/>
      <c r="AP663" s="8"/>
      <c r="AQ663" s="8"/>
      <c r="AR663" s="8"/>
      <c r="AS663" s="10">
        <v>332849949.05000001</v>
      </c>
      <c r="AT663" s="10">
        <v>332849949.05000001</v>
      </c>
      <c r="AU663" s="8"/>
      <c r="AV663" s="8"/>
      <c r="AW663" s="8"/>
      <c r="AX663" s="8"/>
      <c r="AY663" s="8"/>
      <c r="AZ663" s="8"/>
      <c r="BA663" s="8"/>
      <c r="BB663" s="8"/>
      <c r="BC663" s="8"/>
      <c r="BD663" s="14">
        <v>42277</v>
      </c>
      <c r="BE663" s="14">
        <v>42277</v>
      </c>
      <c r="BF663" s="8"/>
      <c r="BG663" s="8"/>
      <c r="BH663" s="8"/>
      <c r="BI663" s="8"/>
      <c r="BJ663" s="8"/>
      <c r="BK663" s="8"/>
      <c r="BL663" s="8"/>
      <c r="BM663" s="8"/>
      <c r="BN663" s="8"/>
      <c r="BO663" s="8" t="s">
        <v>35</v>
      </c>
      <c r="BP663" s="8" t="s">
        <v>35</v>
      </c>
      <c r="BQ663" s="8" t="s">
        <v>31</v>
      </c>
      <c r="BR663" s="8" t="s">
        <v>36</v>
      </c>
      <c r="BS663" s="10">
        <v>1615541757118.8</v>
      </c>
      <c r="BT663" s="8" t="s">
        <v>290</v>
      </c>
      <c r="BU663" s="8"/>
      <c r="BV663" s="8"/>
      <c r="BW663" s="8"/>
      <c r="BX663" s="8"/>
      <c r="BY663" s="8"/>
      <c r="BZ663" s="8"/>
      <c r="CA663" s="8"/>
      <c r="CB663" s="8"/>
      <c r="CC663" s="8"/>
      <c r="CD663" s="8" t="s">
        <v>42</v>
      </c>
      <c r="CE663" s="8" t="s">
        <v>43</v>
      </c>
      <c r="CF663" s="8" t="s">
        <v>301</v>
      </c>
      <c r="CG663" s="8" t="s">
        <v>302</v>
      </c>
    </row>
    <row r="664" spans="1:85" ht="15.75" customHeight="1" x14ac:dyDescent="0.35">
      <c r="A664" s="8">
        <v>657</v>
      </c>
      <c r="B664" s="8" t="s">
        <v>898</v>
      </c>
      <c r="C664" s="8"/>
      <c r="D664" s="8"/>
      <c r="E664" s="8"/>
      <c r="F664" s="8"/>
      <c r="G664" s="8"/>
      <c r="H664" s="9">
        <v>5.1E-5</v>
      </c>
      <c r="I664" s="9">
        <v>5.1E-5</v>
      </c>
      <c r="J664" s="8"/>
      <c r="K664" s="8"/>
      <c r="L664" s="8"/>
      <c r="M664" s="8"/>
      <c r="N664" s="8"/>
      <c r="O664" s="8"/>
      <c r="P664" s="8"/>
      <c r="Q664" s="8"/>
      <c r="R664" s="8"/>
      <c r="S664" s="10">
        <v>4721170</v>
      </c>
      <c r="T664" s="10">
        <v>4721170</v>
      </c>
      <c r="U664" s="8"/>
      <c r="V664" s="8"/>
      <c r="W664" s="8"/>
      <c r="X664" s="8"/>
      <c r="Y664" s="8"/>
      <c r="Z664" s="8"/>
      <c r="AA664" s="8"/>
      <c r="AB664" s="8"/>
      <c r="AC664" s="8"/>
      <c r="AD664" s="11">
        <v>0</v>
      </c>
      <c r="AE664" s="13">
        <v>4721170</v>
      </c>
      <c r="AF664" s="8"/>
      <c r="AG664" s="8"/>
      <c r="AH664" s="8"/>
      <c r="AI664" s="8"/>
      <c r="AJ664" s="8"/>
      <c r="AK664" s="8"/>
      <c r="AL664" s="8"/>
      <c r="AM664" s="8"/>
      <c r="AN664" s="8"/>
      <c r="AO664" s="10">
        <v>18117489814.900002</v>
      </c>
      <c r="AP664" s="10">
        <v>18117489814.900002</v>
      </c>
      <c r="AQ664" s="8"/>
      <c r="AR664" s="8"/>
      <c r="AS664" s="8"/>
      <c r="AT664" s="8"/>
      <c r="AU664" s="8"/>
      <c r="AV664" s="8"/>
      <c r="AW664" s="8"/>
      <c r="AX664" s="8"/>
      <c r="AY664" s="8"/>
      <c r="AZ664" s="14">
        <v>43616</v>
      </c>
      <c r="BA664" s="14">
        <v>43616</v>
      </c>
      <c r="BB664" s="8"/>
      <c r="BC664" s="8"/>
      <c r="BD664" s="8"/>
      <c r="BE664" s="8"/>
      <c r="BF664" s="8"/>
      <c r="BG664" s="8"/>
      <c r="BH664" s="8"/>
      <c r="BI664" s="8"/>
      <c r="BJ664" s="8"/>
      <c r="BK664" s="8" t="s">
        <v>35</v>
      </c>
      <c r="BL664" s="8" t="s">
        <v>35</v>
      </c>
      <c r="BM664" s="8"/>
      <c r="BN664" s="8"/>
      <c r="BO664" s="8"/>
      <c r="BP664" s="8"/>
      <c r="BQ664" s="8" t="s">
        <v>31</v>
      </c>
      <c r="BR664" s="8" t="s">
        <v>160</v>
      </c>
      <c r="BS664" s="10">
        <v>155466541616075</v>
      </c>
      <c r="BT664" s="8"/>
      <c r="BU664" s="8"/>
      <c r="BV664" s="8"/>
      <c r="BW664" s="8"/>
      <c r="BX664" s="8"/>
      <c r="BY664" s="8"/>
      <c r="BZ664" s="8" t="s">
        <v>42</v>
      </c>
      <c r="CA664" s="8" t="s">
        <v>42</v>
      </c>
      <c r="CB664" s="8"/>
      <c r="CC664" s="8"/>
      <c r="CD664" s="8"/>
      <c r="CE664" s="8"/>
      <c r="CF664" s="8" t="s">
        <v>158</v>
      </c>
      <c r="CG664" s="8" t="s">
        <v>115</v>
      </c>
    </row>
    <row r="665" spans="1:85" ht="15.75" hidden="1" customHeight="1" x14ac:dyDescent="0.35">
      <c r="A665" s="8">
        <v>658</v>
      </c>
      <c r="B665" s="8" t="s">
        <v>899</v>
      </c>
      <c r="C665" s="8"/>
      <c r="D665" s="8"/>
      <c r="E665" s="9">
        <v>1.8E-5</v>
      </c>
      <c r="F665" s="9">
        <v>9.0000000000000002E-6</v>
      </c>
      <c r="G665" s="9">
        <v>3.9999999999999998E-6</v>
      </c>
      <c r="H665" s="8"/>
      <c r="I665" s="8"/>
      <c r="J665" s="8"/>
      <c r="K665" s="8"/>
      <c r="L665" s="8"/>
      <c r="M665" s="8"/>
      <c r="N665" s="8"/>
      <c r="O665" s="8"/>
      <c r="P665" s="10">
        <v>1703900</v>
      </c>
      <c r="Q665" s="10">
        <v>792600</v>
      </c>
      <c r="R665" s="10">
        <v>353800</v>
      </c>
      <c r="S665" s="8"/>
      <c r="T665" s="8"/>
      <c r="U665" s="8"/>
      <c r="V665" s="8"/>
      <c r="W665" s="8"/>
      <c r="X665" s="8"/>
      <c r="Y665" s="8"/>
      <c r="Z665" s="8"/>
      <c r="AA665" s="13">
        <v>911300</v>
      </c>
      <c r="AB665" s="13">
        <v>438800</v>
      </c>
      <c r="AC665" s="13">
        <v>353800</v>
      </c>
      <c r="AD665" s="8"/>
      <c r="AE665" s="8"/>
      <c r="AF665" s="8"/>
      <c r="AG665" s="8"/>
      <c r="AH665" s="8"/>
      <c r="AI665" s="8"/>
      <c r="AJ665" s="8"/>
      <c r="AK665" s="8"/>
      <c r="AL665" s="10">
        <v>10308594992.549999</v>
      </c>
      <c r="AM665" s="10">
        <v>3933277523.4499998</v>
      </c>
      <c r="AN665" s="10">
        <v>1241415682.5</v>
      </c>
      <c r="AO665" s="8"/>
      <c r="AP665" s="8"/>
      <c r="AQ665" s="8"/>
      <c r="AR665" s="8"/>
      <c r="AS665" s="8"/>
      <c r="AT665" s="8"/>
      <c r="AU665" s="8"/>
      <c r="AV665" s="8"/>
      <c r="AW665" s="14">
        <v>45291</v>
      </c>
      <c r="AX665" s="14">
        <v>44926</v>
      </c>
      <c r="AY665" s="14">
        <v>44561</v>
      </c>
      <c r="AZ665" s="8"/>
      <c r="BA665" s="8"/>
      <c r="BB665" s="8"/>
      <c r="BC665" s="8"/>
      <c r="BD665" s="8"/>
      <c r="BE665" s="8"/>
      <c r="BF665" s="8"/>
      <c r="BG665" s="8"/>
      <c r="BH665" s="8" t="s">
        <v>201</v>
      </c>
      <c r="BI665" s="8" t="s">
        <v>201</v>
      </c>
      <c r="BJ665" s="8" t="s">
        <v>201</v>
      </c>
      <c r="BK665" s="8"/>
      <c r="BL665" s="8"/>
      <c r="BM665" s="8"/>
      <c r="BN665" s="8"/>
      <c r="BO665" s="8"/>
      <c r="BP665" s="8"/>
      <c r="BQ665" s="8" t="s">
        <v>25</v>
      </c>
      <c r="BR665" s="8" t="s">
        <v>202</v>
      </c>
      <c r="BS665" s="10">
        <v>0</v>
      </c>
      <c r="BT665" s="8"/>
      <c r="BU665" s="8"/>
      <c r="BV665" s="8"/>
      <c r="BW665" s="8" t="s">
        <v>27</v>
      </c>
      <c r="BX665" s="8" t="s">
        <v>27</v>
      </c>
      <c r="BY665" s="8" t="s">
        <v>27</v>
      </c>
      <c r="BZ665" s="8"/>
      <c r="CA665" s="8"/>
      <c r="CB665" s="8"/>
      <c r="CC665" s="8"/>
      <c r="CD665" s="8"/>
      <c r="CE665" s="8"/>
      <c r="CF665" s="8"/>
      <c r="CG665" s="8" t="s">
        <v>29</v>
      </c>
    </row>
    <row r="666" spans="1:85" ht="15.75" customHeight="1" x14ac:dyDescent="0.35">
      <c r="A666" s="8">
        <v>659</v>
      </c>
      <c r="B666" s="8" t="s">
        <v>900</v>
      </c>
      <c r="C666" s="8"/>
      <c r="D666" s="8"/>
      <c r="E666" s="8"/>
      <c r="F666" s="9">
        <v>0</v>
      </c>
      <c r="G666" s="9">
        <v>0</v>
      </c>
      <c r="H666" s="9">
        <v>0</v>
      </c>
      <c r="I666" s="9">
        <v>0</v>
      </c>
      <c r="J666" s="8"/>
      <c r="K666" s="8"/>
      <c r="L666" s="8"/>
      <c r="M666" s="8"/>
      <c r="N666" s="8"/>
      <c r="O666" s="8"/>
      <c r="P666" s="8"/>
      <c r="Q666" s="10">
        <v>0</v>
      </c>
      <c r="R666" s="10">
        <v>0</v>
      </c>
      <c r="S666" s="10">
        <v>11800</v>
      </c>
      <c r="T666" s="10">
        <v>15600</v>
      </c>
      <c r="U666" s="8"/>
      <c r="V666" s="8"/>
      <c r="W666" s="8"/>
      <c r="X666" s="8"/>
      <c r="Y666" s="8"/>
      <c r="Z666" s="8"/>
      <c r="AA666" s="8"/>
      <c r="AB666" s="11">
        <v>0</v>
      </c>
      <c r="AC666" s="12">
        <v>-11800</v>
      </c>
      <c r="AD666" s="12">
        <v>-3800</v>
      </c>
      <c r="AE666" s="13">
        <v>15600</v>
      </c>
      <c r="AF666" s="8"/>
      <c r="AG666" s="8"/>
      <c r="AH666" s="8"/>
      <c r="AI666" s="8"/>
      <c r="AJ666" s="8"/>
      <c r="AK666" s="8"/>
      <c r="AL666" s="8"/>
      <c r="AM666" s="10">
        <v>0</v>
      </c>
      <c r="AN666" s="10">
        <v>0</v>
      </c>
      <c r="AO666" s="10">
        <v>27612037</v>
      </c>
      <c r="AP666" s="10">
        <v>62205012.920000002</v>
      </c>
      <c r="AQ666" s="8"/>
      <c r="AR666" s="8"/>
      <c r="AS666" s="8"/>
      <c r="AT666" s="8"/>
      <c r="AU666" s="8"/>
      <c r="AV666" s="8"/>
      <c r="AW666" s="8"/>
      <c r="AX666" s="14">
        <v>44286</v>
      </c>
      <c r="AY666" s="14">
        <v>44286</v>
      </c>
      <c r="AZ666" s="14">
        <v>43921</v>
      </c>
      <c r="BA666" s="14">
        <v>43677</v>
      </c>
      <c r="BB666" s="8"/>
      <c r="BC666" s="8"/>
      <c r="BD666" s="8"/>
      <c r="BE666" s="8"/>
      <c r="BF666" s="8"/>
      <c r="BG666" s="8"/>
      <c r="BH666" s="8"/>
      <c r="BI666" s="8" t="s">
        <v>35</v>
      </c>
      <c r="BJ666" s="8" t="s">
        <v>35</v>
      </c>
      <c r="BK666" s="8" t="s">
        <v>35</v>
      </c>
      <c r="BL666" s="8" t="s">
        <v>35</v>
      </c>
      <c r="BM666" s="8"/>
      <c r="BN666" s="8"/>
      <c r="BO666" s="8"/>
      <c r="BP666" s="8"/>
      <c r="BQ666" s="8" t="s">
        <v>31</v>
      </c>
      <c r="BR666" s="8" t="s">
        <v>36</v>
      </c>
      <c r="BS666" s="10">
        <v>57714137236267.203</v>
      </c>
      <c r="BT666" s="8"/>
      <c r="BU666" s="8"/>
      <c r="BV666" s="8"/>
      <c r="BW666" s="8"/>
      <c r="BX666" s="8" t="s">
        <v>42</v>
      </c>
      <c r="BY666" s="8" t="s">
        <v>27</v>
      </c>
      <c r="BZ666" s="8" t="s">
        <v>42</v>
      </c>
      <c r="CA666" s="8"/>
      <c r="CB666" s="8"/>
      <c r="CC666" s="8"/>
      <c r="CD666" s="8"/>
      <c r="CE666" s="8"/>
      <c r="CF666" s="8" t="s">
        <v>194</v>
      </c>
      <c r="CG666" s="8" t="s">
        <v>195</v>
      </c>
    </row>
    <row r="667" spans="1:85" ht="15.75" customHeight="1" x14ac:dyDescent="0.35">
      <c r="A667" s="8">
        <v>660</v>
      </c>
      <c r="B667" s="8" t="s">
        <v>901</v>
      </c>
      <c r="C667" s="8"/>
      <c r="D667" s="8"/>
      <c r="E667" s="9">
        <v>4.1E-5</v>
      </c>
      <c r="F667" s="9">
        <v>4.1E-5</v>
      </c>
      <c r="G667" s="9">
        <v>5.1999999999999997E-5</v>
      </c>
      <c r="H667" s="9">
        <v>9.7999999999999997E-5</v>
      </c>
      <c r="I667" s="8"/>
      <c r="J667" s="8"/>
      <c r="K667" s="8"/>
      <c r="L667" s="9">
        <v>0</v>
      </c>
      <c r="M667" s="9">
        <v>0</v>
      </c>
      <c r="N667" s="8"/>
      <c r="O667" s="8"/>
      <c r="P667" s="10">
        <v>3766134</v>
      </c>
      <c r="Q667" s="10">
        <v>3766134</v>
      </c>
      <c r="R667" s="10">
        <v>4768226</v>
      </c>
      <c r="S667" s="10">
        <v>9081400</v>
      </c>
      <c r="T667" s="8"/>
      <c r="U667" s="8"/>
      <c r="V667" s="8"/>
      <c r="W667" s="10">
        <v>0</v>
      </c>
      <c r="X667" s="10">
        <v>0</v>
      </c>
      <c r="Y667" s="8"/>
      <c r="Z667" s="8"/>
      <c r="AA667" s="11">
        <v>0</v>
      </c>
      <c r="AB667" s="12">
        <v>-1002092</v>
      </c>
      <c r="AC667" s="12">
        <v>-4313174</v>
      </c>
      <c r="AD667" s="13">
        <v>9081400</v>
      </c>
      <c r="AE667" s="8"/>
      <c r="AF667" s="8"/>
      <c r="AG667" s="8"/>
      <c r="AH667" s="11">
        <v>0</v>
      </c>
      <c r="AI667" s="11">
        <v>0</v>
      </c>
      <c r="AJ667" s="8"/>
      <c r="AK667" s="8"/>
      <c r="AL667" s="10">
        <v>18689439963.700001</v>
      </c>
      <c r="AM667" s="10">
        <v>18689439963.700001</v>
      </c>
      <c r="AN667" s="10">
        <v>16730782500</v>
      </c>
      <c r="AO667" s="10">
        <v>28719927475.200001</v>
      </c>
      <c r="AP667" s="8"/>
      <c r="AQ667" s="8"/>
      <c r="AR667" s="8"/>
      <c r="AS667" s="10">
        <v>0</v>
      </c>
      <c r="AT667" s="10">
        <v>0</v>
      </c>
      <c r="AU667" s="8"/>
      <c r="AV667" s="8"/>
      <c r="AW667" s="14">
        <v>44926</v>
      </c>
      <c r="AX667" s="14">
        <v>44926</v>
      </c>
      <c r="AY667" s="14">
        <v>44561</v>
      </c>
      <c r="AZ667" s="14">
        <v>44196</v>
      </c>
      <c r="BA667" s="8"/>
      <c r="BB667" s="8"/>
      <c r="BC667" s="8"/>
      <c r="BD667" s="14">
        <v>42124</v>
      </c>
      <c r="BE667" s="14">
        <v>42124</v>
      </c>
      <c r="BF667" s="8"/>
      <c r="BG667" s="8"/>
      <c r="BH667" s="8" t="s">
        <v>35</v>
      </c>
      <c r="BI667" s="8" t="s">
        <v>35</v>
      </c>
      <c r="BJ667" s="8" t="s">
        <v>35</v>
      </c>
      <c r="BK667" s="8" t="s">
        <v>35</v>
      </c>
      <c r="BL667" s="8"/>
      <c r="BM667" s="8"/>
      <c r="BN667" s="8"/>
      <c r="BO667" s="8" t="s">
        <v>35</v>
      </c>
      <c r="BP667" s="8" t="s">
        <v>35</v>
      </c>
      <c r="BQ667" s="8" t="s">
        <v>31</v>
      </c>
      <c r="BR667" s="8" t="s">
        <v>49</v>
      </c>
      <c r="BS667" s="10">
        <v>2268885546752560</v>
      </c>
      <c r="BT667" s="8" t="s">
        <v>57</v>
      </c>
      <c r="BU667" s="8"/>
      <c r="BV667" s="8"/>
      <c r="BW667" s="8" t="s">
        <v>27</v>
      </c>
      <c r="BX667" s="8" t="s">
        <v>27</v>
      </c>
      <c r="BY667" s="8" t="s">
        <v>27</v>
      </c>
      <c r="BZ667" s="8" t="s">
        <v>27</v>
      </c>
      <c r="CA667" s="8"/>
      <c r="CB667" s="8"/>
      <c r="CC667" s="8"/>
      <c r="CD667" s="8" t="s">
        <v>27</v>
      </c>
      <c r="CE667" s="8" t="s">
        <v>27</v>
      </c>
      <c r="CF667" s="8" t="s">
        <v>82</v>
      </c>
      <c r="CG667" s="8" t="s">
        <v>39</v>
      </c>
    </row>
    <row r="668" spans="1:85" ht="15.75" customHeight="1" x14ac:dyDescent="0.35">
      <c r="A668" s="8">
        <v>661</v>
      </c>
      <c r="B668" s="8" t="s">
        <v>902</v>
      </c>
      <c r="C668" s="8"/>
      <c r="D668" s="8"/>
      <c r="E668" s="8"/>
      <c r="F668" s="8"/>
      <c r="G668" s="9">
        <v>1.9000000000000001E-5</v>
      </c>
      <c r="H668" s="9">
        <v>1.9000000000000001E-5</v>
      </c>
      <c r="I668" s="9">
        <v>1.0000000000000001E-5</v>
      </c>
      <c r="J668" s="8"/>
      <c r="K668" s="8"/>
      <c r="L668" s="8"/>
      <c r="M668" s="8"/>
      <c r="N668" s="8"/>
      <c r="O668" s="8"/>
      <c r="P668" s="8"/>
      <c r="Q668" s="8"/>
      <c r="R668" s="10">
        <v>1744000</v>
      </c>
      <c r="S668" s="10">
        <v>1744000</v>
      </c>
      <c r="T668" s="10">
        <v>904000</v>
      </c>
      <c r="U668" s="8"/>
      <c r="V668" s="8"/>
      <c r="W668" s="8"/>
      <c r="X668" s="8"/>
      <c r="Y668" s="8"/>
      <c r="Z668" s="8"/>
      <c r="AA668" s="8"/>
      <c r="AB668" s="8"/>
      <c r="AC668" s="11">
        <v>0</v>
      </c>
      <c r="AD668" s="13">
        <v>840000</v>
      </c>
      <c r="AE668" s="13">
        <v>904000</v>
      </c>
      <c r="AF668" s="8"/>
      <c r="AG668" s="8"/>
      <c r="AH668" s="8"/>
      <c r="AI668" s="8"/>
      <c r="AJ668" s="8"/>
      <c r="AK668" s="8"/>
      <c r="AL668" s="8"/>
      <c r="AM668" s="8"/>
      <c r="AN668" s="10">
        <v>5188399944</v>
      </c>
      <c r="AO668" s="10">
        <v>5188399944</v>
      </c>
      <c r="AP668" s="10">
        <v>3459131266</v>
      </c>
      <c r="AQ668" s="8"/>
      <c r="AR668" s="8"/>
      <c r="AS668" s="8"/>
      <c r="AT668" s="8"/>
      <c r="AU668" s="8"/>
      <c r="AV668" s="8"/>
      <c r="AW668" s="8"/>
      <c r="AX668" s="8"/>
      <c r="AY668" s="14">
        <v>44074</v>
      </c>
      <c r="AZ668" s="14">
        <v>44074</v>
      </c>
      <c r="BA668" s="14">
        <v>43830</v>
      </c>
      <c r="BB668" s="8"/>
      <c r="BC668" s="8"/>
      <c r="BD668" s="8"/>
      <c r="BE668" s="8"/>
      <c r="BF668" s="8"/>
      <c r="BG668" s="8"/>
      <c r="BH668" s="8"/>
      <c r="BI668" s="8"/>
      <c r="BJ668" s="8" t="s">
        <v>35</v>
      </c>
      <c r="BK668" s="8" t="s">
        <v>35</v>
      </c>
      <c r="BL668" s="8" t="s">
        <v>35</v>
      </c>
      <c r="BM668" s="8"/>
      <c r="BN668" s="8"/>
      <c r="BO668" s="8"/>
      <c r="BP668" s="8"/>
      <c r="BQ668" s="8" t="s">
        <v>31</v>
      </c>
      <c r="BR668" s="8" t="s">
        <v>36</v>
      </c>
      <c r="BS668" s="10">
        <v>19867787234568</v>
      </c>
      <c r="BT668" s="8" t="s">
        <v>91</v>
      </c>
      <c r="BU668" s="8"/>
      <c r="BV668" s="8"/>
      <c r="BW668" s="8"/>
      <c r="BX668" s="8"/>
      <c r="BY668" s="8"/>
      <c r="BZ668" s="8" t="s">
        <v>42</v>
      </c>
      <c r="CA668" s="8" t="s">
        <v>43</v>
      </c>
      <c r="CB668" s="8"/>
      <c r="CC668" s="8"/>
      <c r="CD668" s="8"/>
      <c r="CE668" s="8"/>
      <c r="CF668" s="8" t="s">
        <v>50</v>
      </c>
      <c r="CG668" s="8" t="s">
        <v>51</v>
      </c>
    </row>
    <row r="669" spans="1:85" ht="15.75" customHeight="1" x14ac:dyDescent="0.35">
      <c r="A669" s="8">
        <v>662</v>
      </c>
      <c r="B669" s="8" t="s">
        <v>903</v>
      </c>
      <c r="C669" s="8"/>
      <c r="D669" s="8"/>
      <c r="E669" s="8"/>
      <c r="F669" s="9">
        <v>1.5E-5</v>
      </c>
      <c r="G669" s="9">
        <v>0</v>
      </c>
      <c r="H669" s="9">
        <v>0</v>
      </c>
      <c r="I669" s="9">
        <v>1.8E-5</v>
      </c>
      <c r="J669" s="8"/>
      <c r="K669" s="9">
        <v>0</v>
      </c>
      <c r="L669" s="9">
        <v>0</v>
      </c>
      <c r="M669" s="9">
        <v>3.4E-5</v>
      </c>
      <c r="N669" s="8"/>
      <c r="O669" s="8"/>
      <c r="P669" s="8"/>
      <c r="Q669" s="10">
        <v>1414400</v>
      </c>
      <c r="R669" s="10">
        <v>0</v>
      </c>
      <c r="S669" s="10">
        <v>0</v>
      </c>
      <c r="T669" s="10">
        <v>1696526</v>
      </c>
      <c r="U669" s="8"/>
      <c r="V669" s="10">
        <v>0</v>
      </c>
      <c r="W669" s="10">
        <v>0</v>
      </c>
      <c r="X669" s="10">
        <v>3145692</v>
      </c>
      <c r="Y669" s="8"/>
      <c r="Z669" s="8"/>
      <c r="AA669" s="8"/>
      <c r="AB669" s="13">
        <v>1414400</v>
      </c>
      <c r="AC669" s="11">
        <v>0</v>
      </c>
      <c r="AD669" s="12">
        <v>-1696526</v>
      </c>
      <c r="AE669" s="13">
        <v>1696526</v>
      </c>
      <c r="AF669" s="8"/>
      <c r="AG669" s="11">
        <v>0</v>
      </c>
      <c r="AH669" s="12">
        <v>-3145692</v>
      </c>
      <c r="AI669" s="11">
        <v>0</v>
      </c>
      <c r="AJ669" s="8"/>
      <c r="AK669" s="8"/>
      <c r="AL669" s="8"/>
      <c r="AM669" s="10">
        <v>7018960014.5500002</v>
      </c>
      <c r="AN669" s="10">
        <v>0</v>
      </c>
      <c r="AO669" s="10">
        <v>0</v>
      </c>
      <c r="AP669" s="10">
        <v>6491710422.3999996</v>
      </c>
      <c r="AQ669" s="8"/>
      <c r="AR669" s="10">
        <v>0</v>
      </c>
      <c r="AS669" s="10">
        <v>0</v>
      </c>
      <c r="AT669" s="10">
        <v>6232402207.5500002</v>
      </c>
      <c r="AU669" s="8"/>
      <c r="AV669" s="8"/>
      <c r="AW669" s="8"/>
      <c r="AX669" s="14">
        <v>44926</v>
      </c>
      <c r="AY669" s="14">
        <v>44012</v>
      </c>
      <c r="AZ669" s="14">
        <v>44012</v>
      </c>
      <c r="BA669" s="14">
        <v>43830</v>
      </c>
      <c r="BB669" s="8"/>
      <c r="BC669" s="14">
        <v>42551</v>
      </c>
      <c r="BD669" s="14">
        <v>42551</v>
      </c>
      <c r="BE669" s="14">
        <v>42277</v>
      </c>
      <c r="BF669" s="8"/>
      <c r="BG669" s="8"/>
      <c r="BH669" s="8"/>
      <c r="BI669" s="8" t="s">
        <v>35</v>
      </c>
      <c r="BJ669" s="8" t="s">
        <v>35</v>
      </c>
      <c r="BK669" s="8" t="s">
        <v>35</v>
      </c>
      <c r="BL669" s="8" t="s">
        <v>35</v>
      </c>
      <c r="BM669" s="8"/>
      <c r="BN669" s="8" t="s">
        <v>35</v>
      </c>
      <c r="BO669" s="8" t="s">
        <v>35</v>
      </c>
      <c r="BP669" s="8" t="s">
        <v>35</v>
      </c>
      <c r="BQ669" s="8" t="s">
        <v>31</v>
      </c>
      <c r="BR669" s="8" t="s">
        <v>36</v>
      </c>
      <c r="BS669" s="10">
        <v>1520384332531.2</v>
      </c>
      <c r="BT669" s="8"/>
      <c r="BU669" s="8"/>
      <c r="BV669" s="8"/>
      <c r="BW669" s="8"/>
      <c r="BX669" s="8" t="s">
        <v>42</v>
      </c>
      <c r="BY669" s="8" t="s">
        <v>42</v>
      </c>
      <c r="BZ669" s="8" t="s">
        <v>42</v>
      </c>
      <c r="CA669" s="8" t="s">
        <v>43</v>
      </c>
      <c r="CB669" s="8"/>
      <c r="CC669" s="8" t="s">
        <v>42</v>
      </c>
      <c r="CD669" s="8" t="s">
        <v>27</v>
      </c>
      <c r="CE669" s="8" t="s">
        <v>43</v>
      </c>
      <c r="CF669" s="8" t="s">
        <v>168</v>
      </c>
      <c r="CG669" s="8" t="s">
        <v>55</v>
      </c>
    </row>
    <row r="670" spans="1:85" ht="15.75" customHeight="1" x14ac:dyDescent="0.35">
      <c r="A670" s="8">
        <v>663</v>
      </c>
      <c r="B670" s="8" t="s">
        <v>904</v>
      </c>
      <c r="C670" s="8"/>
      <c r="D670" s="8"/>
      <c r="E670" s="8"/>
      <c r="F670" s="8"/>
      <c r="G670" s="8"/>
      <c r="H670" s="8"/>
      <c r="I670" s="8"/>
      <c r="J670" s="8"/>
      <c r="K670" s="8"/>
      <c r="L670" s="9">
        <v>0</v>
      </c>
      <c r="M670" s="9">
        <v>1.5E-5</v>
      </c>
      <c r="N670" s="8"/>
      <c r="O670" s="8"/>
      <c r="P670" s="8"/>
      <c r="Q670" s="8"/>
      <c r="R670" s="8"/>
      <c r="S670" s="8"/>
      <c r="T670" s="8"/>
      <c r="U670" s="8"/>
      <c r="V670" s="8"/>
      <c r="W670" s="10">
        <v>0</v>
      </c>
      <c r="X670" s="10">
        <v>1364800</v>
      </c>
      <c r="Y670" s="8"/>
      <c r="Z670" s="8"/>
      <c r="AA670" s="8"/>
      <c r="AB670" s="8"/>
      <c r="AC670" s="8"/>
      <c r="AD670" s="8"/>
      <c r="AE670" s="8"/>
      <c r="AF670" s="8"/>
      <c r="AG670" s="8"/>
      <c r="AH670" s="12">
        <v>-1364800</v>
      </c>
      <c r="AI670" s="11">
        <v>0</v>
      </c>
      <c r="AJ670" s="8"/>
      <c r="AK670" s="8"/>
      <c r="AL670" s="8"/>
      <c r="AM670" s="8"/>
      <c r="AN670" s="8"/>
      <c r="AO670" s="8"/>
      <c r="AP670" s="8"/>
      <c r="AQ670" s="8"/>
      <c r="AR670" s="8"/>
      <c r="AS670" s="10">
        <v>0</v>
      </c>
      <c r="AT670" s="10">
        <v>2968440044.75</v>
      </c>
      <c r="AU670" s="8"/>
      <c r="AV670" s="8"/>
      <c r="AW670" s="8"/>
      <c r="AX670" s="8"/>
      <c r="AY670" s="8"/>
      <c r="AZ670" s="8"/>
      <c r="BA670" s="8"/>
      <c r="BB670" s="8"/>
      <c r="BC670" s="8"/>
      <c r="BD670" s="14">
        <v>42429</v>
      </c>
      <c r="BE670" s="14">
        <v>42308</v>
      </c>
      <c r="BF670" s="8"/>
      <c r="BG670" s="8"/>
      <c r="BH670" s="8"/>
      <c r="BI670" s="8"/>
      <c r="BJ670" s="8"/>
      <c r="BK670" s="8"/>
      <c r="BL670" s="8"/>
      <c r="BM670" s="8"/>
      <c r="BN670" s="8"/>
      <c r="BO670" s="8" t="s">
        <v>35</v>
      </c>
      <c r="BP670" s="8" t="s">
        <v>35</v>
      </c>
      <c r="BQ670" s="8" t="s">
        <v>31</v>
      </c>
      <c r="BR670" s="8" t="s">
        <v>36</v>
      </c>
      <c r="BS670" s="10">
        <v>22173442159068</v>
      </c>
      <c r="BT670" s="8" t="s">
        <v>61</v>
      </c>
      <c r="BU670" s="8"/>
      <c r="BV670" s="8"/>
      <c r="BW670" s="8"/>
      <c r="BX670" s="8"/>
      <c r="BY670" s="8"/>
      <c r="BZ670" s="8"/>
      <c r="CA670" s="8"/>
      <c r="CB670" s="8"/>
      <c r="CC670" s="8"/>
      <c r="CD670" s="8" t="s">
        <v>27</v>
      </c>
      <c r="CE670" s="8" t="s">
        <v>43</v>
      </c>
      <c r="CF670" s="8" t="s">
        <v>95</v>
      </c>
      <c r="CG670" s="8" t="s">
        <v>96</v>
      </c>
    </row>
    <row r="671" spans="1:85" ht="15.75" customHeight="1" x14ac:dyDescent="0.35">
      <c r="A671" s="8">
        <v>664</v>
      </c>
      <c r="B671" s="8" t="s">
        <v>905</v>
      </c>
      <c r="C671" s="8"/>
      <c r="D671" s="9">
        <v>9.990000000000001E-4</v>
      </c>
      <c r="E671" s="9">
        <v>1.351E-3</v>
      </c>
      <c r="F671" s="9">
        <v>1.206E-3</v>
      </c>
      <c r="G671" s="9">
        <v>6.9999999999999994E-5</v>
      </c>
      <c r="H671" s="9">
        <v>1.06E-4</v>
      </c>
      <c r="I671" s="9">
        <v>1.3100000000000001E-4</v>
      </c>
      <c r="J671" s="9">
        <v>0</v>
      </c>
      <c r="K671" s="9">
        <v>0</v>
      </c>
      <c r="L671" s="9">
        <v>1.2999999999999999E-4</v>
      </c>
      <c r="M671" s="9">
        <v>1.8799999999999999E-4</v>
      </c>
      <c r="N671" s="8"/>
      <c r="O671" s="10">
        <v>92349100</v>
      </c>
      <c r="P671" s="10">
        <v>124850900</v>
      </c>
      <c r="Q671" s="10">
        <v>111445200</v>
      </c>
      <c r="R671" s="10">
        <v>6505600</v>
      </c>
      <c r="S671" s="10">
        <v>9753406</v>
      </c>
      <c r="T671" s="10">
        <v>12123600</v>
      </c>
      <c r="U671" s="10">
        <v>0</v>
      </c>
      <c r="V671" s="10">
        <v>0</v>
      </c>
      <c r="W671" s="10">
        <v>12028000</v>
      </c>
      <c r="X671" s="10">
        <v>17360400</v>
      </c>
      <c r="Y671" s="8"/>
      <c r="Z671" s="12">
        <v>-32501800</v>
      </c>
      <c r="AA671" s="13">
        <v>13405700</v>
      </c>
      <c r="AB671" s="13">
        <v>104939600</v>
      </c>
      <c r="AC671" s="12">
        <v>-3247806</v>
      </c>
      <c r="AD671" s="12">
        <v>-2370194</v>
      </c>
      <c r="AE671" s="13">
        <v>12123600</v>
      </c>
      <c r="AF671" s="11">
        <v>0</v>
      </c>
      <c r="AG671" s="12">
        <v>-12028000</v>
      </c>
      <c r="AH671" s="12">
        <v>-5332400</v>
      </c>
      <c r="AI671" s="11">
        <v>0</v>
      </c>
      <c r="AJ671" s="8"/>
      <c r="AK671" s="10">
        <v>525084501007.40002</v>
      </c>
      <c r="AL671" s="10">
        <v>755347944400.75</v>
      </c>
      <c r="AM671" s="10">
        <v>553046805386.90002</v>
      </c>
      <c r="AN671" s="10">
        <v>22826891745</v>
      </c>
      <c r="AO671" s="10">
        <v>30845146410</v>
      </c>
      <c r="AP671" s="10">
        <v>46390624458.800003</v>
      </c>
      <c r="AQ671" s="10">
        <v>0</v>
      </c>
      <c r="AR671" s="10">
        <v>0</v>
      </c>
      <c r="AS671" s="10">
        <v>34806024983.400002</v>
      </c>
      <c r="AT671" s="10">
        <v>37758869974.25</v>
      </c>
      <c r="AU671" s="8"/>
      <c r="AV671" s="14">
        <v>45657</v>
      </c>
      <c r="AW671" s="14">
        <v>45291</v>
      </c>
      <c r="AX671" s="14">
        <v>44926</v>
      </c>
      <c r="AY671" s="14">
        <v>44561</v>
      </c>
      <c r="AZ671" s="14">
        <v>44196</v>
      </c>
      <c r="BA671" s="14">
        <v>43830</v>
      </c>
      <c r="BB671" s="14">
        <v>42825</v>
      </c>
      <c r="BC671" s="14">
        <v>42825</v>
      </c>
      <c r="BD671" s="14">
        <v>42735</v>
      </c>
      <c r="BE671" s="14">
        <v>42308</v>
      </c>
      <c r="BF671" s="8"/>
      <c r="BG671" s="8" t="s">
        <v>35</v>
      </c>
      <c r="BH671" s="8" t="s">
        <v>35</v>
      </c>
      <c r="BI671" s="8" t="s">
        <v>35</v>
      </c>
      <c r="BJ671" s="8" t="s">
        <v>35</v>
      </c>
      <c r="BK671" s="8" t="s">
        <v>35</v>
      </c>
      <c r="BL671" s="8" t="s">
        <v>35</v>
      </c>
      <c r="BM671" s="8" t="s">
        <v>35</v>
      </c>
      <c r="BN671" s="8" t="s">
        <v>35</v>
      </c>
      <c r="BO671" s="8" t="s">
        <v>35</v>
      </c>
      <c r="BP671" s="8" t="s">
        <v>35</v>
      </c>
      <c r="BQ671" s="8" t="s">
        <v>31</v>
      </c>
      <c r="BR671" s="8" t="s">
        <v>36</v>
      </c>
      <c r="BS671" s="10">
        <v>3604731303192</v>
      </c>
      <c r="BT671" s="8"/>
      <c r="BU671" s="8"/>
      <c r="BV671" s="8" t="s">
        <v>27</v>
      </c>
      <c r="BW671" s="8" t="s">
        <v>27</v>
      </c>
      <c r="BX671" s="8" t="s">
        <v>42</v>
      </c>
      <c r="BY671" s="8" t="s">
        <v>27</v>
      </c>
      <c r="BZ671" s="8" t="s">
        <v>27</v>
      </c>
      <c r="CA671" s="8" t="s">
        <v>42</v>
      </c>
      <c r="CB671" s="8" t="s">
        <v>42</v>
      </c>
      <c r="CC671" s="8" t="s">
        <v>27</v>
      </c>
      <c r="CD671" s="8" t="s">
        <v>27</v>
      </c>
      <c r="CE671" s="8" t="s">
        <v>27</v>
      </c>
      <c r="CF671" s="8" t="s">
        <v>284</v>
      </c>
      <c r="CG671" s="8" t="s">
        <v>198</v>
      </c>
    </row>
    <row r="672" spans="1:85" ht="15.75" customHeight="1" x14ac:dyDescent="0.35">
      <c r="A672" s="8">
        <v>665</v>
      </c>
      <c r="B672" s="8" t="s">
        <v>906</v>
      </c>
      <c r="C672" s="8"/>
      <c r="D672" s="8"/>
      <c r="E672" s="8"/>
      <c r="F672" s="9">
        <v>3.1999999999999999E-5</v>
      </c>
      <c r="G672" s="9">
        <v>3.1999999999999999E-5</v>
      </c>
      <c r="H672" s="9">
        <v>1.2999999999999999E-5</v>
      </c>
      <c r="I672" s="8"/>
      <c r="J672" s="8"/>
      <c r="K672" s="8"/>
      <c r="L672" s="8"/>
      <c r="M672" s="8"/>
      <c r="N672" s="8"/>
      <c r="O672" s="8"/>
      <c r="P672" s="8"/>
      <c r="Q672" s="10">
        <v>2933000</v>
      </c>
      <c r="R672" s="10">
        <v>2933000</v>
      </c>
      <c r="S672" s="10">
        <v>1180600</v>
      </c>
      <c r="T672" s="8"/>
      <c r="U672" s="8"/>
      <c r="V672" s="8"/>
      <c r="W672" s="8"/>
      <c r="X672" s="8"/>
      <c r="Y672" s="8"/>
      <c r="Z672" s="8"/>
      <c r="AA672" s="8"/>
      <c r="AB672" s="11">
        <v>0</v>
      </c>
      <c r="AC672" s="13">
        <v>1752400</v>
      </c>
      <c r="AD672" s="13">
        <v>1180600</v>
      </c>
      <c r="AE672" s="8"/>
      <c r="AF672" s="8"/>
      <c r="AG672" s="8"/>
      <c r="AH672" s="8"/>
      <c r="AI672" s="8"/>
      <c r="AJ672" s="8"/>
      <c r="AK672" s="8"/>
      <c r="AL672" s="8"/>
      <c r="AM672" s="10">
        <v>8945649972</v>
      </c>
      <c r="AN672" s="10">
        <v>8945649972</v>
      </c>
      <c r="AO672" s="10">
        <v>3733647512.4000001</v>
      </c>
      <c r="AP672" s="8"/>
      <c r="AQ672" s="8"/>
      <c r="AR672" s="8"/>
      <c r="AS672" s="8"/>
      <c r="AT672" s="8"/>
      <c r="AU672" s="8"/>
      <c r="AV672" s="8"/>
      <c r="AW672" s="8"/>
      <c r="AX672" s="14">
        <v>44439</v>
      </c>
      <c r="AY672" s="14">
        <v>44439</v>
      </c>
      <c r="AZ672" s="14">
        <v>44196</v>
      </c>
      <c r="BA672" s="8"/>
      <c r="BB672" s="8"/>
      <c r="BC672" s="8"/>
      <c r="BD672" s="8"/>
      <c r="BE672" s="8"/>
      <c r="BF672" s="8"/>
      <c r="BG672" s="8"/>
      <c r="BH672" s="8"/>
      <c r="BI672" s="8" t="s">
        <v>35</v>
      </c>
      <c r="BJ672" s="8" t="s">
        <v>35</v>
      </c>
      <c r="BK672" s="8" t="s">
        <v>35</v>
      </c>
      <c r="BL672" s="8"/>
      <c r="BM672" s="8"/>
      <c r="BN672" s="8"/>
      <c r="BO672" s="8"/>
      <c r="BP672" s="8"/>
      <c r="BQ672" s="8" t="s">
        <v>31</v>
      </c>
      <c r="BR672" s="8" t="s">
        <v>36</v>
      </c>
      <c r="BS672" s="10">
        <v>106353086171204</v>
      </c>
      <c r="BT672" s="8"/>
      <c r="BU672" s="8"/>
      <c r="BV672" s="8"/>
      <c r="BW672" s="8"/>
      <c r="BX672" s="8" t="s">
        <v>27</v>
      </c>
      <c r="BY672" s="8" t="s">
        <v>42</v>
      </c>
      <c r="BZ672" s="8" t="s">
        <v>27</v>
      </c>
      <c r="CA672" s="8"/>
      <c r="CB672" s="8"/>
      <c r="CC672" s="8"/>
      <c r="CD672" s="8"/>
      <c r="CE672" s="8"/>
      <c r="CF672" s="8" t="s">
        <v>194</v>
      </c>
      <c r="CG672" s="8" t="s">
        <v>195</v>
      </c>
    </row>
    <row r="673" spans="1:85" ht="15.75" customHeight="1" x14ac:dyDescent="0.35">
      <c r="A673" s="8">
        <v>666</v>
      </c>
      <c r="B673" s="8" t="s">
        <v>907</v>
      </c>
      <c r="C673" s="8"/>
      <c r="D673" s="8"/>
      <c r="E673" s="8"/>
      <c r="F673" s="8"/>
      <c r="G673" s="8"/>
      <c r="H673" s="8"/>
      <c r="I673" s="9">
        <v>1.92E-4</v>
      </c>
      <c r="J673" s="9">
        <v>1.92E-4</v>
      </c>
      <c r="K673" s="9">
        <v>2.2599999999999999E-4</v>
      </c>
      <c r="L673" s="9">
        <v>1.8699999999999999E-4</v>
      </c>
      <c r="M673" s="9">
        <v>1.73E-4</v>
      </c>
      <c r="N673" s="8"/>
      <c r="O673" s="8"/>
      <c r="P673" s="8"/>
      <c r="Q673" s="8"/>
      <c r="R673" s="8"/>
      <c r="S673" s="8"/>
      <c r="T673" s="10">
        <v>17775820</v>
      </c>
      <c r="U673" s="10">
        <v>17775820</v>
      </c>
      <c r="V673" s="10">
        <v>20921820</v>
      </c>
      <c r="W673" s="10">
        <v>17289420</v>
      </c>
      <c r="X673" s="10">
        <v>16005420</v>
      </c>
      <c r="Y673" s="8"/>
      <c r="Z673" s="8"/>
      <c r="AA673" s="8"/>
      <c r="AB673" s="8"/>
      <c r="AC673" s="8"/>
      <c r="AD673" s="8"/>
      <c r="AE673" s="11">
        <v>0</v>
      </c>
      <c r="AF673" s="12">
        <v>-3146000</v>
      </c>
      <c r="AG673" s="13">
        <v>3632400</v>
      </c>
      <c r="AH673" s="13">
        <v>1284000</v>
      </c>
      <c r="AI673" s="12">
        <v>-1256000</v>
      </c>
      <c r="AJ673" s="8"/>
      <c r="AK673" s="8"/>
      <c r="AL673" s="8"/>
      <c r="AM673" s="8"/>
      <c r="AN673" s="8"/>
      <c r="AO673" s="8"/>
      <c r="AP673" s="10">
        <v>64737707562.5</v>
      </c>
      <c r="AQ673" s="10">
        <v>64737707562.5</v>
      </c>
      <c r="AR673" s="10">
        <v>83687279956.199997</v>
      </c>
      <c r="AS673" s="10">
        <v>50031259195.800003</v>
      </c>
      <c r="AT673" s="10">
        <v>37025963562.599998</v>
      </c>
      <c r="AU673" s="8"/>
      <c r="AV673" s="8"/>
      <c r="AW673" s="8"/>
      <c r="AX673" s="8"/>
      <c r="AY673" s="8"/>
      <c r="AZ673" s="8"/>
      <c r="BA673" s="14">
        <v>43465</v>
      </c>
      <c r="BB673" s="14">
        <v>43465</v>
      </c>
      <c r="BC673" s="14">
        <v>43100</v>
      </c>
      <c r="BD673" s="14">
        <v>42735</v>
      </c>
      <c r="BE673" s="14">
        <v>42369</v>
      </c>
      <c r="BF673" s="8"/>
      <c r="BG673" s="8"/>
      <c r="BH673" s="8"/>
      <c r="BI673" s="8"/>
      <c r="BJ673" s="8"/>
      <c r="BK673" s="8"/>
      <c r="BL673" s="8" t="s">
        <v>35</v>
      </c>
      <c r="BM673" s="8" t="s">
        <v>35</v>
      </c>
      <c r="BN673" s="8" t="s">
        <v>35</v>
      </c>
      <c r="BO673" s="8" t="s">
        <v>35</v>
      </c>
      <c r="BP673" s="8" t="s">
        <v>35</v>
      </c>
      <c r="BQ673" s="8" t="s">
        <v>31</v>
      </c>
      <c r="BR673" s="8" t="s">
        <v>36</v>
      </c>
      <c r="BS673" s="10">
        <v>2671912774693500</v>
      </c>
      <c r="BT673" s="8" t="s">
        <v>41</v>
      </c>
      <c r="BU673" s="8"/>
      <c r="BV673" s="8"/>
      <c r="BW673" s="8"/>
      <c r="BX673" s="8"/>
      <c r="BY673" s="8"/>
      <c r="BZ673" s="8"/>
      <c r="CA673" s="8" t="s">
        <v>27</v>
      </c>
      <c r="CB673" s="8" t="s">
        <v>27</v>
      </c>
      <c r="CC673" s="8" t="s">
        <v>27</v>
      </c>
      <c r="CD673" s="8" t="s">
        <v>27</v>
      </c>
      <c r="CE673" s="8" t="s">
        <v>27</v>
      </c>
      <c r="CF673" s="8" t="s">
        <v>80</v>
      </c>
      <c r="CG673" s="8" t="s">
        <v>39</v>
      </c>
    </row>
    <row r="674" spans="1:85" ht="15.75" customHeight="1" x14ac:dyDescent="0.35">
      <c r="A674" s="8">
        <v>667</v>
      </c>
      <c r="B674" s="8" t="s">
        <v>908</v>
      </c>
      <c r="C674" s="8"/>
      <c r="D674" s="8"/>
      <c r="E674" s="8"/>
      <c r="F674" s="9">
        <v>0</v>
      </c>
      <c r="G674" s="9">
        <v>0</v>
      </c>
      <c r="H674" s="8"/>
      <c r="I674" s="8"/>
      <c r="J674" s="8"/>
      <c r="K674" s="8"/>
      <c r="L674" s="8"/>
      <c r="M674" s="8"/>
      <c r="N674" s="8"/>
      <c r="O674" s="8"/>
      <c r="P674" s="8"/>
      <c r="Q674" s="10">
        <v>0</v>
      </c>
      <c r="R674" s="10">
        <v>0</v>
      </c>
      <c r="S674" s="8"/>
      <c r="T674" s="8"/>
      <c r="U674" s="8"/>
      <c r="V674" s="8"/>
      <c r="W674" s="8"/>
      <c r="X674" s="8"/>
      <c r="Y674" s="8"/>
      <c r="Z674" s="8"/>
      <c r="AA674" s="8"/>
      <c r="AB674" s="11">
        <v>0</v>
      </c>
      <c r="AC674" s="11">
        <v>0</v>
      </c>
      <c r="AD674" s="8"/>
      <c r="AE674" s="8"/>
      <c r="AF674" s="8"/>
      <c r="AG674" s="8"/>
      <c r="AH674" s="8"/>
      <c r="AI674" s="8"/>
      <c r="AJ674" s="8"/>
      <c r="AK674" s="8"/>
      <c r="AL674" s="8"/>
      <c r="AM674" s="10">
        <v>0</v>
      </c>
      <c r="AN674" s="10">
        <v>0</v>
      </c>
      <c r="AO674" s="8"/>
      <c r="AP674" s="8"/>
      <c r="AQ674" s="8"/>
      <c r="AR674" s="8"/>
      <c r="AS674" s="8"/>
      <c r="AT674" s="8"/>
      <c r="AU674" s="8"/>
      <c r="AV674" s="8"/>
      <c r="AW674" s="8"/>
      <c r="AX674" s="14">
        <v>44469</v>
      </c>
      <c r="AY674" s="14">
        <v>44469</v>
      </c>
      <c r="AZ674" s="8"/>
      <c r="BA674" s="8"/>
      <c r="BB674" s="8"/>
      <c r="BC674" s="8"/>
      <c r="BD674" s="8"/>
      <c r="BE674" s="8"/>
      <c r="BF674" s="8"/>
      <c r="BG674" s="8"/>
      <c r="BH674" s="8"/>
      <c r="BI674" s="8" t="s">
        <v>35</v>
      </c>
      <c r="BJ674" s="8" t="s">
        <v>35</v>
      </c>
      <c r="BK674" s="8"/>
      <c r="BL674" s="8"/>
      <c r="BM674" s="8"/>
      <c r="BN674" s="8"/>
      <c r="BO674" s="8"/>
      <c r="BP674" s="8"/>
      <c r="BQ674" s="8" t="s">
        <v>31</v>
      </c>
      <c r="BR674" s="8" t="s">
        <v>49</v>
      </c>
      <c r="BS674" s="10">
        <v>53054447887939.203</v>
      </c>
      <c r="BT674" s="8" t="s">
        <v>37</v>
      </c>
      <c r="BU674" s="8"/>
      <c r="BV674" s="8"/>
      <c r="BW674" s="8"/>
      <c r="BX674" s="8" t="s">
        <v>27</v>
      </c>
      <c r="BY674" s="8" t="s">
        <v>27</v>
      </c>
      <c r="BZ674" s="8"/>
      <c r="CA674" s="8"/>
      <c r="CB674" s="8"/>
      <c r="CC674" s="8"/>
      <c r="CD674" s="8"/>
      <c r="CE674" s="8"/>
      <c r="CF674" s="8" t="s">
        <v>50</v>
      </c>
      <c r="CG674" s="8" t="s">
        <v>51</v>
      </c>
    </row>
    <row r="675" spans="1:85" ht="15.75" customHeight="1" x14ac:dyDescent="0.35">
      <c r="A675" s="8">
        <v>668</v>
      </c>
      <c r="B675" s="8" t="s">
        <v>909</v>
      </c>
      <c r="C675" s="8"/>
      <c r="D675" s="9">
        <v>0</v>
      </c>
      <c r="E675" s="9">
        <v>6.0000000000000002E-6</v>
      </c>
      <c r="F675" s="8"/>
      <c r="G675" s="8"/>
      <c r="H675" s="8"/>
      <c r="I675" s="8"/>
      <c r="J675" s="8"/>
      <c r="K675" s="8"/>
      <c r="L675" s="8"/>
      <c r="M675" s="8"/>
      <c r="N675" s="8"/>
      <c r="O675" s="10">
        <v>0</v>
      </c>
      <c r="P675" s="10">
        <v>525800</v>
      </c>
      <c r="Q675" s="8"/>
      <c r="R675" s="8"/>
      <c r="S675" s="8"/>
      <c r="T675" s="8"/>
      <c r="U675" s="8"/>
      <c r="V675" s="8"/>
      <c r="W675" s="8"/>
      <c r="X675" s="8"/>
      <c r="Y675" s="8"/>
      <c r="Z675" s="12">
        <v>-525800</v>
      </c>
      <c r="AA675" s="13">
        <v>525800</v>
      </c>
      <c r="AB675" s="8"/>
      <c r="AC675" s="8"/>
      <c r="AD675" s="8"/>
      <c r="AE675" s="8"/>
      <c r="AF675" s="8"/>
      <c r="AG675" s="8"/>
      <c r="AH675" s="8"/>
      <c r="AI675" s="8"/>
      <c r="AJ675" s="8"/>
      <c r="AK675" s="10">
        <v>0</v>
      </c>
      <c r="AL675" s="10">
        <v>3181089941.1500001</v>
      </c>
      <c r="AM675" s="8"/>
      <c r="AN675" s="8"/>
      <c r="AO675" s="8"/>
      <c r="AP675" s="8"/>
      <c r="AQ675" s="8"/>
      <c r="AR675" s="8"/>
      <c r="AS675" s="8"/>
      <c r="AT675" s="8"/>
      <c r="AU675" s="8"/>
      <c r="AV675" s="14">
        <v>45322</v>
      </c>
      <c r="AW675" s="14">
        <v>45291</v>
      </c>
      <c r="AX675" s="8"/>
      <c r="AY675" s="8"/>
      <c r="AZ675" s="8"/>
      <c r="BA675" s="8"/>
      <c r="BB675" s="8"/>
      <c r="BC675" s="8"/>
      <c r="BD675" s="8"/>
      <c r="BE675" s="8"/>
      <c r="BF675" s="8"/>
      <c r="BG675" s="8" t="s">
        <v>35</v>
      </c>
      <c r="BH675" s="8" t="s">
        <v>35</v>
      </c>
      <c r="BI675" s="8"/>
      <c r="BJ675" s="8"/>
      <c r="BK675" s="8"/>
      <c r="BL675" s="8"/>
      <c r="BM675" s="8"/>
      <c r="BN675" s="8"/>
      <c r="BO675" s="8"/>
      <c r="BP675" s="8"/>
      <c r="BQ675" s="8" t="s">
        <v>31</v>
      </c>
      <c r="BR675" s="8" t="s">
        <v>49</v>
      </c>
      <c r="BS675" s="10">
        <v>872474483973025</v>
      </c>
      <c r="BT675" s="8" t="s">
        <v>61</v>
      </c>
      <c r="BU675" s="8"/>
      <c r="BV675" s="8" t="s">
        <v>42</v>
      </c>
      <c r="BW675" s="8" t="s">
        <v>27</v>
      </c>
      <c r="BX675" s="8"/>
      <c r="BY675" s="8"/>
      <c r="BZ675" s="8"/>
      <c r="CA675" s="8"/>
      <c r="CB675" s="8"/>
      <c r="CC675" s="8"/>
      <c r="CD675" s="8"/>
      <c r="CE675" s="8"/>
      <c r="CF675" s="8" t="s">
        <v>80</v>
      </c>
      <c r="CG675" s="8" t="s">
        <v>39</v>
      </c>
    </row>
    <row r="676" spans="1:85" ht="15.75" customHeight="1" x14ac:dyDescent="0.35">
      <c r="A676" s="8">
        <v>669</v>
      </c>
      <c r="B676" s="8" t="s">
        <v>910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>
        <v>0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10">
        <v>0</v>
      </c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11">
        <v>0</v>
      </c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10">
        <v>0</v>
      </c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14">
        <v>42004</v>
      </c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 t="s">
        <v>35</v>
      </c>
      <c r="BQ676" s="8" t="s">
        <v>31</v>
      </c>
      <c r="BR676" s="8" t="s">
        <v>36</v>
      </c>
      <c r="BS676" s="10">
        <v>32632062116034</v>
      </c>
      <c r="BT676" s="8" t="s">
        <v>356</v>
      </c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 t="s">
        <v>27</v>
      </c>
      <c r="CF676" s="8" t="s">
        <v>50</v>
      </c>
      <c r="CG676" s="8" t="s">
        <v>51</v>
      </c>
    </row>
    <row r="677" spans="1:85" ht="15.75" customHeight="1" x14ac:dyDescent="0.35">
      <c r="A677" s="8">
        <v>670</v>
      </c>
      <c r="B677" s="8" t="s">
        <v>911</v>
      </c>
      <c r="C677" s="8"/>
      <c r="D677" s="9">
        <v>0</v>
      </c>
      <c r="E677" s="9">
        <v>0</v>
      </c>
      <c r="F677" s="9">
        <v>9.9999999999999995E-7</v>
      </c>
      <c r="G677" s="9">
        <v>9.9999999999999995E-7</v>
      </c>
      <c r="H677" s="9">
        <v>0</v>
      </c>
      <c r="I677" s="8"/>
      <c r="J677" s="8"/>
      <c r="K677" s="8"/>
      <c r="L677" s="8"/>
      <c r="M677" s="8"/>
      <c r="N677" s="8"/>
      <c r="O677" s="10">
        <v>0</v>
      </c>
      <c r="P677" s="10">
        <v>0</v>
      </c>
      <c r="Q677" s="10">
        <v>100416</v>
      </c>
      <c r="R677" s="10">
        <v>103882</v>
      </c>
      <c r="S677" s="10">
        <v>0</v>
      </c>
      <c r="T677" s="8"/>
      <c r="U677" s="8"/>
      <c r="V677" s="8"/>
      <c r="W677" s="8"/>
      <c r="X677" s="8"/>
      <c r="Y677" s="8"/>
      <c r="Z677" s="11">
        <v>0</v>
      </c>
      <c r="AA677" s="12">
        <v>-100416</v>
      </c>
      <c r="AB677" s="12">
        <v>-3466</v>
      </c>
      <c r="AC677" s="13">
        <v>103882</v>
      </c>
      <c r="AD677" s="11">
        <v>0</v>
      </c>
      <c r="AE677" s="8"/>
      <c r="AF677" s="8"/>
      <c r="AG677" s="8"/>
      <c r="AH677" s="8"/>
      <c r="AI677" s="8"/>
      <c r="AJ677" s="8"/>
      <c r="AK677" s="10">
        <v>0</v>
      </c>
      <c r="AL677" s="10">
        <v>0</v>
      </c>
      <c r="AM677" s="10">
        <v>473210356.5</v>
      </c>
      <c r="AN677" s="10">
        <v>364501890</v>
      </c>
      <c r="AO677" s="10">
        <v>0</v>
      </c>
      <c r="AP677" s="8"/>
      <c r="AQ677" s="8"/>
      <c r="AR677" s="8"/>
      <c r="AS677" s="8"/>
      <c r="AT677" s="8"/>
      <c r="AU677" s="8"/>
      <c r="AV677" s="14">
        <v>45291</v>
      </c>
      <c r="AW677" s="14">
        <v>45291</v>
      </c>
      <c r="AX677" s="14">
        <v>44834</v>
      </c>
      <c r="AY677" s="14">
        <v>44561</v>
      </c>
      <c r="AZ677" s="14">
        <v>44196</v>
      </c>
      <c r="BA677" s="8"/>
      <c r="BB677" s="8"/>
      <c r="BC677" s="8"/>
      <c r="BD677" s="8"/>
      <c r="BE677" s="8"/>
      <c r="BF677" s="8"/>
      <c r="BG677" s="8" t="s">
        <v>35</v>
      </c>
      <c r="BH677" s="8" t="s">
        <v>35</v>
      </c>
      <c r="BI677" s="8" t="s">
        <v>35</v>
      </c>
      <c r="BJ677" s="8" t="s">
        <v>35</v>
      </c>
      <c r="BK677" s="8" t="s">
        <v>35</v>
      </c>
      <c r="BL677" s="8"/>
      <c r="BM677" s="8"/>
      <c r="BN677" s="8"/>
      <c r="BO677" s="8"/>
      <c r="BP677" s="8"/>
      <c r="BQ677" s="8" t="s">
        <v>31</v>
      </c>
      <c r="BR677" s="8" t="s">
        <v>36</v>
      </c>
      <c r="BS677" s="10">
        <v>21280928239017.602</v>
      </c>
      <c r="BT677" s="8" t="s">
        <v>46</v>
      </c>
      <c r="BU677" s="8"/>
      <c r="BV677" s="8" t="s">
        <v>27</v>
      </c>
      <c r="BW677" s="8" t="s">
        <v>27</v>
      </c>
      <c r="BX677" s="8" t="s">
        <v>27</v>
      </c>
      <c r="BY677" s="8" t="s">
        <v>27</v>
      </c>
      <c r="BZ677" s="8" t="s">
        <v>27</v>
      </c>
      <c r="CA677" s="8"/>
      <c r="CB677" s="8"/>
      <c r="CC677" s="8"/>
      <c r="CD677" s="8"/>
      <c r="CE677" s="8"/>
      <c r="CF677" s="8" t="s">
        <v>183</v>
      </c>
      <c r="CG677" s="8" t="s">
        <v>118</v>
      </c>
    </row>
    <row r="678" spans="1:85" ht="15.75" customHeight="1" x14ac:dyDescent="0.35">
      <c r="A678" s="8">
        <v>671</v>
      </c>
      <c r="B678" s="8" t="s">
        <v>912</v>
      </c>
      <c r="C678" s="8"/>
      <c r="D678" s="8"/>
      <c r="E678" s="8"/>
      <c r="F678" s="8"/>
      <c r="G678" s="8"/>
      <c r="H678" s="8"/>
      <c r="I678" s="8"/>
      <c r="J678" s="8"/>
      <c r="K678" s="8"/>
      <c r="L678" s="9">
        <v>1.5E-5</v>
      </c>
      <c r="M678" s="9">
        <v>1.5E-5</v>
      </c>
      <c r="N678" s="8"/>
      <c r="O678" s="8"/>
      <c r="P678" s="8"/>
      <c r="Q678" s="8"/>
      <c r="R678" s="8"/>
      <c r="S678" s="8"/>
      <c r="T678" s="8"/>
      <c r="U678" s="8"/>
      <c r="V678" s="8"/>
      <c r="W678" s="10">
        <v>1343316</v>
      </c>
      <c r="X678" s="10">
        <v>1343316</v>
      </c>
      <c r="Y678" s="8"/>
      <c r="Z678" s="8"/>
      <c r="AA678" s="8"/>
      <c r="AB678" s="8"/>
      <c r="AC678" s="8"/>
      <c r="AD678" s="8"/>
      <c r="AE678" s="8"/>
      <c r="AF678" s="8"/>
      <c r="AG678" s="8"/>
      <c r="AH678" s="11">
        <v>0</v>
      </c>
      <c r="AI678" s="13">
        <v>221200</v>
      </c>
      <c r="AJ678" s="8"/>
      <c r="AK678" s="8"/>
      <c r="AL678" s="8"/>
      <c r="AM678" s="8"/>
      <c r="AN678" s="8"/>
      <c r="AO678" s="8"/>
      <c r="AP678" s="8"/>
      <c r="AQ678" s="8"/>
      <c r="AR678" s="8"/>
      <c r="AS678" s="10">
        <v>3107545381.8000002</v>
      </c>
      <c r="AT678" s="10">
        <v>3107545381.8000002</v>
      </c>
      <c r="AU678" s="8"/>
      <c r="AV678" s="8"/>
      <c r="AW678" s="8"/>
      <c r="AX678" s="8"/>
      <c r="AY678" s="8"/>
      <c r="AZ678" s="8"/>
      <c r="BA678" s="8"/>
      <c r="BB678" s="8"/>
      <c r="BC678" s="8"/>
      <c r="BD678" s="14">
        <v>42369</v>
      </c>
      <c r="BE678" s="14">
        <v>42369</v>
      </c>
      <c r="BF678" s="8"/>
      <c r="BG678" s="8"/>
      <c r="BH678" s="8"/>
      <c r="BI678" s="8"/>
      <c r="BJ678" s="8"/>
      <c r="BK678" s="8"/>
      <c r="BL678" s="8"/>
      <c r="BM678" s="8"/>
      <c r="BN678" s="8"/>
      <c r="BO678" s="8" t="s">
        <v>35</v>
      </c>
      <c r="BP678" s="8" t="s">
        <v>35</v>
      </c>
      <c r="BQ678" s="8" t="s">
        <v>31</v>
      </c>
      <c r="BR678" s="8" t="s">
        <v>36</v>
      </c>
      <c r="BS678" s="10">
        <v>0</v>
      </c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 t="s">
        <v>27</v>
      </c>
      <c r="CE678" s="8" t="s">
        <v>27</v>
      </c>
      <c r="CF678" s="8" t="s">
        <v>82</v>
      </c>
      <c r="CG678" s="8" t="s">
        <v>39</v>
      </c>
    </row>
    <row r="679" spans="1:85" ht="15.75" customHeight="1" x14ac:dyDescent="0.35">
      <c r="A679" s="8">
        <v>672</v>
      </c>
      <c r="B679" s="8" t="s">
        <v>913</v>
      </c>
      <c r="C679" s="8"/>
      <c r="D679" s="8"/>
      <c r="E679" s="8"/>
      <c r="F679" s="8"/>
      <c r="G679" s="8"/>
      <c r="H679" s="8"/>
      <c r="I679" s="8"/>
      <c r="J679" s="9">
        <v>0</v>
      </c>
      <c r="K679" s="9">
        <v>0</v>
      </c>
      <c r="L679" s="9">
        <v>1.7E-5</v>
      </c>
      <c r="M679" s="9">
        <v>0</v>
      </c>
      <c r="N679" s="8"/>
      <c r="O679" s="8"/>
      <c r="P679" s="8"/>
      <c r="Q679" s="8"/>
      <c r="R679" s="8"/>
      <c r="S679" s="8"/>
      <c r="T679" s="8"/>
      <c r="U679" s="10">
        <v>0</v>
      </c>
      <c r="V679" s="10">
        <v>0</v>
      </c>
      <c r="W679" s="10">
        <v>1536908</v>
      </c>
      <c r="X679" s="10">
        <v>0</v>
      </c>
      <c r="Y679" s="8"/>
      <c r="Z679" s="8"/>
      <c r="AA679" s="8"/>
      <c r="AB679" s="8"/>
      <c r="AC679" s="8"/>
      <c r="AD679" s="8"/>
      <c r="AE679" s="8"/>
      <c r="AF679" s="11">
        <v>0</v>
      </c>
      <c r="AG679" s="12">
        <v>-1536908</v>
      </c>
      <c r="AH679" s="13">
        <v>1536908</v>
      </c>
      <c r="AI679" s="11">
        <v>0</v>
      </c>
      <c r="AJ679" s="8"/>
      <c r="AK679" s="8"/>
      <c r="AL679" s="8"/>
      <c r="AM679" s="8"/>
      <c r="AN679" s="8"/>
      <c r="AO679" s="8"/>
      <c r="AP679" s="8"/>
      <c r="AQ679" s="10">
        <v>0</v>
      </c>
      <c r="AR679" s="10">
        <v>0</v>
      </c>
      <c r="AS679" s="10">
        <v>4447427481.3000002</v>
      </c>
      <c r="AT679" s="10">
        <v>0</v>
      </c>
      <c r="AU679" s="8"/>
      <c r="AV679" s="8"/>
      <c r="AW679" s="8"/>
      <c r="AX679" s="8"/>
      <c r="AY679" s="8"/>
      <c r="AZ679" s="8"/>
      <c r="BA679" s="8"/>
      <c r="BB679" s="14">
        <v>42825</v>
      </c>
      <c r="BC679" s="14">
        <v>42825</v>
      </c>
      <c r="BD679" s="14">
        <v>42735</v>
      </c>
      <c r="BE679" s="14">
        <v>41790</v>
      </c>
      <c r="BF679" s="8"/>
      <c r="BG679" s="8"/>
      <c r="BH679" s="8"/>
      <c r="BI679" s="8"/>
      <c r="BJ679" s="8"/>
      <c r="BK679" s="8"/>
      <c r="BL679" s="8"/>
      <c r="BM679" s="8" t="s">
        <v>35</v>
      </c>
      <c r="BN679" s="8" t="s">
        <v>35</v>
      </c>
      <c r="BO679" s="8" t="s">
        <v>35</v>
      </c>
      <c r="BP679" s="8" t="s">
        <v>35</v>
      </c>
      <c r="BQ679" s="8" t="s">
        <v>31</v>
      </c>
      <c r="BR679" s="8" t="s">
        <v>36</v>
      </c>
      <c r="BS679" s="10">
        <v>172378746809570</v>
      </c>
      <c r="BT679" s="8"/>
      <c r="BU679" s="8"/>
      <c r="BV679" s="8"/>
      <c r="BW679" s="8"/>
      <c r="BX679" s="8"/>
      <c r="BY679" s="8"/>
      <c r="BZ679" s="8"/>
      <c r="CA679" s="8"/>
      <c r="CB679" s="8" t="s">
        <v>43</v>
      </c>
      <c r="CC679" s="8" t="s">
        <v>43</v>
      </c>
      <c r="CD679" s="8" t="s">
        <v>43</v>
      </c>
      <c r="CE679" s="8" t="s">
        <v>43</v>
      </c>
      <c r="CF679" s="8" t="s">
        <v>145</v>
      </c>
      <c r="CG679" s="8" t="s">
        <v>146</v>
      </c>
    </row>
    <row r="680" spans="1:85" ht="15.75" customHeight="1" x14ac:dyDescent="0.35">
      <c r="A680" s="8">
        <v>673</v>
      </c>
      <c r="B680" s="8" t="s">
        <v>914</v>
      </c>
      <c r="C680" s="8"/>
      <c r="D680" s="8"/>
      <c r="E680" s="8"/>
      <c r="F680" s="8"/>
      <c r="G680" s="8"/>
      <c r="H680" s="8"/>
      <c r="I680" s="9">
        <v>3.8140000000000001E-3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0">
        <v>352434000</v>
      </c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13">
        <v>352434000</v>
      </c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10">
        <v>1348579081100.8</v>
      </c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14">
        <v>43830</v>
      </c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 t="s">
        <v>24</v>
      </c>
      <c r="BM680" s="8"/>
      <c r="BN680" s="8"/>
      <c r="BO680" s="8"/>
      <c r="BP680" s="8"/>
      <c r="BQ680" s="8" t="s">
        <v>31</v>
      </c>
      <c r="BR680" s="8" t="s">
        <v>36</v>
      </c>
      <c r="BS680" s="10">
        <v>0</v>
      </c>
      <c r="BT680" s="8" t="s">
        <v>61</v>
      </c>
      <c r="BU680" s="8"/>
      <c r="BV680" s="8"/>
      <c r="BW680" s="8"/>
      <c r="BX680" s="8"/>
      <c r="BY680" s="8"/>
      <c r="BZ680" s="8"/>
      <c r="CA680" s="8" t="s">
        <v>42</v>
      </c>
      <c r="CB680" s="8"/>
      <c r="CC680" s="8"/>
      <c r="CD680" s="8"/>
      <c r="CE680" s="8"/>
      <c r="CF680" s="8" t="s">
        <v>70</v>
      </c>
      <c r="CG680" s="8" t="s">
        <v>71</v>
      </c>
    </row>
    <row r="681" spans="1:85" ht="15.75" customHeight="1" x14ac:dyDescent="0.35">
      <c r="A681" s="8">
        <v>674</v>
      </c>
      <c r="B681" s="8" t="s">
        <v>915</v>
      </c>
      <c r="C681" s="8"/>
      <c r="D681" s="9">
        <v>0</v>
      </c>
      <c r="E681" s="9">
        <v>0</v>
      </c>
      <c r="F681" s="8"/>
      <c r="G681" s="8"/>
      <c r="H681" s="8"/>
      <c r="I681" s="8"/>
      <c r="J681" s="9">
        <v>0</v>
      </c>
      <c r="K681" s="9">
        <v>0</v>
      </c>
      <c r="L681" s="9">
        <v>3.9999999999999998E-6</v>
      </c>
      <c r="M681" s="9">
        <v>3.9999999999999998E-6</v>
      </c>
      <c r="N681" s="8"/>
      <c r="O681" s="10">
        <v>0</v>
      </c>
      <c r="P681" s="10">
        <v>0</v>
      </c>
      <c r="Q681" s="8"/>
      <c r="R681" s="8"/>
      <c r="S681" s="8"/>
      <c r="T681" s="8"/>
      <c r="U681" s="10">
        <v>0</v>
      </c>
      <c r="V681" s="10">
        <v>0</v>
      </c>
      <c r="W681" s="10">
        <v>346000</v>
      </c>
      <c r="X681" s="10">
        <v>346000</v>
      </c>
      <c r="Y681" s="8"/>
      <c r="Z681" s="11">
        <v>0</v>
      </c>
      <c r="AA681" s="11">
        <v>0</v>
      </c>
      <c r="AB681" s="8"/>
      <c r="AC681" s="8"/>
      <c r="AD681" s="8"/>
      <c r="AE681" s="8"/>
      <c r="AF681" s="11">
        <v>0</v>
      </c>
      <c r="AG681" s="12">
        <v>-346000</v>
      </c>
      <c r="AH681" s="11">
        <v>0</v>
      </c>
      <c r="AI681" s="11">
        <v>0</v>
      </c>
      <c r="AJ681" s="8"/>
      <c r="AK681" s="10">
        <v>0</v>
      </c>
      <c r="AL681" s="10">
        <v>0</v>
      </c>
      <c r="AM681" s="8"/>
      <c r="AN681" s="8"/>
      <c r="AO681" s="8"/>
      <c r="AP681" s="8"/>
      <c r="AQ681" s="10">
        <v>0</v>
      </c>
      <c r="AR681" s="10">
        <v>0</v>
      </c>
      <c r="AS681" s="10">
        <v>1001237492.4</v>
      </c>
      <c r="AT681" s="10">
        <v>800415272.70000005</v>
      </c>
      <c r="AU681" s="8"/>
      <c r="AV681" s="14">
        <v>45107</v>
      </c>
      <c r="AW681" s="14">
        <v>45107</v>
      </c>
      <c r="AX681" s="8"/>
      <c r="AY681" s="8"/>
      <c r="AZ681" s="8"/>
      <c r="BA681" s="8"/>
      <c r="BB681" s="14">
        <v>42825</v>
      </c>
      <c r="BC681" s="14">
        <v>42825</v>
      </c>
      <c r="BD681" s="14">
        <v>42735</v>
      </c>
      <c r="BE681" s="14">
        <v>42369</v>
      </c>
      <c r="BF681" s="8"/>
      <c r="BG681" s="8" t="s">
        <v>35</v>
      </c>
      <c r="BH681" s="8" t="s">
        <v>35</v>
      </c>
      <c r="BI681" s="8"/>
      <c r="BJ681" s="8"/>
      <c r="BK681" s="8"/>
      <c r="BL681" s="8"/>
      <c r="BM681" s="8" t="s">
        <v>35</v>
      </c>
      <c r="BN681" s="8" t="s">
        <v>35</v>
      </c>
      <c r="BO681" s="8" t="s">
        <v>35</v>
      </c>
      <c r="BP681" s="8" t="s">
        <v>35</v>
      </c>
      <c r="BQ681" s="8" t="s">
        <v>31</v>
      </c>
      <c r="BR681" s="8" t="s">
        <v>49</v>
      </c>
      <c r="BS681" s="10">
        <v>383173430385674</v>
      </c>
      <c r="BT681" s="8" t="s">
        <v>57</v>
      </c>
      <c r="BU681" s="8"/>
      <c r="BV681" s="8" t="s">
        <v>42</v>
      </c>
      <c r="BW681" s="8" t="s">
        <v>42</v>
      </c>
      <c r="BX681" s="8"/>
      <c r="BY681" s="8"/>
      <c r="BZ681" s="8"/>
      <c r="CA681" s="8"/>
      <c r="CB681" s="8" t="s">
        <v>42</v>
      </c>
      <c r="CC681" s="8" t="s">
        <v>42</v>
      </c>
      <c r="CD681" s="8" t="s">
        <v>42</v>
      </c>
      <c r="CE681" s="8" t="s">
        <v>27</v>
      </c>
      <c r="CF681" s="8" t="s">
        <v>85</v>
      </c>
      <c r="CG681" s="8" t="s">
        <v>39</v>
      </c>
    </row>
    <row r="682" spans="1:85" ht="15.75" customHeight="1" x14ac:dyDescent="0.35">
      <c r="A682" s="8">
        <v>675</v>
      </c>
      <c r="B682" s="8" t="s">
        <v>916</v>
      </c>
      <c r="C682" s="8"/>
      <c r="D682" s="8"/>
      <c r="E682" s="8"/>
      <c r="F682" s="9">
        <v>0</v>
      </c>
      <c r="G682" s="9">
        <v>0</v>
      </c>
      <c r="H682" s="9">
        <v>2.0000000000000002E-5</v>
      </c>
      <c r="I682" s="9">
        <v>1.8E-5</v>
      </c>
      <c r="J682" s="8"/>
      <c r="K682" s="8"/>
      <c r="L682" s="8"/>
      <c r="M682" s="8"/>
      <c r="N682" s="8"/>
      <c r="O682" s="8"/>
      <c r="P682" s="8"/>
      <c r="Q682" s="10">
        <v>0</v>
      </c>
      <c r="R682" s="10">
        <v>0</v>
      </c>
      <c r="S682" s="10">
        <v>1810800</v>
      </c>
      <c r="T682" s="10">
        <v>1623400</v>
      </c>
      <c r="U682" s="8"/>
      <c r="V682" s="8"/>
      <c r="W682" s="8"/>
      <c r="X682" s="8"/>
      <c r="Y682" s="8"/>
      <c r="Z682" s="8"/>
      <c r="AA682" s="8"/>
      <c r="AB682" s="11">
        <v>0</v>
      </c>
      <c r="AC682" s="12">
        <v>-1810800</v>
      </c>
      <c r="AD682" s="13">
        <v>187400</v>
      </c>
      <c r="AE682" s="13">
        <v>1623400</v>
      </c>
      <c r="AF682" s="8"/>
      <c r="AG682" s="8"/>
      <c r="AH682" s="8"/>
      <c r="AI682" s="8"/>
      <c r="AJ682" s="8"/>
      <c r="AK682" s="8"/>
      <c r="AL682" s="8"/>
      <c r="AM682" s="10">
        <v>0</v>
      </c>
      <c r="AN682" s="10">
        <v>0</v>
      </c>
      <c r="AO682" s="10">
        <v>5726654996.3999996</v>
      </c>
      <c r="AP682" s="10">
        <v>6211895729.6000004</v>
      </c>
      <c r="AQ682" s="8"/>
      <c r="AR682" s="8"/>
      <c r="AS682" s="8"/>
      <c r="AT682" s="8"/>
      <c r="AU682" s="8"/>
      <c r="AV682" s="8"/>
      <c r="AW682" s="8"/>
      <c r="AX682" s="14">
        <v>44316</v>
      </c>
      <c r="AY682" s="14">
        <v>44316</v>
      </c>
      <c r="AZ682" s="14">
        <v>44196</v>
      </c>
      <c r="BA682" s="14">
        <v>43830</v>
      </c>
      <c r="BB682" s="8"/>
      <c r="BC682" s="8"/>
      <c r="BD682" s="8"/>
      <c r="BE682" s="8"/>
      <c r="BF682" s="8"/>
      <c r="BG682" s="8"/>
      <c r="BH682" s="8"/>
      <c r="BI682" s="8" t="s">
        <v>35</v>
      </c>
      <c r="BJ682" s="8" t="s">
        <v>35</v>
      </c>
      <c r="BK682" s="8" t="s">
        <v>35</v>
      </c>
      <c r="BL682" s="8" t="s">
        <v>35</v>
      </c>
      <c r="BM682" s="8"/>
      <c r="BN682" s="8"/>
      <c r="BO682" s="8"/>
      <c r="BP682" s="8"/>
      <c r="BQ682" s="8" t="s">
        <v>31</v>
      </c>
      <c r="BR682" s="8" t="s">
        <v>36</v>
      </c>
      <c r="BS682" s="10">
        <v>22437062112615.602</v>
      </c>
      <c r="BT682" s="8" t="s">
        <v>61</v>
      </c>
      <c r="BU682" s="8"/>
      <c r="BV682" s="8"/>
      <c r="BW682" s="8"/>
      <c r="BX682" s="8" t="s">
        <v>27</v>
      </c>
      <c r="BY682" s="8" t="s">
        <v>27</v>
      </c>
      <c r="BZ682" s="8" t="s">
        <v>27</v>
      </c>
      <c r="CA682" s="8" t="s">
        <v>42</v>
      </c>
      <c r="CB682" s="8"/>
      <c r="CC682" s="8"/>
      <c r="CD682" s="8"/>
      <c r="CE682" s="8"/>
      <c r="CF682" s="8" t="s">
        <v>50</v>
      </c>
      <c r="CG682" s="8" t="s">
        <v>51</v>
      </c>
    </row>
    <row r="683" spans="1:85" ht="15.75" customHeight="1" x14ac:dyDescent="0.35">
      <c r="A683" s="8">
        <v>676</v>
      </c>
      <c r="B683" s="8" t="s">
        <v>917</v>
      </c>
      <c r="C683" s="8"/>
      <c r="D683" s="8"/>
      <c r="E683" s="8"/>
      <c r="F683" s="8"/>
      <c r="G683" s="8"/>
      <c r="H683" s="9">
        <v>0</v>
      </c>
      <c r="I683" s="9">
        <v>3.9999999999999998E-6</v>
      </c>
      <c r="J683" s="8"/>
      <c r="K683" s="8"/>
      <c r="L683" s="8"/>
      <c r="M683" s="8"/>
      <c r="N683" s="8"/>
      <c r="O683" s="8"/>
      <c r="P683" s="8"/>
      <c r="Q683" s="8"/>
      <c r="R683" s="8"/>
      <c r="S683" s="10">
        <v>0</v>
      </c>
      <c r="T683" s="10">
        <v>412400</v>
      </c>
      <c r="U683" s="8"/>
      <c r="V683" s="8"/>
      <c r="W683" s="8"/>
      <c r="X683" s="8"/>
      <c r="Y683" s="8"/>
      <c r="Z683" s="8"/>
      <c r="AA683" s="8"/>
      <c r="AB683" s="8"/>
      <c r="AC683" s="8"/>
      <c r="AD683" s="12">
        <v>-412400</v>
      </c>
      <c r="AE683" s="13">
        <v>412400</v>
      </c>
      <c r="AF683" s="8"/>
      <c r="AG683" s="8"/>
      <c r="AH683" s="8"/>
      <c r="AI683" s="8"/>
      <c r="AJ683" s="8"/>
      <c r="AK683" s="8"/>
      <c r="AL683" s="8"/>
      <c r="AM683" s="8"/>
      <c r="AN683" s="8"/>
      <c r="AO683" s="10">
        <v>0</v>
      </c>
      <c r="AP683" s="10">
        <v>1578037326</v>
      </c>
      <c r="AQ683" s="8"/>
      <c r="AR683" s="8"/>
      <c r="AS683" s="8"/>
      <c r="AT683" s="8"/>
      <c r="AU683" s="8"/>
      <c r="AV683" s="8"/>
      <c r="AW683" s="8"/>
      <c r="AX683" s="8"/>
      <c r="AY683" s="8"/>
      <c r="AZ683" s="14">
        <v>43890</v>
      </c>
      <c r="BA683" s="14">
        <v>43830</v>
      </c>
      <c r="BB683" s="8"/>
      <c r="BC683" s="8"/>
      <c r="BD683" s="8"/>
      <c r="BE683" s="8"/>
      <c r="BF683" s="8"/>
      <c r="BG683" s="8"/>
      <c r="BH683" s="8"/>
      <c r="BI683" s="8"/>
      <c r="BJ683" s="8"/>
      <c r="BK683" s="8" t="s">
        <v>35</v>
      </c>
      <c r="BL683" s="8" t="s">
        <v>35</v>
      </c>
      <c r="BM683" s="8"/>
      <c r="BN683" s="8"/>
      <c r="BO683" s="8"/>
      <c r="BP683" s="8"/>
      <c r="BQ683" s="8" t="s">
        <v>31</v>
      </c>
      <c r="BR683" s="8" t="s">
        <v>36</v>
      </c>
      <c r="BS683" s="10">
        <v>3353194567324.7998</v>
      </c>
      <c r="BT683" s="8"/>
      <c r="BU683" s="8"/>
      <c r="BV683" s="8"/>
      <c r="BW683" s="8"/>
      <c r="BX683" s="8"/>
      <c r="BY683" s="8"/>
      <c r="BZ683" s="8" t="s">
        <v>27</v>
      </c>
      <c r="CA683" s="8" t="s">
        <v>42</v>
      </c>
      <c r="CB683" s="8"/>
      <c r="CC683" s="8"/>
      <c r="CD683" s="8"/>
      <c r="CE683" s="8"/>
      <c r="CF683" s="8" t="s">
        <v>65</v>
      </c>
      <c r="CG683" s="8" t="s">
        <v>65</v>
      </c>
    </row>
    <row r="684" spans="1:85" ht="15.75" customHeight="1" x14ac:dyDescent="0.35">
      <c r="A684" s="8">
        <v>677</v>
      </c>
      <c r="B684" s="8" t="s">
        <v>918</v>
      </c>
      <c r="C684" s="8"/>
      <c r="D684" s="8"/>
      <c r="E684" s="8"/>
      <c r="F684" s="9">
        <v>0</v>
      </c>
      <c r="G684" s="9">
        <v>0</v>
      </c>
      <c r="H684" s="9">
        <v>0</v>
      </c>
      <c r="I684" s="9">
        <v>0</v>
      </c>
      <c r="J684" s="9">
        <v>1.4100000000000001E-4</v>
      </c>
      <c r="K684" s="9">
        <v>1.85E-4</v>
      </c>
      <c r="L684" s="9">
        <v>2.8600000000000001E-4</v>
      </c>
      <c r="M684" s="9">
        <v>9.9999999999999995E-7</v>
      </c>
      <c r="N684" s="8"/>
      <c r="O684" s="8"/>
      <c r="P684" s="8"/>
      <c r="Q684" s="10">
        <v>0</v>
      </c>
      <c r="R684" s="10">
        <v>0</v>
      </c>
      <c r="S684" s="10">
        <v>0</v>
      </c>
      <c r="T684" s="10">
        <v>0</v>
      </c>
      <c r="U684" s="10">
        <v>13012200</v>
      </c>
      <c r="V684" s="10">
        <v>17118400</v>
      </c>
      <c r="W684" s="10">
        <v>26431200</v>
      </c>
      <c r="X684" s="10">
        <v>104400</v>
      </c>
      <c r="Y684" s="8"/>
      <c r="Z684" s="8"/>
      <c r="AA684" s="8"/>
      <c r="AB684" s="11">
        <v>0</v>
      </c>
      <c r="AC684" s="11">
        <v>0</v>
      </c>
      <c r="AD684" s="11">
        <v>0</v>
      </c>
      <c r="AE684" s="12">
        <v>-13012200</v>
      </c>
      <c r="AF684" s="12">
        <v>-4106200</v>
      </c>
      <c r="AG684" s="12">
        <v>-9312800</v>
      </c>
      <c r="AH684" s="13">
        <v>26326800</v>
      </c>
      <c r="AI684" s="12">
        <v>-1508400</v>
      </c>
      <c r="AJ684" s="8"/>
      <c r="AK684" s="8"/>
      <c r="AL684" s="8"/>
      <c r="AM684" s="10">
        <v>0</v>
      </c>
      <c r="AN684" s="10">
        <v>0</v>
      </c>
      <c r="AO684" s="10">
        <v>0</v>
      </c>
      <c r="AP684" s="10">
        <v>0</v>
      </c>
      <c r="AQ684" s="10">
        <v>47389093625</v>
      </c>
      <c r="AR684" s="10">
        <v>68473600029.949997</v>
      </c>
      <c r="AS684" s="10">
        <v>76485285033.600006</v>
      </c>
      <c r="AT684" s="10">
        <v>241512648.59999999</v>
      </c>
      <c r="AU684" s="8"/>
      <c r="AV684" s="8"/>
      <c r="AW684" s="8"/>
      <c r="AX684" s="14">
        <v>44561</v>
      </c>
      <c r="AY684" s="14">
        <v>44561</v>
      </c>
      <c r="AZ684" s="14">
        <v>43616</v>
      </c>
      <c r="BA684" s="14">
        <v>43616</v>
      </c>
      <c r="BB684" s="14">
        <v>43465</v>
      </c>
      <c r="BC684" s="14">
        <v>43100</v>
      </c>
      <c r="BD684" s="14">
        <v>42735</v>
      </c>
      <c r="BE684" s="14">
        <v>42369</v>
      </c>
      <c r="BF684" s="8"/>
      <c r="BG684" s="8"/>
      <c r="BH684" s="8"/>
      <c r="BI684" s="8" t="s">
        <v>35</v>
      </c>
      <c r="BJ684" s="8" t="s">
        <v>35</v>
      </c>
      <c r="BK684" s="8" t="s">
        <v>35</v>
      </c>
      <c r="BL684" s="8" t="s">
        <v>35</v>
      </c>
      <c r="BM684" s="8" t="s">
        <v>35</v>
      </c>
      <c r="BN684" s="8" t="s">
        <v>35</v>
      </c>
      <c r="BO684" s="8" t="s">
        <v>35</v>
      </c>
      <c r="BP684" s="8" t="s">
        <v>35</v>
      </c>
      <c r="BQ684" s="8" t="s">
        <v>31</v>
      </c>
      <c r="BR684" s="8" t="s">
        <v>49</v>
      </c>
      <c r="BS684" s="10">
        <v>222159443965783</v>
      </c>
      <c r="BT684" s="8" t="s">
        <v>57</v>
      </c>
      <c r="BU684" s="8"/>
      <c r="BV684" s="8"/>
      <c r="BW684" s="8"/>
      <c r="BX684" s="8" t="s">
        <v>42</v>
      </c>
      <c r="BY684" s="8" t="s">
        <v>42</v>
      </c>
      <c r="BZ684" s="8" t="s">
        <v>42</v>
      </c>
      <c r="CA684" s="8" t="s">
        <v>42</v>
      </c>
      <c r="CB684" s="8" t="s">
        <v>42</v>
      </c>
      <c r="CC684" s="8" t="s">
        <v>42</v>
      </c>
      <c r="CD684" s="8" t="s">
        <v>43</v>
      </c>
      <c r="CE684" s="8" t="s">
        <v>43</v>
      </c>
      <c r="CF684" s="8" t="s">
        <v>82</v>
      </c>
      <c r="CG684" s="8" t="s">
        <v>39</v>
      </c>
    </row>
    <row r="685" spans="1:85" ht="15.75" customHeight="1" x14ac:dyDescent="0.35">
      <c r="A685" s="8">
        <v>678</v>
      </c>
      <c r="B685" s="8" t="s">
        <v>919</v>
      </c>
      <c r="C685" s="8"/>
      <c r="D685" s="9">
        <v>3.0000000000000001E-6</v>
      </c>
      <c r="E685" s="9">
        <v>3.0000000000000001E-6</v>
      </c>
      <c r="F685" s="9">
        <v>9.9999999999999995E-7</v>
      </c>
      <c r="G685" s="8"/>
      <c r="H685" s="8"/>
      <c r="I685" s="8"/>
      <c r="J685" s="8"/>
      <c r="K685" s="8"/>
      <c r="L685" s="8"/>
      <c r="M685" s="8"/>
      <c r="N685" s="8"/>
      <c r="O685" s="10">
        <v>270500</v>
      </c>
      <c r="P685" s="10">
        <v>270500</v>
      </c>
      <c r="Q685" s="10">
        <v>100000</v>
      </c>
      <c r="R685" s="8"/>
      <c r="S685" s="8"/>
      <c r="T685" s="8"/>
      <c r="U685" s="8"/>
      <c r="V685" s="8"/>
      <c r="W685" s="8"/>
      <c r="X685" s="8"/>
      <c r="Y685" s="8"/>
      <c r="Z685" s="11">
        <v>0</v>
      </c>
      <c r="AA685" s="13">
        <v>170500</v>
      </c>
      <c r="AB685" s="13">
        <v>100000</v>
      </c>
      <c r="AC685" s="8"/>
      <c r="AD685" s="8"/>
      <c r="AE685" s="8"/>
      <c r="AF685" s="8"/>
      <c r="AG685" s="8"/>
      <c r="AH685" s="8"/>
      <c r="AI685" s="8"/>
      <c r="AJ685" s="8"/>
      <c r="AK685" s="10">
        <v>1366024957.6500001</v>
      </c>
      <c r="AL685" s="10">
        <v>1366024957.6500001</v>
      </c>
      <c r="AM685" s="10">
        <v>496250022.94999999</v>
      </c>
      <c r="AN685" s="8"/>
      <c r="AO685" s="8"/>
      <c r="AP685" s="8"/>
      <c r="AQ685" s="8"/>
      <c r="AR685" s="8"/>
      <c r="AS685" s="8"/>
      <c r="AT685" s="8"/>
      <c r="AU685" s="8"/>
      <c r="AV685" s="14">
        <v>45077</v>
      </c>
      <c r="AW685" s="14">
        <v>45077</v>
      </c>
      <c r="AX685" s="14">
        <v>44926</v>
      </c>
      <c r="AY685" s="8"/>
      <c r="AZ685" s="8"/>
      <c r="BA685" s="8"/>
      <c r="BB685" s="8"/>
      <c r="BC685" s="8"/>
      <c r="BD685" s="8"/>
      <c r="BE685" s="8"/>
      <c r="BF685" s="8"/>
      <c r="BG685" s="8" t="s">
        <v>35</v>
      </c>
      <c r="BH685" s="8" t="s">
        <v>35</v>
      </c>
      <c r="BI685" s="8" t="s">
        <v>35</v>
      </c>
      <c r="BJ685" s="8"/>
      <c r="BK685" s="8"/>
      <c r="BL685" s="8"/>
      <c r="BM685" s="8"/>
      <c r="BN685" s="8"/>
      <c r="BO685" s="8"/>
      <c r="BP685" s="8"/>
      <c r="BQ685" s="8" t="s">
        <v>31</v>
      </c>
      <c r="BR685" s="8" t="s">
        <v>36</v>
      </c>
      <c r="BS685" s="10">
        <v>403898870227870</v>
      </c>
      <c r="BT685" s="8"/>
      <c r="BU685" s="8"/>
      <c r="BV685" s="8" t="s">
        <v>27</v>
      </c>
      <c r="BW685" s="8" t="s">
        <v>43</v>
      </c>
      <c r="BX685" s="8" t="s">
        <v>27</v>
      </c>
      <c r="BY685" s="8"/>
      <c r="BZ685" s="8"/>
      <c r="CA685" s="8"/>
      <c r="CB685" s="8"/>
      <c r="CC685" s="8"/>
      <c r="CD685" s="8"/>
      <c r="CE685" s="8"/>
      <c r="CF685" s="8" t="s">
        <v>158</v>
      </c>
      <c r="CG685" s="8" t="s">
        <v>115</v>
      </c>
    </row>
    <row r="686" spans="1:85" ht="15.75" customHeight="1" x14ac:dyDescent="0.35">
      <c r="A686" s="8">
        <v>679</v>
      </c>
      <c r="B686" s="8" t="s">
        <v>920</v>
      </c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>
        <v>0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10">
        <v>0</v>
      </c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11">
        <v>0</v>
      </c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10">
        <v>0</v>
      </c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14">
        <v>41820</v>
      </c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 t="s">
        <v>35</v>
      </c>
      <c r="BQ686" s="8" t="s">
        <v>31</v>
      </c>
      <c r="BR686" s="8" t="s">
        <v>36</v>
      </c>
      <c r="BS686" s="10">
        <v>102909667257.60001</v>
      </c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 t="s">
        <v>27</v>
      </c>
      <c r="CF686" s="8" t="s">
        <v>682</v>
      </c>
      <c r="CG686" s="8" t="s">
        <v>461</v>
      </c>
    </row>
    <row r="687" spans="1:85" ht="15.75" customHeight="1" x14ac:dyDescent="0.35">
      <c r="A687" s="8">
        <v>680</v>
      </c>
      <c r="B687" s="8" t="s">
        <v>921</v>
      </c>
      <c r="C687" s="8"/>
      <c r="D687" s="8"/>
      <c r="E687" s="8"/>
      <c r="F687" s="8"/>
      <c r="G687" s="8"/>
      <c r="H687" s="8"/>
      <c r="I687" s="9">
        <v>0</v>
      </c>
      <c r="J687" s="9">
        <v>0</v>
      </c>
      <c r="K687" s="9">
        <v>1.2999999999999999E-5</v>
      </c>
      <c r="L687" s="9">
        <v>1.2999999999999999E-5</v>
      </c>
      <c r="M687" s="8"/>
      <c r="N687" s="8"/>
      <c r="O687" s="8"/>
      <c r="P687" s="8"/>
      <c r="Q687" s="8"/>
      <c r="R687" s="8"/>
      <c r="S687" s="8"/>
      <c r="T687" s="10">
        <v>0</v>
      </c>
      <c r="U687" s="10">
        <v>0</v>
      </c>
      <c r="V687" s="10">
        <v>1240000</v>
      </c>
      <c r="W687" s="10">
        <v>1240000</v>
      </c>
      <c r="X687" s="8"/>
      <c r="Y687" s="8"/>
      <c r="Z687" s="8"/>
      <c r="AA687" s="8"/>
      <c r="AB687" s="8"/>
      <c r="AC687" s="8"/>
      <c r="AD687" s="8"/>
      <c r="AE687" s="11">
        <v>0</v>
      </c>
      <c r="AF687" s="12">
        <v>-1240000</v>
      </c>
      <c r="AG687" s="11">
        <v>0</v>
      </c>
      <c r="AH687" s="13">
        <v>1240000</v>
      </c>
      <c r="AI687" s="8"/>
      <c r="AJ687" s="8"/>
      <c r="AK687" s="8"/>
      <c r="AL687" s="8"/>
      <c r="AM687" s="8"/>
      <c r="AN687" s="8"/>
      <c r="AO687" s="8"/>
      <c r="AP687" s="10">
        <v>0</v>
      </c>
      <c r="AQ687" s="10">
        <v>0</v>
      </c>
      <c r="AR687" s="10">
        <v>4060999935.3000002</v>
      </c>
      <c r="AS687" s="10">
        <v>3588249996.9000001</v>
      </c>
      <c r="AT687" s="8"/>
      <c r="AU687" s="8"/>
      <c r="AV687" s="8"/>
      <c r="AW687" s="8"/>
      <c r="AX687" s="8"/>
      <c r="AY687" s="8"/>
      <c r="AZ687" s="8"/>
      <c r="BA687" s="14">
        <v>43465</v>
      </c>
      <c r="BB687" s="14">
        <v>43465</v>
      </c>
      <c r="BC687" s="14">
        <v>42978</v>
      </c>
      <c r="BD687" s="14">
        <v>42735</v>
      </c>
      <c r="BE687" s="8"/>
      <c r="BF687" s="8"/>
      <c r="BG687" s="8"/>
      <c r="BH687" s="8"/>
      <c r="BI687" s="8"/>
      <c r="BJ687" s="8"/>
      <c r="BK687" s="8"/>
      <c r="BL687" s="8" t="s">
        <v>35</v>
      </c>
      <c r="BM687" s="8" t="s">
        <v>35</v>
      </c>
      <c r="BN687" s="8" t="s">
        <v>35</v>
      </c>
      <c r="BO687" s="8" t="s">
        <v>35</v>
      </c>
      <c r="BP687" s="8"/>
      <c r="BQ687" s="8" t="s">
        <v>31</v>
      </c>
      <c r="BR687" s="8" t="s">
        <v>36</v>
      </c>
      <c r="BS687" s="10">
        <v>4347532144018.7998</v>
      </c>
      <c r="BT687" s="8" t="s">
        <v>57</v>
      </c>
      <c r="BU687" s="8"/>
      <c r="BV687" s="8"/>
      <c r="BW687" s="8"/>
      <c r="BX687" s="8"/>
      <c r="BY687" s="8"/>
      <c r="BZ687" s="8"/>
      <c r="CA687" s="8" t="s">
        <v>42</v>
      </c>
      <c r="CB687" s="8" t="s">
        <v>42</v>
      </c>
      <c r="CC687" s="8" t="s">
        <v>27</v>
      </c>
      <c r="CD687" s="8" t="s">
        <v>42</v>
      </c>
      <c r="CE687" s="8"/>
      <c r="CF687" s="8" t="s">
        <v>98</v>
      </c>
      <c r="CG687" s="8" t="s">
        <v>99</v>
      </c>
    </row>
    <row r="688" spans="1:85" ht="15.75" customHeight="1" x14ac:dyDescent="0.35">
      <c r="A688" s="8">
        <v>681</v>
      </c>
      <c r="B688" s="8" t="s">
        <v>922</v>
      </c>
      <c r="C688" s="8"/>
      <c r="D688" s="8"/>
      <c r="E688" s="8"/>
      <c r="F688" s="8"/>
      <c r="G688" s="8"/>
      <c r="H688" s="9">
        <v>0</v>
      </c>
      <c r="I688" s="9">
        <v>0</v>
      </c>
      <c r="J688" s="8"/>
      <c r="K688" s="8"/>
      <c r="L688" s="8"/>
      <c r="M688" s="8"/>
      <c r="N688" s="8"/>
      <c r="O688" s="8"/>
      <c r="P688" s="8"/>
      <c r="Q688" s="8"/>
      <c r="R688" s="8"/>
      <c r="S688" s="10">
        <v>0</v>
      </c>
      <c r="T688" s="10">
        <v>0</v>
      </c>
      <c r="U688" s="8"/>
      <c r="V688" s="8"/>
      <c r="W688" s="8"/>
      <c r="X688" s="8"/>
      <c r="Y688" s="8"/>
      <c r="Z688" s="8"/>
      <c r="AA688" s="8"/>
      <c r="AB688" s="8"/>
      <c r="AC688" s="8"/>
      <c r="AD688" s="11">
        <v>0</v>
      </c>
      <c r="AE688" s="11">
        <v>0</v>
      </c>
      <c r="AF688" s="8"/>
      <c r="AG688" s="8"/>
      <c r="AH688" s="8"/>
      <c r="AI688" s="8"/>
      <c r="AJ688" s="8"/>
      <c r="AK688" s="8"/>
      <c r="AL688" s="8"/>
      <c r="AM688" s="8"/>
      <c r="AN688" s="8"/>
      <c r="AO688" s="10">
        <v>0</v>
      </c>
      <c r="AP688" s="10">
        <v>0</v>
      </c>
      <c r="AQ688" s="8"/>
      <c r="AR688" s="8"/>
      <c r="AS688" s="8"/>
      <c r="AT688" s="8"/>
      <c r="AU688" s="8"/>
      <c r="AV688" s="8"/>
      <c r="AW688" s="8"/>
      <c r="AX688" s="8"/>
      <c r="AY688" s="8"/>
      <c r="AZ688" s="14">
        <v>43830</v>
      </c>
      <c r="BA688" s="14">
        <v>43830</v>
      </c>
      <c r="BB688" s="8"/>
      <c r="BC688" s="8"/>
      <c r="BD688" s="8"/>
      <c r="BE688" s="8"/>
      <c r="BF688" s="8"/>
      <c r="BG688" s="8"/>
      <c r="BH688" s="8"/>
      <c r="BI688" s="8"/>
      <c r="BJ688" s="8"/>
      <c r="BK688" s="8" t="s">
        <v>35</v>
      </c>
      <c r="BL688" s="8" t="s">
        <v>35</v>
      </c>
      <c r="BM688" s="8"/>
      <c r="BN688" s="8"/>
      <c r="BO688" s="8"/>
      <c r="BP688" s="8"/>
      <c r="BQ688" s="8" t="s">
        <v>31</v>
      </c>
      <c r="BR688" s="8" t="s">
        <v>49</v>
      </c>
      <c r="BS688" s="10">
        <v>492136214791762</v>
      </c>
      <c r="BT688" s="8" t="s">
        <v>101</v>
      </c>
      <c r="BU688" s="8"/>
      <c r="BV688" s="8"/>
      <c r="BW688" s="8"/>
      <c r="BX688" s="8"/>
      <c r="BY688" s="8"/>
      <c r="BZ688" s="8" t="s">
        <v>42</v>
      </c>
      <c r="CA688" s="8" t="s">
        <v>42</v>
      </c>
      <c r="CB688" s="8"/>
      <c r="CC688" s="8"/>
      <c r="CD688" s="8"/>
      <c r="CE688" s="8"/>
      <c r="CF688" s="8" t="s">
        <v>50</v>
      </c>
      <c r="CG688" s="8" t="s">
        <v>51</v>
      </c>
    </row>
    <row r="689" spans="1:85" ht="15.75" customHeight="1" x14ac:dyDescent="0.35">
      <c r="A689" s="8">
        <v>682</v>
      </c>
      <c r="B689" s="8" t="s">
        <v>923</v>
      </c>
      <c r="C689" s="8"/>
      <c r="D689" s="8"/>
      <c r="E689" s="8"/>
      <c r="F689" s="9">
        <v>6.9999999999999994E-5</v>
      </c>
      <c r="G689" s="9">
        <v>6.9999999999999994E-5</v>
      </c>
      <c r="H689" s="9">
        <v>3.1999999999999999E-5</v>
      </c>
      <c r="I689" s="9">
        <v>3.6999999999999998E-5</v>
      </c>
      <c r="J689" s="8"/>
      <c r="K689" s="8"/>
      <c r="L689" s="8"/>
      <c r="M689" s="8"/>
      <c r="N689" s="8"/>
      <c r="O689" s="8"/>
      <c r="P689" s="8"/>
      <c r="Q689" s="10">
        <v>6471800</v>
      </c>
      <c r="R689" s="10">
        <v>6471800</v>
      </c>
      <c r="S689" s="10">
        <v>2991800</v>
      </c>
      <c r="T689" s="10">
        <v>3436600</v>
      </c>
      <c r="U689" s="8"/>
      <c r="V689" s="8"/>
      <c r="W689" s="8"/>
      <c r="X689" s="8"/>
      <c r="Y689" s="8"/>
      <c r="Z689" s="8"/>
      <c r="AA689" s="8"/>
      <c r="AB689" s="11">
        <v>0</v>
      </c>
      <c r="AC689" s="13">
        <v>3480000</v>
      </c>
      <c r="AD689" s="12">
        <v>-444800</v>
      </c>
      <c r="AE689" s="13">
        <v>3436600</v>
      </c>
      <c r="AF689" s="8"/>
      <c r="AG689" s="8"/>
      <c r="AH689" s="8"/>
      <c r="AI689" s="8"/>
      <c r="AJ689" s="8"/>
      <c r="AK689" s="8"/>
      <c r="AL689" s="8"/>
      <c r="AM689" s="10">
        <v>19900785009.599998</v>
      </c>
      <c r="AN689" s="10">
        <v>19900785009.599998</v>
      </c>
      <c r="AO689" s="10">
        <v>9461567512.7999992</v>
      </c>
      <c r="AP689" s="10">
        <v>13150056074.4</v>
      </c>
      <c r="AQ689" s="8"/>
      <c r="AR689" s="8"/>
      <c r="AS689" s="8"/>
      <c r="AT689" s="8"/>
      <c r="AU689" s="8"/>
      <c r="AV689" s="8"/>
      <c r="AW689" s="8"/>
      <c r="AX689" s="14">
        <v>44286</v>
      </c>
      <c r="AY689" s="14">
        <v>44286</v>
      </c>
      <c r="AZ689" s="14">
        <v>44196</v>
      </c>
      <c r="BA689" s="14">
        <v>43830</v>
      </c>
      <c r="BB689" s="8"/>
      <c r="BC689" s="8"/>
      <c r="BD689" s="8"/>
      <c r="BE689" s="8"/>
      <c r="BF689" s="8"/>
      <c r="BG689" s="8"/>
      <c r="BH689" s="8"/>
      <c r="BI689" s="8" t="s">
        <v>35</v>
      </c>
      <c r="BJ689" s="8" t="s">
        <v>35</v>
      </c>
      <c r="BK689" s="8" t="s">
        <v>35</v>
      </c>
      <c r="BL689" s="8" t="s">
        <v>35</v>
      </c>
      <c r="BM689" s="8"/>
      <c r="BN689" s="8"/>
      <c r="BO689" s="8"/>
      <c r="BP689" s="8"/>
      <c r="BQ689" s="8" t="s">
        <v>31</v>
      </c>
      <c r="BR689" s="8" t="s">
        <v>36</v>
      </c>
      <c r="BS689" s="10">
        <v>1755691479105.6001</v>
      </c>
      <c r="BT689" s="8"/>
      <c r="BU689" s="8"/>
      <c r="BV689" s="8"/>
      <c r="BW689" s="8"/>
      <c r="BX689" s="8" t="s">
        <v>27</v>
      </c>
      <c r="BY689" s="8" t="s">
        <v>27</v>
      </c>
      <c r="BZ689" s="8" t="s">
        <v>27</v>
      </c>
      <c r="CA689" s="8" t="s">
        <v>42</v>
      </c>
      <c r="CB689" s="8"/>
      <c r="CC689" s="8"/>
      <c r="CD689" s="8"/>
      <c r="CE689" s="8"/>
      <c r="CF689" s="8" t="s">
        <v>262</v>
      </c>
      <c r="CG689" s="8" t="s">
        <v>71</v>
      </c>
    </row>
    <row r="690" spans="1:85" ht="15.75" customHeight="1" x14ac:dyDescent="0.35">
      <c r="A690" s="8">
        <v>683</v>
      </c>
      <c r="B690" s="8" t="s">
        <v>924</v>
      </c>
      <c r="C690" s="8"/>
      <c r="D690" s="8"/>
      <c r="E690" s="8"/>
      <c r="F690" s="8"/>
      <c r="G690" s="8"/>
      <c r="H690" s="9">
        <v>0</v>
      </c>
      <c r="I690" s="9">
        <v>3.0000000000000001E-6</v>
      </c>
      <c r="J690" s="8"/>
      <c r="K690" s="8"/>
      <c r="L690" s="8"/>
      <c r="M690" s="8"/>
      <c r="N690" s="8"/>
      <c r="O690" s="8"/>
      <c r="P690" s="8"/>
      <c r="Q690" s="8"/>
      <c r="R690" s="8"/>
      <c r="S690" s="10">
        <v>0</v>
      </c>
      <c r="T690" s="10">
        <v>246600</v>
      </c>
      <c r="U690" s="8"/>
      <c r="V690" s="8"/>
      <c r="W690" s="8"/>
      <c r="X690" s="8"/>
      <c r="Y690" s="8"/>
      <c r="Z690" s="8"/>
      <c r="AA690" s="8"/>
      <c r="AB690" s="8"/>
      <c r="AC690" s="8"/>
      <c r="AD690" s="12">
        <v>-246600</v>
      </c>
      <c r="AE690" s="13">
        <v>246600</v>
      </c>
      <c r="AF690" s="8"/>
      <c r="AG690" s="8"/>
      <c r="AH690" s="8"/>
      <c r="AI690" s="8"/>
      <c r="AJ690" s="8"/>
      <c r="AK690" s="8"/>
      <c r="AL690" s="8"/>
      <c r="AM690" s="8"/>
      <c r="AN690" s="8"/>
      <c r="AO690" s="10">
        <v>0</v>
      </c>
      <c r="AP690" s="10">
        <v>943608204</v>
      </c>
      <c r="AQ690" s="8"/>
      <c r="AR690" s="8"/>
      <c r="AS690" s="8"/>
      <c r="AT690" s="8"/>
      <c r="AU690" s="8"/>
      <c r="AV690" s="8"/>
      <c r="AW690" s="8"/>
      <c r="AX690" s="8"/>
      <c r="AY690" s="8"/>
      <c r="AZ690" s="14">
        <v>43890</v>
      </c>
      <c r="BA690" s="14">
        <v>43830</v>
      </c>
      <c r="BB690" s="8"/>
      <c r="BC690" s="8"/>
      <c r="BD690" s="8"/>
      <c r="BE690" s="8"/>
      <c r="BF690" s="8"/>
      <c r="BG690" s="8"/>
      <c r="BH690" s="8"/>
      <c r="BI690" s="8"/>
      <c r="BJ690" s="8"/>
      <c r="BK690" s="8" t="s">
        <v>35</v>
      </c>
      <c r="BL690" s="8" t="s">
        <v>35</v>
      </c>
      <c r="BM690" s="8"/>
      <c r="BN690" s="8"/>
      <c r="BO690" s="8"/>
      <c r="BP690" s="8"/>
      <c r="BQ690" s="8" t="s">
        <v>31</v>
      </c>
      <c r="BR690" s="8" t="s">
        <v>36</v>
      </c>
      <c r="BS690" s="10">
        <v>2651878204718.3999</v>
      </c>
      <c r="BT690" s="8" t="s">
        <v>316</v>
      </c>
      <c r="BU690" s="8"/>
      <c r="BV690" s="8"/>
      <c r="BW690" s="8"/>
      <c r="BX690" s="8"/>
      <c r="BY690" s="8"/>
      <c r="BZ690" s="8" t="s">
        <v>42</v>
      </c>
      <c r="CA690" s="8" t="s">
        <v>27</v>
      </c>
      <c r="CB690" s="8"/>
      <c r="CC690" s="8"/>
      <c r="CD690" s="8"/>
      <c r="CE690" s="8"/>
      <c r="CF690" s="8" t="s">
        <v>80</v>
      </c>
      <c r="CG690" s="8" t="s">
        <v>39</v>
      </c>
    </row>
    <row r="691" spans="1:85" ht="15.75" customHeight="1" x14ac:dyDescent="0.35">
      <c r="A691" s="8">
        <v>684</v>
      </c>
      <c r="B691" s="8" t="s">
        <v>925</v>
      </c>
      <c r="C691" s="8"/>
      <c r="D691" s="8"/>
      <c r="E691" s="8"/>
      <c r="F691" s="8"/>
      <c r="G691" s="9">
        <v>2.14E-4</v>
      </c>
      <c r="H691" s="9">
        <v>2.14E-4</v>
      </c>
      <c r="I691" s="9">
        <v>0</v>
      </c>
      <c r="J691" s="8"/>
      <c r="K691" s="8"/>
      <c r="L691" s="8"/>
      <c r="M691" s="8"/>
      <c r="N691" s="8"/>
      <c r="O691" s="8"/>
      <c r="P691" s="8"/>
      <c r="Q691" s="8"/>
      <c r="R691" s="10">
        <v>19766400</v>
      </c>
      <c r="S691" s="10">
        <v>19766400</v>
      </c>
      <c r="T691" s="10">
        <v>0</v>
      </c>
      <c r="U691" s="8"/>
      <c r="V691" s="8"/>
      <c r="W691" s="8"/>
      <c r="X691" s="8"/>
      <c r="Y691" s="8"/>
      <c r="Z691" s="8"/>
      <c r="AA691" s="8"/>
      <c r="AB691" s="8"/>
      <c r="AC691" s="11">
        <v>0</v>
      </c>
      <c r="AD691" s="13">
        <v>19766400</v>
      </c>
      <c r="AE691" s="11">
        <v>0</v>
      </c>
      <c r="AF691" s="8"/>
      <c r="AG691" s="8"/>
      <c r="AH691" s="8"/>
      <c r="AI691" s="8"/>
      <c r="AJ691" s="8"/>
      <c r="AK691" s="8"/>
      <c r="AL691" s="8"/>
      <c r="AM691" s="8"/>
      <c r="AN691" s="10">
        <v>62511239980.800003</v>
      </c>
      <c r="AO691" s="10">
        <v>62511239980.800003</v>
      </c>
      <c r="AP691" s="10">
        <v>0</v>
      </c>
      <c r="AQ691" s="8"/>
      <c r="AR691" s="8"/>
      <c r="AS691" s="8"/>
      <c r="AT691" s="8"/>
      <c r="AU691" s="8"/>
      <c r="AV691" s="8"/>
      <c r="AW691" s="8"/>
      <c r="AX691" s="8"/>
      <c r="AY691" s="14">
        <v>44196</v>
      </c>
      <c r="AZ691" s="14">
        <v>44196</v>
      </c>
      <c r="BA691" s="14">
        <v>43830</v>
      </c>
      <c r="BB691" s="8"/>
      <c r="BC691" s="8"/>
      <c r="BD691" s="8"/>
      <c r="BE691" s="8"/>
      <c r="BF691" s="8"/>
      <c r="BG691" s="8"/>
      <c r="BH691" s="8"/>
      <c r="BI691" s="8"/>
      <c r="BJ691" s="8" t="s">
        <v>35</v>
      </c>
      <c r="BK691" s="8" t="s">
        <v>35</v>
      </c>
      <c r="BL691" s="8" t="s">
        <v>35</v>
      </c>
      <c r="BM691" s="8"/>
      <c r="BN691" s="8"/>
      <c r="BO691" s="8"/>
      <c r="BP691" s="8"/>
      <c r="BQ691" s="8" t="s">
        <v>31</v>
      </c>
      <c r="BR691" s="8" t="s">
        <v>49</v>
      </c>
      <c r="BS691" s="10">
        <v>2058785521514.3999</v>
      </c>
      <c r="BT691" s="8"/>
      <c r="BU691" s="8"/>
      <c r="BV691" s="8"/>
      <c r="BW691" s="8"/>
      <c r="BX691" s="8"/>
      <c r="BY691" s="8"/>
      <c r="BZ691" s="8" t="s">
        <v>27</v>
      </c>
      <c r="CA691" s="8" t="s">
        <v>27</v>
      </c>
      <c r="CB691" s="8"/>
      <c r="CC691" s="8"/>
      <c r="CD691" s="8"/>
      <c r="CE691" s="8"/>
      <c r="CF691" s="8" t="s">
        <v>382</v>
      </c>
      <c r="CG691" s="8" t="s">
        <v>383</v>
      </c>
    </row>
    <row r="692" spans="1:85" ht="15.75" hidden="1" customHeight="1" x14ac:dyDescent="0.35">
      <c r="A692" s="8">
        <v>685</v>
      </c>
      <c r="B692" s="8" t="s">
        <v>926</v>
      </c>
      <c r="C692" s="8"/>
      <c r="D692" s="8"/>
      <c r="E692" s="8"/>
      <c r="F692" s="8"/>
      <c r="G692" s="8"/>
      <c r="H692" s="8"/>
      <c r="I692" s="8"/>
      <c r="J692" s="8"/>
      <c r="K692" s="9">
        <v>2.0999999999999999E-5</v>
      </c>
      <c r="L692" s="9">
        <v>2.0999999999999999E-5</v>
      </c>
      <c r="M692" s="8"/>
      <c r="N692" s="8"/>
      <c r="O692" s="8"/>
      <c r="P692" s="8"/>
      <c r="Q692" s="8"/>
      <c r="R692" s="8"/>
      <c r="S692" s="8"/>
      <c r="T692" s="8"/>
      <c r="U692" s="8"/>
      <c r="V692" s="10">
        <v>1942000</v>
      </c>
      <c r="W692" s="10">
        <v>1942000</v>
      </c>
      <c r="X692" s="8"/>
      <c r="Y692" s="8"/>
      <c r="Z692" s="8"/>
      <c r="AA692" s="8"/>
      <c r="AB692" s="8"/>
      <c r="AC692" s="8"/>
      <c r="AD692" s="8"/>
      <c r="AE692" s="8"/>
      <c r="AF692" s="8"/>
      <c r="AG692" s="11">
        <v>0</v>
      </c>
      <c r="AH692" s="13">
        <v>1942000</v>
      </c>
      <c r="AI692" s="8"/>
      <c r="AJ692" s="8"/>
      <c r="AK692" s="8"/>
      <c r="AL692" s="8"/>
      <c r="AM692" s="8"/>
      <c r="AN692" s="8"/>
      <c r="AO692" s="8"/>
      <c r="AP692" s="8"/>
      <c r="AQ692" s="8"/>
      <c r="AR692" s="10">
        <v>7767999963</v>
      </c>
      <c r="AS692" s="10">
        <v>5619662448</v>
      </c>
      <c r="AT692" s="8"/>
      <c r="AU692" s="8"/>
      <c r="AV692" s="8"/>
      <c r="AW692" s="8"/>
      <c r="AX692" s="8"/>
      <c r="AY692" s="8"/>
      <c r="AZ692" s="8"/>
      <c r="BA692" s="8"/>
      <c r="BB692" s="8"/>
      <c r="BC692" s="14">
        <v>43100</v>
      </c>
      <c r="BD692" s="14">
        <v>42735</v>
      </c>
      <c r="BE692" s="8"/>
      <c r="BF692" s="8"/>
      <c r="BG692" s="8"/>
      <c r="BH692" s="8"/>
      <c r="BI692" s="8"/>
      <c r="BJ692" s="8"/>
      <c r="BK692" s="8"/>
      <c r="BL692" s="8"/>
      <c r="BM692" s="8"/>
      <c r="BN692" s="8" t="s">
        <v>201</v>
      </c>
      <c r="BO692" s="8" t="s">
        <v>201</v>
      </c>
      <c r="BP692" s="8"/>
      <c r="BQ692" s="8" t="s">
        <v>25</v>
      </c>
      <c r="BR692" s="8" t="s">
        <v>202</v>
      </c>
      <c r="BS692" s="10">
        <v>9552565944</v>
      </c>
      <c r="BT692" s="8"/>
      <c r="BU692" s="8"/>
      <c r="BV692" s="8"/>
      <c r="BW692" s="8"/>
      <c r="BX692" s="8"/>
      <c r="BY692" s="8"/>
      <c r="BZ692" s="8"/>
      <c r="CA692" s="8"/>
      <c r="CB692" s="8"/>
      <c r="CC692" s="8" t="s">
        <v>27</v>
      </c>
      <c r="CD692" s="8" t="s">
        <v>27</v>
      </c>
      <c r="CE692" s="8"/>
      <c r="CF692" s="8"/>
      <c r="CG692" s="8" t="s">
        <v>29</v>
      </c>
    </row>
    <row r="693" spans="1:85" ht="15.75" customHeight="1" x14ac:dyDescent="0.35">
      <c r="A693" s="8">
        <v>686</v>
      </c>
      <c r="B693" s="8" t="s">
        <v>927</v>
      </c>
      <c r="C693" s="8"/>
      <c r="D693" s="8"/>
      <c r="E693" s="9">
        <v>1.2999999999999999E-5</v>
      </c>
      <c r="F693" s="9">
        <v>1.2999999999999999E-5</v>
      </c>
      <c r="G693" s="9">
        <v>2.0000000000000002E-5</v>
      </c>
      <c r="H693" s="9">
        <v>1.1E-5</v>
      </c>
      <c r="I693" s="9">
        <v>0</v>
      </c>
      <c r="J693" s="8"/>
      <c r="K693" s="8"/>
      <c r="L693" s="8"/>
      <c r="M693" s="8"/>
      <c r="N693" s="8"/>
      <c r="O693" s="8"/>
      <c r="P693" s="10">
        <v>1220000</v>
      </c>
      <c r="Q693" s="10">
        <v>1220000</v>
      </c>
      <c r="R693" s="10">
        <v>1840000</v>
      </c>
      <c r="S693" s="10">
        <v>1000000</v>
      </c>
      <c r="T693" s="10">
        <v>0</v>
      </c>
      <c r="U693" s="8"/>
      <c r="V693" s="8"/>
      <c r="W693" s="8"/>
      <c r="X693" s="8"/>
      <c r="Y693" s="8"/>
      <c r="Z693" s="8"/>
      <c r="AA693" s="11">
        <v>0</v>
      </c>
      <c r="AB693" s="12">
        <v>-620000</v>
      </c>
      <c r="AC693" s="13">
        <v>840000</v>
      </c>
      <c r="AD693" s="13">
        <v>1000000</v>
      </c>
      <c r="AE693" s="11">
        <v>0</v>
      </c>
      <c r="AF693" s="8"/>
      <c r="AG693" s="8"/>
      <c r="AH693" s="8"/>
      <c r="AI693" s="8"/>
      <c r="AJ693" s="8"/>
      <c r="AK693" s="8"/>
      <c r="AL693" s="10">
        <v>4834250001.8999996</v>
      </c>
      <c r="AM693" s="10">
        <v>4834250001.8999996</v>
      </c>
      <c r="AN693" s="10">
        <v>6439999994.3999996</v>
      </c>
      <c r="AO693" s="10">
        <v>3162500031.5999999</v>
      </c>
      <c r="AP693" s="10">
        <v>0</v>
      </c>
      <c r="AQ693" s="8"/>
      <c r="AR693" s="8"/>
      <c r="AS693" s="8"/>
      <c r="AT693" s="8"/>
      <c r="AU693" s="8"/>
      <c r="AV693" s="8"/>
      <c r="AW693" s="14">
        <v>44742</v>
      </c>
      <c r="AX693" s="14">
        <v>44742</v>
      </c>
      <c r="AY693" s="14">
        <v>44530</v>
      </c>
      <c r="AZ693" s="14">
        <v>44196</v>
      </c>
      <c r="BA693" s="14">
        <v>43799</v>
      </c>
      <c r="BB693" s="8"/>
      <c r="BC693" s="8"/>
      <c r="BD693" s="8"/>
      <c r="BE693" s="8"/>
      <c r="BF693" s="8"/>
      <c r="BG693" s="8"/>
      <c r="BH693" s="8" t="s">
        <v>35</v>
      </c>
      <c r="BI693" s="8" t="s">
        <v>35</v>
      </c>
      <c r="BJ693" s="8" t="s">
        <v>35</v>
      </c>
      <c r="BK693" s="8" t="s">
        <v>35</v>
      </c>
      <c r="BL693" s="8" t="s">
        <v>35</v>
      </c>
      <c r="BM693" s="8"/>
      <c r="BN693" s="8"/>
      <c r="BO693" s="8"/>
      <c r="BP693" s="8"/>
      <c r="BQ693" s="8" t="s">
        <v>31</v>
      </c>
      <c r="BR693" s="8" t="s">
        <v>36</v>
      </c>
      <c r="BS693" s="10">
        <v>7481794835680.7998</v>
      </c>
      <c r="BT693" s="8"/>
      <c r="BU693" s="8"/>
      <c r="BV693" s="8"/>
      <c r="BW693" s="8" t="s">
        <v>43</v>
      </c>
      <c r="BX693" s="8" t="s">
        <v>27</v>
      </c>
      <c r="BY693" s="8" t="s">
        <v>27</v>
      </c>
      <c r="BZ693" s="8" t="s">
        <v>42</v>
      </c>
      <c r="CA693" s="8" t="s">
        <v>27</v>
      </c>
      <c r="CB693" s="8"/>
      <c r="CC693" s="8"/>
      <c r="CD693" s="8"/>
      <c r="CE693" s="8"/>
      <c r="CF693" s="8" t="s">
        <v>928</v>
      </c>
      <c r="CG693" s="8" t="s">
        <v>929</v>
      </c>
    </row>
    <row r="694" spans="1:85" ht="15.75" customHeight="1" x14ac:dyDescent="0.35">
      <c r="A694" s="8">
        <v>687</v>
      </c>
      <c r="B694" s="8" t="s">
        <v>930</v>
      </c>
      <c r="C694" s="8"/>
      <c r="D694" s="8"/>
      <c r="E694" s="8"/>
      <c r="F694" s="8"/>
      <c r="G694" s="8"/>
      <c r="H694" s="8"/>
      <c r="I694" s="8"/>
      <c r="J694" s="8"/>
      <c r="K694" s="9">
        <v>0</v>
      </c>
      <c r="L694" s="9">
        <v>0</v>
      </c>
      <c r="M694" s="8"/>
      <c r="N694" s="8"/>
      <c r="O694" s="8"/>
      <c r="P694" s="8"/>
      <c r="Q694" s="8"/>
      <c r="R694" s="8"/>
      <c r="S694" s="8"/>
      <c r="T694" s="8"/>
      <c r="U694" s="8"/>
      <c r="V694" s="10">
        <v>0</v>
      </c>
      <c r="W694" s="10">
        <v>0</v>
      </c>
      <c r="X694" s="8"/>
      <c r="Y694" s="8"/>
      <c r="Z694" s="8"/>
      <c r="AA694" s="8"/>
      <c r="AB694" s="8"/>
      <c r="AC694" s="8"/>
      <c r="AD694" s="8"/>
      <c r="AE694" s="8"/>
      <c r="AF694" s="8"/>
      <c r="AG694" s="11">
        <v>0</v>
      </c>
      <c r="AH694" s="11">
        <v>0</v>
      </c>
      <c r="AI694" s="8"/>
      <c r="AJ694" s="8"/>
      <c r="AK694" s="8"/>
      <c r="AL694" s="8"/>
      <c r="AM694" s="8"/>
      <c r="AN694" s="8"/>
      <c r="AO694" s="8"/>
      <c r="AP694" s="8"/>
      <c r="AQ694" s="8"/>
      <c r="AR694" s="10">
        <v>0</v>
      </c>
      <c r="AS694" s="10">
        <v>0</v>
      </c>
      <c r="AT694" s="8"/>
      <c r="AU694" s="8"/>
      <c r="AV694" s="8"/>
      <c r="AW694" s="8"/>
      <c r="AX694" s="8"/>
      <c r="AY694" s="8"/>
      <c r="AZ694" s="8"/>
      <c r="BA694" s="8"/>
      <c r="BB694" s="8"/>
      <c r="BC694" s="14">
        <v>42735</v>
      </c>
      <c r="BD694" s="14">
        <v>42735</v>
      </c>
      <c r="BE694" s="8"/>
      <c r="BF694" s="8"/>
      <c r="BG694" s="8"/>
      <c r="BH694" s="8"/>
      <c r="BI694" s="8"/>
      <c r="BJ694" s="8"/>
      <c r="BK694" s="8"/>
      <c r="BL694" s="8"/>
      <c r="BM694" s="8"/>
      <c r="BN694" s="8" t="s">
        <v>35</v>
      </c>
      <c r="BO694" s="8" t="s">
        <v>35</v>
      </c>
      <c r="BP694" s="8"/>
      <c r="BQ694" s="8" t="s">
        <v>31</v>
      </c>
      <c r="BR694" s="8" t="s">
        <v>36</v>
      </c>
      <c r="BS694" s="10">
        <v>1600140258435.6001</v>
      </c>
      <c r="BT694" s="8" t="s">
        <v>57</v>
      </c>
      <c r="BU694" s="8"/>
      <c r="BV694" s="8"/>
      <c r="BW694" s="8"/>
      <c r="BX694" s="8"/>
      <c r="BY694" s="8"/>
      <c r="BZ694" s="8"/>
      <c r="CA694" s="8"/>
      <c r="CB694" s="8"/>
      <c r="CC694" s="8" t="s">
        <v>42</v>
      </c>
      <c r="CD694" s="8" t="s">
        <v>42</v>
      </c>
      <c r="CE694" s="8"/>
      <c r="CF694" s="8" t="s">
        <v>492</v>
      </c>
      <c r="CG694" s="8" t="s">
        <v>71</v>
      </c>
    </row>
    <row r="695" spans="1:85" ht="15.75" customHeight="1" x14ac:dyDescent="0.35">
      <c r="A695" s="8">
        <v>688</v>
      </c>
      <c r="B695" s="8" t="s">
        <v>931</v>
      </c>
      <c r="C695" s="8"/>
      <c r="D695" s="8"/>
      <c r="E695" s="8"/>
      <c r="F695" s="8"/>
      <c r="G695" s="8"/>
      <c r="H695" s="9">
        <v>0</v>
      </c>
      <c r="I695" s="9">
        <v>0</v>
      </c>
      <c r="J695" s="9">
        <v>2.1999999999999999E-5</v>
      </c>
      <c r="K695" s="8"/>
      <c r="L695" s="8"/>
      <c r="M695" s="8"/>
      <c r="N695" s="8"/>
      <c r="O695" s="8"/>
      <c r="P695" s="8"/>
      <c r="Q695" s="8"/>
      <c r="R695" s="8"/>
      <c r="S695" s="10">
        <v>0</v>
      </c>
      <c r="T695" s="10">
        <v>0</v>
      </c>
      <c r="U695" s="10">
        <v>2011800</v>
      </c>
      <c r="V695" s="8"/>
      <c r="W695" s="8"/>
      <c r="X695" s="8"/>
      <c r="Y695" s="8"/>
      <c r="Z695" s="8"/>
      <c r="AA695" s="8"/>
      <c r="AB695" s="8"/>
      <c r="AC695" s="8"/>
      <c r="AD695" s="11">
        <v>0</v>
      </c>
      <c r="AE695" s="12">
        <v>-2011800</v>
      </c>
      <c r="AF695" s="13">
        <v>2011800</v>
      </c>
      <c r="AG695" s="8"/>
      <c r="AH695" s="8"/>
      <c r="AI695" s="8"/>
      <c r="AJ695" s="8"/>
      <c r="AK695" s="8"/>
      <c r="AL695" s="8"/>
      <c r="AM695" s="8"/>
      <c r="AN695" s="8"/>
      <c r="AO695" s="10">
        <v>0</v>
      </c>
      <c r="AP695" s="10">
        <v>0</v>
      </c>
      <c r="AQ695" s="10">
        <v>7326768593.75</v>
      </c>
      <c r="AR695" s="8"/>
      <c r="AS695" s="8"/>
      <c r="AT695" s="8"/>
      <c r="AU695" s="8"/>
      <c r="AV695" s="8"/>
      <c r="AW695" s="8"/>
      <c r="AX695" s="8"/>
      <c r="AY695" s="8"/>
      <c r="AZ695" s="14">
        <v>43830</v>
      </c>
      <c r="BA695" s="14">
        <v>43830</v>
      </c>
      <c r="BB695" s="14">
        <v>43465</v>
      </c>
      <c r="BC695" s="8"/>
      <c r="BD695" s="8"/>
      <c r="BE695" s="8"/>
      <c r="BF695" s="8"/>
      <c r="BG695" s="8"/>
      <c r="BH695" s="8"/>
      <c r="BI695" s="8"/>
      <c r="BJ695" s="8"/>
      <c r="BK695" s="8" t="s">
        <v>35</v>
      </c>
      <c r="BL695" s="8" t="s">
        <v>35</v>
      </c>
      <c r="BM695" s="8" t="s">
        <v>35</v>
      </c>
      <c r="BN695" s="8"/>
      <c r="BO695" s="8"/>
      <c r="BP695" s="8"/>
      <c r="BQ695" s="8" t="s">
        <v>31</v>
      </c>
      <c r="BR695" s="8" t="s">
        <v>36</v>
      </c>
      <c r="BS695" s="10">
        <v>29947068116857.199</v>
      </c>
      <c r="BT695" s="8" t="s">
        <v>61</v>
      </c>
      <c r="BU695" s="8"/>
      <c r="BV695" s="8"/>
      <c r="BW695" s="8"/>
      <c r="BX695" s="8"/>
      <c r="BY695" s="8"/>
      <c r="BZ695" s="8" t="s">
        <v>42</v>
      </c>
      <c r="CA695" s="8" t="s">
        <v>42</v>
      </c>
      <c r="CB695" s="8" t="s">
        <v>42</v>
      </c>
      <c r="CC695" s="8"/>
      <c r="CD695" s="8"/>
      <c r="CE695" s="8"/>
      <c r="CF695" s="8" t="s">
        <v>492</v>
      </c>
      <c r="CG695" s="8" t="s">
        <v>71</v>
      </c>
    </row>
    <row r="696" spans="1:85" ht="15.75" hidden="1" customHeight="1" x14ac:dyDescent="0.35">
      <c r="A696" s="8">
        <v>689</v>
      </c>
      <c r="B696" s="8" t="s">
        <v>932</v>
      </c>
      <c r="C696" s="8"/>
      <c r="D696" s="8"/>
      <c r="E696" s="8"/>
      <c r="F696" s="8"/>
      <c r="G696" s="9">
        <v>0</v>
      </c>
      <c r="H696" s="9">
        <v>0</v>
      </c>
      <c r="I696" s="8"/>
      <c r="J696" s="8"/>
      <c r="K696" s="8"/>
      <c r="L696" s="8"/>
      <c r="M696" s="8"/>
      <c r="N696" s="8"/>
      <c r="O696" s="8"/>
      <c r="P696" s="8"/>
      <c r="Q696" s="8"/>
      <c r="R696" s="10">
        <v>0</v>
      </c>
      <c r="S696" s="10">
        <v>0</v>
      </c>
      <c r="T696" s="8"/>
      <c r="U696" s="8"/>
      <c r="V696" s="8"/>
      <c r="W696" s="8"/>
      <c r="X696" s="8"/>
      <c r="Y696" s="8"/>
      <c r="Z696" s="8"/>
      <c r="AA696" s="8"/>
      <c r="AB696" s="8"/>
      <c r="AC696" s="11">
        <v>0</v>
      </c>
      <c r="AD696" s="11">
        <v>0</v>
      </c>
      <c r="AE696" s="8"/>
      <c r="AF696" s="8"/>
      <c r="AG696" s="8"/>
      <c r="AH696" s="8"/>
      <c r="AI696" s="8"/>
      <c r="AJ696" s="8"/>
      <c r="AK696" s="8"/>
      <c r="AL696" s="8"/>
      <c r="AM696" s="8"/>
      <c r="AN696" s="10">
        <v>0</v>
      </c>
      <c r="AO696" s="10">
        <v>0</v>
      </c>
      <c r="AP696" s="8"/>
      <c r="AQ696" s="8"/>
      <c r="AR696" s="8"/>
      <c r="AS696" s="8"/>
      <c r="AT696" s="8"/>
      <c r="AU696" s="8"/>
      <c r="AV696" s="8"/>
      <c r="AW696" s="8"/>
      <c r="AX696" s="8"/>
      <c r="AY696" s="14">
        <v>44104</v>
      </c>
      <c r="AZ696" s="14">
        <v>44104</v>
      </c>
      <c r="BA696" s="8"/>
      <c r="BB696" s="8"/>
      <c r="BC696" s="8"/>
      <c r="BD696" s="8"/>
      <c r="BE696" s="8"/>
      <c r="BF696" s="8"/>
      <c r="BG696" s="8"/>
      <c r="BH696" s="8"/>
      <c r="BI696" s="8"/>
      <c r="BJ696" s="8" t="s">
        <v>35</v>
      </c>
      <c r="BK696" s="8" t="s">
        <v>35</v>
      </c>
      <c r="BL696" s="8"/>
      <c r="BM696" s="8"/>
      <c r="BN696" s="8"/>
      <c r="BO696" s="8"/>
      <c r="BP696" s="8"/>
      <c r="BQ696" s="8" t="s">
        <v>25</v>
      </c>
      <c r="BR696" s="8" t="s">
        <v>933</v>
      </c>
      <c r="BS696" s="10">
        <v>142670781319244</v>
      </c>
      <c r="BT696" s="8"/>
      <c r="BU696" s="8"/>
      <c r="BV696" s="8"/>
      <c r="BW696" s="8"/>
      <c r="BX696" s="8"/>
      <c r="BY696" s="8" t="s">
        <v>27</v>
      </c>
      <c r="BZ696" s="8" t="s">
        <v>27</v>
      </c>
      <c r="CA696" s="8"/>
      <c r="CB696" s="8"/>
      <c r="CC696" s="8"/>
      <c r="CD696" s="8"/>
      <c r="CE696" s="8"/>
      <c r="CF696" s="8" t="s">
        <v>313</v>
      </c>
      <c r="CG696" s="8" t="s">
        <v>39</v>
      </c>
    </row>
    <row r="697" spans="1:85" ht="15.75" customHeight="1" x14ac:dyDescent="0.35">
      <c r="A697" s="8">
        <v>690</v>
      </c>
      <c r="B697" s="8" t="s">
        <v>934</v>
      </c>
      <c r="C697" s="8"/>
      <c r="D697" s="8"/>
      <c r="E697" s="8"/>
      <c r="F697" s="8"/>
      <c r="G697" s="8"/>
      <c r="H697" s="9">
        <v>0</v>
      </c>
      <c r="I697" s="9">
        <v>0</v>
      </c>
      <c r="J697" s="9">
        <v>4.3000000000000002E-5</v>
      </c>
      <c r="K697" s="9">
        <v>0</v>
      </c>
      <c r="L697" s="9">
        <v>0</v>
      </c>
      <c r="M697" s="9">
        <v>6.4999999999999994E-5</v>
      </c>
      <c r="N697" s="8"/>
      <c r="O697" s="8"/>
      <c r="P697" s="8"/>
      <c r="Q697" s="8"/>
      <c r="R697" s="8"/>
      <c r="S697" s="10">
        <v>0</v>
      </c>
      <c r="T697" s="10">
        <v>0</v>
      </c>
      <c r="U697" s="10">
        <v>4000000</v>
      </c>
      <c r="V697" s="10">
        <v>0</v>
      </c>
      <c r="W697" s="10">
        <v>0</v>
      </c>
      <c r="X697" s="10">
        <v>6000000</v>
      </c>
      <c r="Y697" s="8"/>
      <c r="Z697" s="8"/>
      <c r="AA697" s="8"/>
      <c r="AB697" s="8"/>
      <c r="AC697" s="8"/>
      <c r="AD697" s="11">
        <v>0</v>
      </c>
      <c r="AE697" s="12">
        <v>-4000000</v>
      </c>
      <c r="AF697" s="13">
        <v>4000000</v>
      </c>
      <c r="AG697" s="11">
        <v>0</v>
      </c>
      <c r="AH697" s="12">
        <v>-6000000</v>
      </c>
      <c r="AI697" s="13">
        <v>6000000</v>
      </c>
      <c r="AJ697" s="8"/>
      <c r="AK697" s="8"/>
      <c r="AL697" s="8"/>
      <c r="AM697" s="8"/>
      <c r="AN697" s="8"/>
      <c r="AO697" s="10">
        <v>0</v>
      </c>
      <c r="AP697" s="10">
        <v>0</v>
      </c>
      <c r="AQ697" s="10">
        <v>14567588487.5</v>
      </c>
      <c r="AR697" s="10">
        <v>0</v>
      </c>
      <c r="AS697" s="10">
        <v>0</v>
      </c>
      <c r="AT697" s="10">
        <v>13880034479.25</v>
      </c>
      <c r="AU697" s="8"/>
      <c r="AV697" s="8"/>
      <c r="AW697" s="8"/>
      <c r="AX697" s="8"/>
      <c r="AY697" s="8"/>
      <c r="AZ697" s="14">
        <v>43708</v>
      </c>
      <c r="BA697" s="14">
        <v>43708</v>
      </c>
      <c r="BB697" s="14">
        <v>43465</v>
      </c>
      <c r="BC697" s="14">
        <v>42643</v>
      </c>
      <c r="BD697" s="14">
        <v>42643</v>
      </c>
      <c r="BE697" s="14">
        <v>42369</v>
      </c>
      <c r="BF697" s="8"/>
      <c r="BG697" s="8"/>
      <c r="BH697" s="8"/>
      <c r="BI697" s="8"/>
      <c r="BJ697" s="8"/>
      <c r="BK697" s="8" t="s">
        <v>35</v>
      </c>
      <c r="BL697" s="8" t="s">
        <v>35</v>
      </c>
      <c r="BM697" s="8" t="s">
        <v>35</v>
      </c>
      <c r="BN697" s="8" t="s">
        <v>35</v>
      </c>
      <c r="BO697" s="8" t="s">
        <v>35</v>
      </c>
      <c r="BP697" s="8" t="s">
        <v>35</v>
      </c>
      <c r="BQ697" s="8" t="s">
        <v>31</v>
      </c>
      <c r="BR697" s="8" t="s">
        <v>36</v>
      </c>
      <c r="BS697" s="10">
        <v>107570577004.8</v>
      </c>
      <c r="BT697" s="8"/>
      <c r="BU697" s="8"/>
      <c r="BV697" s="8"/>
      <c r="BW697" s="8"/>
      <c r="BX697" s="8"/>
      <c r="BY697" s="8"/>
      <c r="BZ697" s="8" t="s">
        <v>43</v>
      </c>
      <c r="CA697" s="8" t="s">
        <v>43</v>
      </c>
      <c r="CB697" s="8" t="s">
        <v>43</v>
      </c>
      <c r="CC697" s="8" t="s">
        <v>43</v>
      </c>
      <c r="CD697" s="8" t="s">
        <v>43</v>
      </c>
      <c r="CE697" s="8" t="s">
        <v>43</v>
      </c>
      <c r="CF697" s="8" t="s">
        <v>95</v>
      </c>
      <c r="CG697" s="8" t="s">
        <v>96</v>
      </c>
    </row>
    <row r="698" spans="1:85" ht="15.75" customHeight="1" x14ac:dyDescent="0.35">
      <c r="A698" s="8">
        <v>691</v>
      </c>
      <c r="B698" s="8" t="s">
        <v>935</v>
      </c>
      <c r="C698" s="8"/>
      <c r="D698" s="8"/>
      <c r="E698" s="8"/>
      <c r="F698" s="8"/>
      <c r="G698" s="8"/>
      <c r="H698" s="8"/>
      <c r="I698" s="8"/>
      <c r="J698" s="8"/>
      <c r="K698" s="9">
        <v>0</v>
      </c>
      <c r="L698" s="9">
        <v>0</v>
      </c>
      <c r="M698" s="9">
        <v>0</v>
      </c>
      <c r="N698" s="8"/>
      <c r="O698" s="8"/>
      <c r="P698" s="8"/>
      <c r="Q698" s="8"/>
      <c r="R698" s="8"/>
      <c r="S698" s="8"/>
      <c r="T698" s="8"/>
      <c r="U698" s="8"/>
      <c r="V698" s="10">
        <v>16856</v>
      </c>
      <c r="W698" s="10">
        <v>16856</v>
      </c>
      <c r="X698" s="10">
        <v>16856</v>
      </c>
      <c r="Y698" s="8"/>
      <c r="Z698" s="8"/>
      <c r="AA698" s="8"/>
      <c r="AB698" s="8"/>
      <c r="AC698" s="8"/>
      <c r="AD698" s="8"/>
      <c r="AE698" s="8"/>
      <c r="AF698" s="8"/>
      <c r="AG698" s="11">
        <v>0</v>
      </c>
      <c r="AH698" s="11">
        <v>0</v>
      </c>
      <c r="AI698" s="11">
        <v>0</v>
      </c>
      <c r="AJ698" s="8"/>
      <c r="AK698" s="8"/>
      <c r="AL698" s="8"/>
      <c r="AM698" s="8"/>
      <c r="AN698" s="8"/>
      <c r="AO698" s="8"/>
      <c r="AP698" s="8"/>
      <c r="AQ698" s="8"/>
      <c r="AR698" s="10">
        <v>40138320.799999997</v>
      </c>
      <c r="AS698" s="10">
        <v>40138320.799999997</v>
      </c>
      <c r="AT698" s="10">
        <v>38993629.5</v>
      </c>
      <c r="AU698" s="8"/>
      <c r="AV698" s="8"/>
      <c r="AW698" s="8"/>
      <c r="AX698" s="8"/>
      <c r="AY698" s="8"/>
      <c r="AZ698" s="8"/>
      <c r="BA698" s="8"/>
      <c r="BB698" s="8"/>
      <c r="BC698" s="14">
        <v>42551</v>
      </c>
      <c r="BD698" s="14">
        <v>42551</v>
      </c>
      <c r="BE698" s="14">
        <v>42369</v>
      </c>
      <c r="BF698" s="8"/>
      <c r="BG698" s="8"/>
      <c r="BH698" s="8"/>
      <c r="BI698" s="8"/>
      <c r="BJ698" s="8"/>
      <c r="BK698" s="8"/>
      <c r="BL698" s="8"/>
      <c r="BM698" s="8"/>
      <c r="BN698" s="8" t="s">
        <v>35</v>
      </c>
      <c r="BO698" s="8" t="s">
        <v>35</v>
      </c>
      <c r="BP698" s="8" t="s">
        <v>35</v>
      </c>
      <c r="BQ698" s="8" t="s">
        <v>31</v>
      </c>
      <c r="BR698" s="8" t="s">
        <v>49</v>
      </c>
      <c r="BS698" s="10">
        <v>126591302088</v>
      </c>
      <c r="BT698" s="8" t="s">
        <v>101</v>
      </c>
      <c r="BU698" s="8"/>
      <c r="BV698" s="8"/>
      <c r="BW698" s="8"/>
      <c r="BX698" s="8"/>
      <c r="BY698" s="8"/>
      <c r="BZ698" s="8"/>
      <c r="CA698" s="8"/>
      <c r="CB698" s="8"/>
      <c r="CC698" s="8" t="s">
        <v>27</v>
      </c>
      <c r="CD698" s="8" t="s">
        <v>42</v>
      </c>
      <c r="CE698" s="8" t="s">
        <v>27</v>
      </c>
      <c r="CF698" s="8" t="s">
        <v>750</v>
      </c>
      <c r="CG698" s="8" t="s">
        <v>115</v>
      </c>
    </row>
    <row r="699" spans="1:85" ht="15.75" customHeight="1" x14ac:dyDescent="0.35">
      <c r="A699" s="8">
        <v>692</v>
      </c>
      <c r="B699" s="8" t="s">
        <v>936</v>
      </c>
      <c r="C699" s="8"/>
      <c r="D699" s="8"/>
      <c r="E699" s="8"/>
      <c r="F699" s="8"/>
      <c r="G699" s="8"/>
      <c r="H699" s="8"/>
      <c r="I699" s="8"/>
      <c r="J699" s="9">
        <v>9.9999999999999995E-7</v>
      </c>
      <c r="K699" s="9">
        <v>9.9999999999999995E-7</v>
      </c>
      <c r="L699" s="8"/>
      <c r="M699" s="8"/>
      <c r="N699" s="8"/>
      <c r="O699" s="8"/>
      <c r="P699" s="8"/>
      <c r="Q699" s="8"/>
      <c r="R699" s="8"/>
      <c r="S699" s="8"/>
      <c r="T699" s="8"/>
      <c r="U699" s="10">
        <v>86126</v>
      </c>
      <c r="V699" s="10">
        <v>86126</v>
      </c>
      <c r="W699" s="8"/>
      <c r="X699" s="8"/>
      <c r="Y699" s="8"/>
      <c r="Z699" s="8"/>
      <c r="AA699" s="8"/>
      <c r="AB699" s="8"/>
      <c r="AC699" s="8"/>
      <c r="AD699" s="8"/>
      <c r="AE699" s="8"/>
      <c r="AF699" s="11">
        <v>0</v>
      </c>
      <c r="AG699" s="13">
        <v>86126</v>
      </c>
      <c r="AH699" s="8"/>
      <c r="AI699" s="8"/>
      <c r="AJ699" s="8"/>
      <c r="AK699" s="8"/>
      <c r="AL699" s="8"/>
      <c r="AM699" s="8"/>
      <c r="AN699" s="8"/>
      <c r="AO699" s="8"/>
      <c r="AP699" s="8"/>
      <c r="AQ699" s="10">
        <v>344504065.10000002</v>
      </c>
      <c r="AR699" s="10">
        <v>344504065.10000002</v>
      </c>
      <c r="AS699" s="8"/>
      <c r="AT699" s="8"/>
      <c r="AU699" s="8"/>
      <c r="AV699" s="8"/>
      <c r="AW699" s="8"/>
      <c r="AX699" s="8"/>
      <c r="AY699" s="8"/>
      <c r="AZ699" s="8"/>
      <c r="BA699" s="8"/>
      <c r="BB699" s="14">
        <v>43100</v>
      </c>
      <c r="BC699" s="14">
        <v>43100</v>
      </c>
      <c r="BD699" s="8"/>
      <c r="BE699" s="8"/>
      <c r="BF699" s="8"/>
      <c r="BG699" s="8"/>
      <c r="BH699" s="8"/>
      <c r="BI699" s="8"/>
      <c r="BJ699" s="8"/>
      <c r="BK699" s="8"/>
      <c r="BL699" s="8"/>
      <c r="BM699" s="8" t="s">
        <v>35</v>
      </c>
      <c r="BN699" s="8" t="s">
        <v>35</v>
      </c>
      <c r="BO699" s="8"/>
      <c r="BP699" s="8"/>
      <c r="BQ699" s="8" t="s">
        <v>31</v>
      </c>
      <c r="BR699" s="8" t="s">
        <v>36</v>
      </c>
      <c r="BS699" s="10">
        <v>47555657658835.203</v>
      </c>
      <c r="BT699" s="8" t="s">
        <v>46</v>
      </c>
      <c r="BU699" s="8"/>
      <c r="BV699" s="8"/>
      <c r="BW699" s="8"/>
      <c r="BX699" s="8"/>
      <c r="BY699" s="8"/>
      <c r="BZ699" s="8"/>
      <c r="CA699" s="8"/>
      <c r="CB699" s="8" t="s">
        <v>27</v>
      </c>
      <c r="CC699" s="8" t="s">
        <v>27</v>
      </c>
      <c r="CD699" s="8"/>
      <c r="CE699" s="8"/>
      <c r="CF699" s="8" t="s">
        <v>739</v>
      </c>
      <c r="CG699" s="8" t="s">
        <v>39</v>
      </c>
    </row>
    <row r="700" spans="1:85" ht="15.75" customHeight="1" x14ac:dyDescent="0.35">
      <c r="A700" s="8">
        <v>693</v>
      </c>
      <c r="B700" s="8" t="s">
        <v>937</v>
      </c>
      <c r="C700" s="8"/>
      <c r="D700" s="8"/>
      <c r="E700" s="9">
        <v>9.9999999999999995E-7</v>
      </c>
      <c r="F700" s="9">
        <v>9.9999999999999995E-7</v>
      </c>
      <c r="G700" s="9">
        <v>9.9999999999999995E-7</v>
      </c>
      <c r="H700" s="9">
        <v>9.9999999999999995E-7</v>
      </c>
      <c r="I700" s="9">
        <v>1.9999999999999999E-6</v>
      </c>
      <c r="J700" s="9">
        <v>1.9999999999999999E-6</v>
      </c>
      <c r="K700" s="8"/>
      <c r="L700" s="8"/>
      <c r="M700" s="8"/>
      <c r="N700" s="8"/>
      <c r="O700" s="8"/>
      <c r="P700" s="10">
        <v>62070</v>
      </c>
      <c r="Q700" s="10">
        <v>62070</v>
      </c>
      <c r="R700" s="10">
        <v>95794</v>
      </c>
      <c r="S700" s="10">
        <v>91444</v>
      </c>
      <c r="T700" s="10">
        <v>141316</v>
      </c>
      <c r="U700" s="10">
        <v>141316</v>
      </c>
      <c r="V700" s="8"/>
      <c r="W700" s="8"/>
      <c r="X700" s="8"/>
      <c r="Y700" s="8"/>
      <c r="Z700" s="8"/>
      <c r="AA700" s="11">
        <v>0</v>
      </c>
      <c r="AB700" s="12">
        <v>-33724</v>
      </c>
      <c r="AC700" s="13">
        <v>4350</v>
      </c>
      <c r="AD700" s="12">
        <v>-49872</v>
      </c>
      <c r="AE700" s="11">
        <v>0</v>
      </c>
      <c r="AF700" s="13">
        <v>141316</v>
      </c>
      <c r="AG700" s="8"/>
      <c r="AH700" s="8"/>
      <c r="AI700" s="8"/>
      <c r="AJ700" s="8"/>
      <c r="AK700" s="8"/>
      <c r="AL700" s="10">
        <v>263797543.80000001</v>
      </c>
      <c r="AM700" s="10">
        <v>263797543.80000001</v>
      </c>
      <c r="AN700" s="10">
        <v>336122587.5</v>
      </c>
      <c r="AO700" s="10">
        <v>289191708</v>
      </c>
      <c r="AP700" s="10">
        <v>540741759.20000005</v>
      </c>
      <c r="AQ700" s="10">
        <v>514658350</v>
      </c>
      <c r="AR700" s="8"/>
      <c r="AS700" s="8"/>
      <c r="AT700" s="8"/>
      <c r="AU700" s="8"/>
      <c r="AV700" s="8"/>
      <c r="AW700" s="14">
        <v>44712</v>
      </c>
      <c r="AX700" s="14">
        <v>44712</v>
      </c>
      <c r="AY700" s="14">
        <v>44561</v>
      </c>
      <c r="AZ700" s="14">
        <v>44196</v>
      </c>
      <c r="BA700" s="14">
        <v>43830</v>
      </c>
      <c r="BB700" s="14">
        <v>43465</v>
      </c>
      <c r="BC700" s="8"/>
      <c r="BD700" s="8"/>
      <c r="BE700" s="8"/>
      <c r="BF700" s="8"/>
      <c r="BG700" s="8"/>
      <c r="BH700" s="8" t="s">
        <v>35</v>
      </c>
      <c r="BI700" s="8" t="s">
        <v>35</v>
      </c>
      <c r="BJ700" s="8" t="s">
        <v>35</v>
      </c>
      <c r="BK700" s="8" t="s">
        <v>35</v>
      </c>
      <c r="BL700" s="8" t="s">
        <v>35</v>
      </c>
      <c r="BM700" s="8" t="s">
        <v>35</v>
      </c>
      <c r="BN700" s="8"/>
      <c r="BO700" s="8"/>
      <c r="BP700" s="8"/>
      <c r="BQ700" s="8" t="s">
        <v>31</v>
      </c>
      <c r="BR700" s="8" t="s">
        <v>36</v>
      </c>
      <c r="BS700" s="10">
        <v>841815742970633</v>
      </c>
      <c r="BT700" s="8" t="s">
        <v>46</v>
      </c>
      <c r="BU700" s="8"/>
      <c r="BV700" s="8"/>
      <c r="BW700" s="8" t="s">
        <v>27</v>
      </c>
      <c r="BX700" s="8" t="s">
        <v>27</v>
      </c>
      <c r="BY700" s="8" t="s">
        <v>27</v>
      </c>
      <c r="BZ700" s="8" t="s">
        <v>27</v>
      </c>
      <c r="CA700" s="8" t="s">
        <v>27</v>
      </c>
      <c r="CB700" s="8" t="s">
        <v>27</v>
      </c>
      <c r="CC700" s="8"/>
      <c r="CD700" s="8"/>
      <c r="CE700" s="8"/>
      <c r="CF700" s="8" t="s">
        <v>739</v>
      </c>
      <c r="CG700" s="8" t="s">
        <v>39</v>
      </c>
    </row>
    <row r="701" spans="1:85" ht="15.75" customHeight="1" x14ac:dyDescent="0.35">
      <c r="A701" s="8">
        <v>694</v>
      </c>
      <c r="B701" s="8" t="s">
        <v>938</v>
      </c>
      <c r="C701" s="8"/>
      <c r="D701" s="8"/>
      <c r="E701" s="9">
        <v>2.869E-3</v>
      </c>
      <c r="F701" s="9">
        <v>3.202E-3</v>
      </c>
      <c r="G701" s="9">
        <v>3.8649999999999999E-3</v>
      </c>
      <c r="H701" s="9">
        <v>3.326E-3</v>
      </c>
      <c r="I701" s="8"/>
      <c r="J701" s="8"/>
      <c r="K701" s="8"/>
      <c r="L701" s="8"/>
      <c r="M701" s="8"/>
      <c r="N701" s="8"/>
      <c r="O701" s="8"/>
      <c r="P701" s="10">
        <v>265095500</v>
      </c>
      <c r="Q701" s="10">
        <v>295864000</v>
      </c>
      <c r="R701" s="10">
        <v>357087000</v>
      </c>
      <c r="S701" s="10">
        <v>307287400</v>
      </c>
      <c r="T701" s="8"/>
      <c r="U701" s="8"/>
      <c r="V701" s="8"/>
      <c r="W701" s="8"/>
      <c r="X701" s="8"/>
      <c r="Y701" s="8"/>
      <c r="Z701" s="8"/>
      <c r="AA701" s="12">
        <v>-30768500</v>
      </c>
      <c r="AB701" s="12">
        <v>-61223000</v>
      </c>
      <c r="AC701" s="13">
        <v>49799600</v>
      </c>
      <c r="AD701" s="13">
        <v>307287400</v>
      </c>
      <c r="AE701" s="8"/>
      <c r="AF701" s="8"/>
      <c r="AG701" s="8"/>
      <c r="AH701" s="8"/>
      <c r="AI701" s="8"/>
      <c r="AJ701" s="8"/>
      <c r="AK701" s="8"/>
      <c r="AL701" s="10">
        <v>1603827773803.8999</v>
      </c>
      <c r="AM701" s="10">
        <v>1468225101201.6499</v>
      </c>
      <c r="AN701" s="10">
        <v>1252949193885</v>
      </c>
      <c r="AO701" s="10">
        <v>971796401456.40002</v>
      </c>
      <c r="AP701" s="8"/>
      <c r="AQ701" s="8"/>
      <c r="AR701" s="8"/>
      <c r="AS701" s="8"/>
      <c r="AT701" s="8"/>
      <c r="AU701" s="8"/>
      <c r="AV701" s="8"/>
      <c r="AW701" s="14">
        <v>45291</v>
      </c>
      <c r="AX701" s="14">
        <v>44926</v>
      </c>
      <c r="AY701" s="14">
        <v>44561</v>
      </c>
      <c r="AZ701" s="14">
        <v>44196</v>
      </c>
      <c r="BA701" s="8"/>
      <c r="BB701" s="8"/>
      <c r="BC701" s="8"/>
      <c r="BD701" s="8"/>
      <c r="BE701" s="8"/>
      <c r="BF701" s="8"/>
      <c r="BG701" s="8"/>
      <c r="BH701" s="8" t="s">
        <v>24</v>
      </c>
      <c r="BI701" s="8" t="s">
        <v>24</v>
      </c>
      <c r="BJ701" s="8" t="s">
        <v>24</v>
      </c>
      <c r="BK701" s="8" t="s">
        <v>24</v>
      </c>
      <c r="BL701" s="8"/>
      <c r="BM701" s="8"/>
      <c r="BN701" s="8"/>
      <c r="BO701" s="8"/>
      <c r="BP701" s="8"/>
      <c r="BQ701" s="8" t="s">
        <v>31</v>
      </c>
      <c r="BR701" s="8" t="s">
        <v>219</v>
      </c>
      <c r="BS701" s="10">
        <v>15230475601602</v>
      </c>
      <c r="BT701" s="8"/>
      <c r="BU701" s="8"/>
      <c r="BV701" s="8"/>
      <c r="BW701" s="8" t="s">
        <v>42</v>
      </c>
      <c r="BX701" s="8" t="s">
        <v>27</v>
      </c>
      <c r="BY701" s="8" t="s">
        <v>27</v>
      </c>
      <c r="BZ701" s="8" t="s">
        <v>42</v>
      </c>
      <c r="CA701" s="8"/>
      <c r="CB701" s="8"/>
      <c r="CC701" s="8"/>
      <c r="CD701" s="8"/>
      <c r="CE701" s="8"/>
      <c r="CF701" s="8" t="s">
        <v>50</v>
      </c>
      <c r="CG701" s="8" t="s">
        <v>51</v>
      </c>
    </row>
    <row r="702" spans="1:85" ht="15.75" customHeight="1" x14ac:dyDescent="0.35">
      <c r="A702" s="8">
        <v>695</v>
      </c>
      <c r="B702" s="8" t="s">
        <v>939</v>
      </c>
      <c r="C702" s="8"/>
      <c r="D702" s="8"/>
      <c r="E702" s="9">
        <v>9.9999999999999995E-7</v>
      </c>
      <c r="F702" s="9">
        <v>9.9999999999999995E-7</v>
      </c>
      <c r="G702" s="8"/>
      <c r="H702" s="8"/>
      <c r="I702" s="8"/>
      <c r="J702" s="8"/>
      <c r="K702" s="8"/>
      <c r="L702" s="8"/>
      <c r="M702" s="8"/>
      <c r="N702" s="8"/>
      <c r="O702" s="8"/>
      <c r="P702" s="10">
        <v>83668</v>
      </c>
      <c r="Q702" s="10">
        <v>83668</v>
      </c>
      <c r="R702" s="8"/>
      <c r="S702" s="8"/>
      <c r="T702" s="8"/>
      <c r="U702" s="8"/>
      <c r="V702" s="8"/>
      <c r="W702" s="8"/>
      <c r="X702" s="8"/>
      <c r="Y702" s="8"/>
      <c r="Z702" s="8"/>
      <c r="AA702" s="11">
        <v>0</v>
      </c>
      <c r="AB702" s="13">
        <v>83668</v>
      </c>
      <c r="AC702" s="8"/>
      <c r="AD702" s="8"/>
      <c r="AE702" s="8"/>
      <c r="AF702" s="8"/>
      <c r="AG702" s="8"/>
      <c r="AH702" s="8"/>
      <c r="AI702" s="8"/>
      <c r="AJ702" s="8"/>
      <c r="AK702" s="8"/>
      <c r="AL702" s="10">
        <v>440302834.39999998</v>
      </c>
      <c r="AM702" s="10">
        <v>440302834.39999998</v>
      </c>
      <c r="AN702" s="8"/>
      <c r="AO702" s="8"/>
      <c r="AP702" s="8"/>
      <c r="AQ702" s="8"/>
      <c r="AR702" s="8"/>
      <c r="AS702" s="8"/>
      <c r="AT702" s="8"/>
      <c r="AU702" s="8"/>
      <c r="AV702" s="8"/>
      <c r="AW702" s="14">
        <v>44895</v>
      </c>
      <c r="AX702" s="14">
        <v>44895</v>
      </c>
      <c r="AY702" s="8"/>
      <c r="AZ702" s="8"/>
      <c r="BA702" s="8"/>
      <c r="BB702" s="8"/>
      <c r="BC702" s="8"/>
      <c r="BD702" s="8"/>
      <c r="BE702" s="8"/>
      <c r="BF702" s="8"/>
      <c r="BG702" s="8"/>
      <c r="BH702" s="8" t="s">
        <v>35</v>
      </c>
      <c r="BI702" s="8" t="s">
        <v>35</v>
      </c>
      <c r="BJ702" s="8"/>
      <c r="BK702" s="8"/>
      <c r="BL702" s="8"/>
      <c r="BM702" s="8"/>
      <c r="BN702" s="8"/>
      <c r="BO702" s="8"/>
      <c r="BP702" s="8"/>
      <c r="BQ702" s="8" t="s">
        <v>31</v>
      </c>
      <c r="BR702" s="8" t="s">
        <v>36</v>
      </c>
      <c r="BS702" s="10">
        <v>188864350704</v>
      </c>
      <c r="BT702" s="8"/>
      <c r="BU702" s="8"/>
      <c r="BV702" s="8"/>
      <c r="BW702" s="8"/>
      <c r="BX702" s="8" t="s">
        <v>43</v>
      </c>
      <c r="BY702" s="8"/>
      <c r="BZ702" s="8"/>
      <c r="CA702" s="8"/>
      <c r="CB702" s="8"/>
      <c r="CC702" s="8"/>
      <c r="CD702" s="8"/>
      <c r="CE702" s="8"/>
      <c r="CF702" s="8" t="s">
        <v>266</v>
      </c>
      <c r="CG702" s="8" t="s">
        <v>39</v>
      </c>
    </row>
    <row r="703" spans="1:85" ht="15.75" customHeight="1" x14ac:dyDescent="0.35">
      <c r="A703" s="8">
        <v>696</v>
      </c>
      <c r="B703" s="8" t="s">
        <v>940</v>
      </c>
      <c r="C703" s="8"/>
      <c r="D703" s="8"/>
      <c r="E703" s="8"/>
      <c r="F703" s="8"/>
      <c r="G703" s="8"/>
      <c r="H703" s="9">
        <v>0</v>
      </c>
      <c r="I703" s="9">
        <v>0</v>
      </c>
      <c r="J703" s="9">
        <v>0</v>
      </c>
      <c r="K703" s="9">
        <v>7.3999999999999996E-5</v>
      </c>
      <c r="L703" s="8"/>
      <c r="M703" s="8"/>
      <c r="N703" s="8"/>
      <c r="O703" s="8"/>
      <c r="P703" s="8"/>
      <c r="Q703" s="8"/>
      <c r="R703" s="8"/>
      <c r="S703" s="10">
        <v>0</v>
      </c>
      <c r="T703" s="10">
        <v>0</v>
      </c>
      <c r="U703" s="10">
        <v>0</v>
      </c>
      <c r="V703" s="10">
        <v>6800000</v>
      </c>
      <c r="W703" s="8"/>
      <c r="X703" s="8"/>
      <c r="Y703" s="8"/>
      <c r="Z703" s="8"/>
      <c r="AA703" s="8"/>
      <c r="AB703" s="8"/>
      <c r="AC703" s="8"/>
      <c r="AD703" s="11">
        <v>0</v>
      </c>
      <c r="AE703" s="11">
        <v>0</v>
      </c>
      <c r="AF703" s="12">
        <v>-6800000</v>
      </c>
      <c r="AG703" s="13">
        <v>6800000</v>
      </c>
      <c r="AH703" s="8"/>
      <c r="AI703" s="8"/>
      <c r="AJ703" s="8"/>
      <c r="AK703" s="8"/>
      <c r="AL703" s="8"/>
      <c r="AM703" s="8"/>
      <c r="AN703" s="8"/>
      <c r="AO703" s="10">
        <v>0</v>
      </c>
      <c r="AP703" s="10">
        <v>0</v>
      </c>
      <c r="AQ703" s="10">
        <v>0</v>
      </c>
      <c r="AR703" s="10">
        <v>27200000012.099998</v>
      </c>
      <c r="AS703" s="8"/>
      <c r="AT703" s="8"/>
      <c r="AU703" s="8"/>
      <c r="AV703" s="8"/>
      <c r="AW703" s="8"/>
      <c r="AX703" s="8"/>
      <c r="AY703" s="8"/>
      <c r="AZ703" s="14">
        <v>43769</v>
      </c>
      <c r="BA703" s="14">
        <v>43769</v>
      </c>
      <c r="BB703" s="14">
        <v>43343</v>
      </c>
      <c r="BC703" s="14">
        <v>43100</v>
      </c>
      <c r="BD703" s="8"/>
      <c r="BE703" s="8"/>
      <c r="BF703" s="8"/>
      <c r="BG703" s="8"/>
      <c r="BH703" s="8"/>
      <c r="BI703" s="8"/>
      <c r="BJ703" s="8"/>
      <c r="BK703" s="8" t="s">
        <v>35</v>
      </c>
      <c r="BL703" s="8" t="s">
        <v>35</v>
      </c>
      <c r="BM703" s="8" t="s">
        <v>35</v>
      </c>
      <c r="BN703" s="8" t="s">
        <v>35</v>
      </c>
      <c r="BO703" s="8"/>
      <c r="BP703" s="8"/>
      <c r="BQ703" s="8" t="s">
        <v>31</v>
      </c>
      <c r="BR703" s="8" t="s">
        <v>36</v>
      </c>
      <c r="BS703" s="10">
        <v>13907463383044.801</v>
      </c>
      <c r="BT703" s="8" t="s">
        <v>57</v>
      </c>
      <c r="BU703" s="8"/>
      <c r="BV703" s="8"/>
      <c r="BW703" s="8"/>
      <c r="BX703" s="8"/>
      <c r="BY703" s="8"/>
      <c r="BZ703" s="8" t="s">
        <v>42</v>
      </c>
      <c r="CA703" s="8" t="s">
        <v>43</v>
      </c>
      <c r="CB703" s="8" t="s">
        <v>42</v>
      </c>
      <c r="CC703" s="8" t="s">
        <v>43</v>
      </c>
      <c r="CD703" s="8"/>
      <c r="CE703" s="8"/>
      <c r="CF703" s="8" t="s">
        <v>50</v>
      </c>
      <c r="CG703" s="8" t="s">
        <v>51</v>
      </c>
    </row>
    <row r="704" spans="1:85" ht="15.75" customHeight="1" x14ac:dyDescent="0.35">
      <c r="A704" s="8">
        <v>697</v>
      </c>
      <c r="B704" s="8" t="s">
        <v>941</v>
      </c>
      <c r="C704" s="8"/>
      <c r="D704" s="8"/>
      <c r="E704" s="8"/>
      <c r="F704" s="8"/>
      <c r="G704" s="9">
        <v>3.6319999999999998E-3</v>
      </c>
      <c r="H704" s="8"/>
      <c r="I704" s="9">
        <v>4.052E-3</v>
      </c>
      <c r="J704" s="8"/>
      <c r="K704" s="8"/>
      <c r="L704" s="8"/>
      <c r="M704" s="8"/>
      <c r="N704" s="8"/>
      <c r="O704" s="8"/>
      <c r="P704" s="8"/>
      <c r="Q704" s="8"/>
      <c r="R704" s="10">
        <v>335566200</v>
      </c>
      <c r="S704" s="8"/>
      <c r="T704" s="10">
        <v>374416800</v>
      </c>
      <c r="U704" s="8"/>
      <c r="V704" s="8"/>
      <c r="W704" s="8"/>
      <c r="X704" s="8"/>
      <c r="Y704" s="8"/>
      <c r="Z704" s="8"/>
      <c r="AA704" s="8"/>
      <c r="AB704" s="8"/>
      <c r="AC704" s="13">
        <v>335566200</v>
      </c>
      <c r="AD704" s="8"/>
      <c r="AE704" s="13">
        <v>374416800</v>
      </c>
      <c r="AF704" s="8"/>
      <c r="AG704" s="8"/>
      <c r="AH704" s="8"/>
      <c r="AI704" s="8"/>
      <c r="AJ704" s="8"/>
      <c r="AK704" s="8"/>
      <c r="AL704" s="8"/>
      <c r="AM704" s="8"/>
      <c r="AN704" s="10">
        <v>1177436870542.5</v>
      </c>
      <c r="AO704" s="8"/>
      <c r="AP704" s="10">
        <v>1432695665344</v>
      </c>
      <c r="AQ704" s="8"/>
      <c r="AR704" s="8"/>
      <c r="AS704" s="8"/>
      <c r="AT704" s="8"/>
      <c r="AU704" s="8"/>
      <c r="AV704" s="8"/>
      <c r="AW704" s="8"/>
      <c r="AX704" s="8"/>
      <c r="AY704" s="14">
        <v>44561</v>
      </c>
      <c r="AZ704" s="8"/>
      <c r="BA704" s="14">
        <v>43830</v>
      </c>
      <c r="BB704" s="8"/>
      <c r="BC704" s="8"/>
      <c r="BD704" s="8"/>
      <c r="BE704" s="8"/>
      <c r="BF704" s="8"/>
      <c r="BG704" s="8"/>
      <c r="BH704" s="8"/>
      <c r="BI704" s="8"/>
      <c r="BJ704" s="8" t="s">
        <v>24</v>
      </c>
      <c r="BK704" s="8"/>
      <c r="BL704" s="8" t="s">
        <v>24</v>
      </c>
      <c r="BM704" s="8"/>
      <c r="BN704" s="8"/>
      <c r="BO704" s="8"/>
      <c r="BP704" s="8"/>
      <c r="BQ704" s="8" t="s">
        <v>31</v>
      </c>
      <c r="BR704" s="8" t="s">
        <v>219</v>
      </c>
      <c r="BS704" s="10">
        <v>336907606136.40002</v>
      </c>
      <c r="BT704" s="8"/>
      <c r="BU704" s="8"/>
      <c r="BV704" s="8"/>
      <c r="BW704" s="8"/>
      <c r="BX704" s="8"/>
      <c r="BY704" s="8" t="s">
        <v>27</v>
      </c>
      <c r="BZ704" s="8"/>
      <c r="CA704" s="8"/>
      <c r="CB704" s="8"/>
      <c r="CC704" s="8"/>
      <c r="CD704" s="8"/>
      <c r="CE704" s="8"/>
      <c r="CF704" s="8" t="s">
        <v>28</v>
      </c>
      <c r="CG704" s="8" t="s">
        <v>29</v>
      </c>
    </row>
    <row r="705" spans="1:85" ht="15.75" customHeight="1" x14ac:dyDescent="0.35">
      <c r="A705" s="8">
        <v>698</v>
      </c>
      <c r="B705" s="8" t="s">
        <v>942</v>
      </c>
      <c r="C705" s="8"/>
      <c r="D705" s="8"/>
      <c r="E705" s="8"/>
      <c r="F705" s="8"/>
      <c r="G705" s="8"/>
      <c r="H705" s="8"/>
      <c r="I705" s="8"/>
      <c r="J705" s="8"/>
      <c r="K705" s="8"/>
      <c r="L705" s="9">
        <v>7.1000000000000005E-5</v>
      </c>
      <c r="M705" s="9">
        <v>7.1000000000000005E-5</v>
      </c>
      <c r="N705" s="8"/>
      <c r="O705" s="8"/>
      <c r="P705" s="8"/>
      <c r="Q705" s="8"/>
      <c r="R705" s="8"/>
      <c r="S705" s="8"/>
      <c r="T705" s="8"/>
      <c r="U705" s="8"/>
      <c r="V705" s="8"/>
      <c r="W705" s="10">
        <v>6598200</v>
      </c>
      <c r="X705" s="10">
        <v>6598200</v>
      </c>
      <c r="Y705" s="8"/>
      <c r="Z705" s="8"/>
      <c r="AA705" s="8"/>
      <c r="AB705" s="8"/>
      <c r="AC705" s="8"/>
      <c r="AD705" s="8"/>
      <c r="AE705" s="8"/>
      <c r="AF705" s="8"/>
      <c r="AG705" s="8"/>
      <c r="AH705" s="11">
        <v>0</v>
      </c>
      <c r="AI705" s="11">
        <v>0</v>
      </c>
      <c r="AJ705" s="8"/>
      <c r="AK705" s="8"/>
      <c r="AL705" s="8"/>
      <c r="AM705" s="8"/>
      <c r="AN705" s="8"/>
      <c r="AO705" s="8"/>
      <c r="AP705" s="8"/>
      <c r="AQ705" s="8"/>
      <c r="AR705" s="8"/>
      <c r="AS705" s="10">
        <v>13072683802.9</v>
      </c>
      <c r="AT705" s="10">
        <v>13072683802.9</v>
      </c>
      <c r="AU705" s="8"/>
      <c r="AV705" s="8"/>
      <c r="AW705" s="8"/>
      <c r="AX705" s="8"/>
      <c r="AY705" s="8"/>
      <c r="AZ705" s="8"/>
      <c r="BA705" s="8"/>
      <c r="BB705" s="8"/>
      <c r="BC705" s="8"/>
      <c r="BD705" s="14">
        <v>42277</v>
      </c>
      <c r="BE705" s="14">
        <v>42277</v>
      </c>
      <c r="BF705" s="8"/>
      <c r="BG705" s="8"/>
      <c r="BH705" s="8"/>
      <c r="BI705" s="8"/>
      <c r="BJ705" s="8"/>
      <c r="BK705" s="8"/>
      <c r="BL705" s="8"/>
      <c r="BM705" s="8"/>
      <c r="BN705" s="8"/>
      <c r="BO705" s="8" t="s">
        <v>35</v>
      </c>
      <c r="BP705" s="8" t="s">
        <v>35</v>
      </c>
      <c r="BQ705" s="8" t="s">
        <v>31</v>
      </c>
      <c r="BR705" s="8" t="s">
        <v>36</v>
      </c>
      <c r="BS705" s="10">
        <v>6633036187.1999998</v>
      </c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 t="s">
        <v>27</v>
      </c>
      <c r="CE705" s="8" t="s">
        <v>42</v>
      </c>
      <c r="CF705" s="8" t="s">
        <v>28</v>
      </c>
      <c r="CG705" s="8" t="s">
        <v>29</v>
      </c>
    </row>
    <row r="706" spans="1:85" ht="15.75" customHeight="1" x14ac:dyDescent="0.35">
      <c r="A706" s="8">
        <v>699</v>
      </c>
      <c r="B706" s="8" t="s">
        <v>943</v>
      </c>
      <c r="C706" s="8"/>
      <c r="D706" s="8"/>
      <c r="E706" s="8"/>
      <c r="F706" s="8"/>
      <c r="G706" s="8"/>
      <c r="H706" s="9">
        <v>4.3350000000000003E-3</v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10">
        <v>400596800</v>
      </c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13">
        <v>400596800</v>
      </c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10">
        <v>1266887378530.8</v>
      </c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14">
        <v>44196</v>
      </c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 t="s">
        <v>24</v>
      </c>
      <c r="BL706" s="8"/>
      <c r="BM706" s="8"/>
      <c r="BN706" s="8"/>
      <c r="BO706" s="8"/>
      <c r="BP706" s="8"/>
      <c r="BQ706" s="8" t="s">
        <v>31</v>
      </c>
      <c r="BR706" s="8" t="s">
        <v>36</v>
      </c>
      <c r="BS706" s="10">
        <v>2979408277491.6001</v>
      </c>
      <c r="BT706" s="8"/>
      <c r="BU706" s="8"/>
      <c r="BV706" s="8"/>
      <c r="BW706" s="8"/>
      <c r="BX706" s="8"/>
      <c r="BY706" s="8"/>
      <c r="BZ706" s="8" t="s">
        <v>42</v>
      </c>
      <c r="CA706" s="8"/>
      <c r="CB706" s="8"/>
      <c r="CC706" s="8"/>
      <c r="CD706" s="8"/>
      <c r="CE706" s="8"/>
      <c r="CF706" s="8" t="s">
        <v>28</v>
      </c>
      <c r="CG706" s="8" t="s">
        <v>29</v>
      </c>
    </row>
    <row r="707" spans="1:85" ht="15.75" hidden="1" customHeight="1" x14ac:dyDescent="0.35">
      <c r="A707" s="8">
        <v>700</v>
      </c>
      <c r="B707" s="8" t="s">
        <v>944</v>
      </c>
      <c r="C707" s="8"/>
      <c r="D707" s="8"/>
      <c r="E707" s="9">
        <v>2.5730000000000002E-3</v>
      </c>
      <c r="F707" s="9">
        <v>3.7330000000000002E-3</v>
      </c>
      <c r="G707" s="9">
        <v>4.3429999999999996E-3</v>
      </c>
      <c r="H707" s="9">
        <v>4.6969999999999998E-3</v>
      </c>
      <c r="I707" s="9">
        <v>6.3429999999999997E-3</v>
      </c>
      <c r="J707" s="8"/>
      <c r="K707" s="8"/>
      <c r="L707" s="8"/>
      <c r="M707" s="8"/>
      <c r="N707" s="8"/>
      <c r="O707" s="8"/>
      <c r="P707" s="10">
        <v>237775436</v>
      </c>
      <c r="Q707" s="10">
        <v>344883636</v>
      </c>
      <c r="R707" s="10">
        <v>401304836</v>
      </c>
      <c r="S707" s="10">
        <v>434012236</v>
      </c>
      <c r="T707" s="10">
        <v>586100636</v>
      </c>
      <c r="U707" s="8"/>
      <c r="V707" s="8"/>
      <c r="W707" s="8"/>
      <c r="X707" s="8"/>
      <c r="Y707" s="8"/>
      <c r="Z707" s="8"/>
      <c r="AA707" s="12">
        <v>-107108200</v>
      </c>
      <c r="AB707" s="12">
        <v>-56421200</v>
      </c>
      <c r="AC707" s="12">
        <v>-32707400</v>
      </c>
      <c r="AD707" s="12">
        <v>-152088400</v>
      </c>
      <c r="AE707" s="13">
        <v>586100636</v>
      </c>
      <c r="AF707" s="8"/>
      <c r="AG707" s="8"/>
      <c r="AH707" s="8"/>
      <c r="AI707" s="8"/>
      <c r="AJ707" s="8"/>
      <c r="AK707" s="8"/>
      <c r="AL707" s="10">
        <v>1438541386750.45</v>
      </c>
      <c r="AM707" s="10">
        <v>1711485044988.95</v>
      </c>
      <c r="AN707" s="10">
        <v>1408101025177.5</v>
      </c>
      <c r="AO707" s="10">
        <v>1372563694897.2</v>
      </c>
      <c r="AP707" s="10">
        <v>2242698085694.3999</v>
      </c>
      <c r="AQ707" s="8"/>
      <c r="AR707" s="8"/>
      <c r="AS707" s="8"/>
      <c r="AT707" s="8"/>
      <c r="AU707" s="8"/>
      <c r="AV707" s="8"/>
      <c r="AW707" s="14">
        <v>45291</v>
      </c>
      <c r="AX707" s="14">
        <v>44926</v>
      </c>
      <c r="AY707" s="14">
        <v>44561</v>
      </c>
      <c r="AZ707" s="14">
        <v>44196</v>
      </c>
      <c r="BA707" s="14">
        <v>43830</v>
      </c>
      <c r="BB707" s="8"/>
      <c r="BC707" s="8"/>
      <c r="BD707" s="8"/>
      <c r="BE707" s="8"/>
      <c r="BF707" s="8"/>
      <c r="BG707" s="8"/>
      <c r="BH707" s="8" t="s">
        <v>24</v>
      </c>
      <c r="BI707" s="8" t="s">
        <v>24</v>
      </c>
      <c r="BJ707" s="8" t="s">
        <v>24</v>
      </c>
      <c r="BK707" s="8" t="s">
        <v>24</v>
      </c>
      <c r="BL707" s="8" t="s">
        <v>24</v>
      </c>
      <c r="BM707" s="8"/>
      <c r="BN707" s="8"/>
      <c r="BO707" s="8"/>
      <c r="BP707" s="8"/>
      <c r="BQ707" s="8" t="s">
        <v>25</v>
      </c>
      <c r="BR707" s="8" t="s">
        <v>945</v>
      </c>
      <c r="BS707" s="10">
        <v>1455243549728.3999</v>
      </c>
      <c r="BT707" s="8"/>
      <c r="BU707" s="8"/>
      <c r="BV707" s="8"/>
      <c r="BW707" s="8" t="s">
        <v>27</v>
      </c>
      <c r="BX707" s="8" t="s">
        <v>27</v>
      </c>
      <c r="BY707" s="8" t="s">
        <v>27</v>
      </c>
      <c r="BZ707" s="8" t="s">
        <v>27</v>
      </c>
      <c r="CA707" s="8" t="s">
        <v>27</v>
      </c>
      <c r="CB707" s="8"/>
      <c r="CC707" s="8"/>
      <c r="CD707" s="8"/>
      <c r="CE707" s="8"/>
      <c r="CF707" s="8" t="s">
        <v>28</v>
      </c>
      <c r="CG707" s="8" t="s">
        <v>29</v>
      </c>
    </row>
    <row r="708" spans="1:85" ht="15.75" customHeight="1" x14ac:dyDescent="0.35">
      <c r="A708" s="8">
        <v>701</v>
      </c>
      <c r="B708" s="8" t="s">
        <v>946</v>
      </c>
      <c r="C708" s="8"/>
      <c r="D708" s="8"/>
      <c r="E708" s="8"/>
      <c r="F708" s="8"/>
      <c r="G708" s="9">
        <v>1.0633999999999999E-2</v>
      </c>
      <c r="H708" s="9">
        <v>7.3470000000000002E-3</v>
      </c>
      <c r="I708" s="9">
        <v>3.5739999999999999E-3</v>
      </c>
      <c r="J708" s="8"/>
      <c r="K708" s="8"/>
      <c r="L708" s="8"/>
      <c r="M708" s="8"/>
      <c r="N708" s="8"/>
      <c r="O708" s="8"/>
      <c r="P708" s="8"/>
      <c r="Q708" s="8"/>
      <c r="R708" s="10">
        <v>982572800</v>
      </c>
      <c r="S708" s="10">
        <v>678836944</v>
      </c>
      <c r="T708" s="10">
        <v>330202800</v>
      </c>
      <c r="U708" s="8"/>
      <c r="V708" s="8"/>
      <c r="W708" s="8"/>
      <c r="X708" s="8"/>
      <c r="Y708" s="8"/>
      <c r="Z708" s="8"/>
      <c r="AA708" s="8"/>
      <c r="AB708" s="8"/>
      <c r="AC708" s="13">
        <v>303735856</v>
      </c>
      <c r="AD708" s="13">
        <v>348634144</v>
      </c>
      <c r="AE708" s="13">
        <v>330202800</v>
      </c>
      <c r="AF708" s="8"/>
      <c r="AG708" s="8"/>
      <c r="AH708" s="8"/>
      <c r="AI708" s="8"/>
      <c r="AJ708" s="8"/>
      <c r="AK708" s="8"/>
      <c r="AL708" s="8"/>
      <c r="AM708" s="8"/>
      <c r="AN708" s="10">
        <v>3447657847087.5</v>
      </c>
      <c r="AO708" s="10">
        <v>2146821832958.3999</v>
      </c>
      <c r="AP708" s="10">
        <v>1263512001120</v>
      </c>
      <c r="AQ708" s="8"/>
      <c r="AR708" s="8"/>
      <c r="AS708" s="8"/>
      <c r="AT708" s="8"/>
      <c r="AU708" s="8"/>
      <c r="AV708" s="8"/>
      <c r="AW708" s="8"/>
      <c r="AX708" s="8"/>
      <c r="AY708" s="14">
        <v>44561</v>
      </c>
      <c r="AZ708" s="14">
        <v>44196</v>
      </c>
      <c r="BA708" s="14">
        <v>43830</v>
      </c>
      <c r="BB708" s="8"/>
      <c r="BC708" s="8"/>
      <c r="BD708" s="8"/>
      <c r="BE708" s="8"/>
      <c r="BF708" s="8"/>
      <c r="BG708" s="8"/>
      <c r="BH708" s="8"/>
      <c r="BI708" s="8"/>
      <c r="BJ708" s="8" t="s">
        <v>24</v>
      </c>
      <c r="BK708" s="8" t="s">
        <v>24</v>
      </c>
      <c r="BL708" s="8" t="s">
        <v>24</v>
      </c>
      <c r="BM708" s="8"/>
      <c r="BN708" s="8"/>
      <c r="BO708" s="8"/>
      <c r="BP708" s="8"/>
      <c r="BQ708" s="8" t="s">
        <v>31</v>
      </c>
      <c r="BR708" s="8" t="s">
        <v>36</v>
      </c>
      <c r="BS708" s="10">
        <v>160147347632.39999</v>
      </c>
      <c r="BT708" s="8"/>
      <c r="BU708" s="8"/>
      <c r="BV708" s="8"/>
      <c r="BW708" s="8"/>
      <c r="BX708" s="8"/>
      <c r="BY708" s="8" t="s">
        <v>27</v>
      </c>
      <c r="BZ708" s="8" t="s">
        <v>42</v>
      </c>
      <c r="CA708" s="8"/>
      <c r="CB708" s="8"/>
      <c r="CC708" s="8"/>
      <c r="CD708" s="8"/>
      <c r="CE708" s="8"/>
      <c r="CF708" s="8" t="s">
        <v>28</v>
      </c>
      <c r="CG708" s="8" t="s">
        <v>29</v>
      </c>
    </row>
    <row r="709" spans="1:85" ht="15.75" hidden="1" customHeight="1" x14ac:dyDescent="0.35">
      <c r="A709" s="8">
        <v>702</v>
      </c>
      <c r="B709" s="8" t="s">
        <v>947</v>
      </c>
      <c r="C709" s="8"/>
      <c r="D709" s="8"/>
      <c r="E709" s="8"/>
      <c r="F709" s="8"/>
      <c r="G709" s="8"/>
      <c r="H709" s="8"/>
      <c r="I709" s="9">
        <v>1.9999999999999999E-6</v>
      </c>
      <c r="J709" s="9">
        <v>1.9999999999999999E-6</v>
      </c>
      <c r="K709" s="8"/>
      <c r="L709" s="8"/>
      <c r="M709" s="8"/>
      <c r="N709" s="8"/>
      <c r="O709" s="8"/>
      <c r="P709" s="8"/>
      <c r="Q709" s="8"/>
      <c r="R709" s="8"/>
      <c r="S709" s="8"/>
      <c r="T709" s="10">
        <v>228600</v>
      </c>
      <c r="U709" s="10">
        <v>228600</v>
      </c>
      <c r="V709" s="8"/>
      <c r="W709" s="8"/>
      <c r="X709" s="8"/>
      <c r="Y709" s="8"/>
      <c r="Z709" s="8"/>
      <c r="AA709" s="8"/>
      <c r="AB709" s="8"/>
      <c r="AC709" s="8"/>
      <c r="AD709" s="8"/>
      <c r="AE709" s="11">
        <v>0</v>
      </c>
      <c r="AF709" s="13">
        <v>228600</v>
      </c>
      <c r="AG709" s="8"/>
      <c r="AH709" s="8"/>
      <c r="AI709" s="8"/>
      <c r="AJ709" s="8"/>
      <c r="AK709" s="8"/>
      <c r="AL709" s="8"/>
      <c r="AM709" s="8"/>
      <c r="AN709" s="8"/>
      <c r="AO709" s="8"/>
      <c r="AP709" s="10">
        <v>874731618.79999995</v>
      </c>
      <c r="AQ709" s="10">
        <v>832537612.5</v>
      </c>
      <c r="AR709" s="8"/>
      <c r="AS709" s="8"/>
      <c r="AT709" s="8"/>
      <c r="AU709" s="8"/>
      <c r="AV709" s="8"/>
      <c r="AW709" s="8"/>
      <c r="AX709" s="8"/>
      <c r="AY709" s="8"/>
      <c r="AZ709" s="8"/>
      <c r="BA709" s="14">
        <v>43830</v>
      </c>
      <c r="BB709" s="14">
        <v>43465</v>
      </c>
      <c r="BC709" s="8"/>
      <c r="BD709" s="8"/>
      <c r="BE709" s="8"/>
      <c r="BF709" s="8"/>
      <c r="BG709" s="8"/>
      <c r="BH709" s="8"/>
      <c r="BI709" s="8"/>
      <c r="BJ709" s="8"/>
      <c r="BK709" s="8"/>
      <c r="BL709" s="8" t="s">
        <v>201</v>
      </c>
      <c r="BM709" s="8" t="s">
        <v>201</v>
      </c>
      <c r="BN709" s="8"/>
      <c r="BO709" s="8"/>
      <c r="BP709" s="8"/>
      <c r="BQ709" s="8" t="s">
        <v>25</v>
      </c>
      <c r="BR709" s="8" t="s">
        <v>202</v>
      </c>
      <c r="BS709" s="10">
        <v>1051190446.8</v>
      </c>
      <c r="BT709" s="8"/>
      <c r="BU709" s="8"/>
      <c r="BV709" s="8"/>
      <c r="BW709" s="8"/>
      <c r="BX709" s="8"/>
      <c r="BY709" s="8"/>
      <c r="BZ709" s="8"/>
      <c r="CA709" s="8" t="s">
        <v>43</v>
      </c>
      <c r="CB709" s="8" t="s">
        <v>27</v>
      </c>
      <c r="CC709" s="8"/>
      <c r="CD709" s="8"/>
      <c r="CE709" s="8"/>
      <c r="CF709" s="8"/>
      <c r="CG709" s="8" t="s">
        <v>29</v>
      </c>
    </row>
    <row r="710" spans="1:85" ht="15.75" customHeight="1" x14ac:dyDescent="0.35">
      <c r="A710" s="8">
        <v>703</v>
      </c>
      <c r="B710" s="8" t="s">
        <v>948</v>
      </c>
      <c r="C710" s="8"/>
      <c r="D710" s="8"/>
      <c r="E710" s="8"/>
      <c r="F710" s="8"/>
      <c r="G710" s="9">
        <v>9.9999999999999995E-7</v>
      </c>
      <c r="H710" s="9">
        <v>9.9999999999999995E-7</v>
      </c>
      <c r="I710" s="9">
        <v>3.0000000000000001E-5</v>
      </c>
      <c r="J710" s="9">
        <v>1.9999999999999999E-6</v>
      </c>
      <c r="K710" s="9">
        <v>3.0000000000000001E-6</v>
      </c>
      <c r="L710" s="9">
        <v>1.9999999999999999E-6</v>
      </c>
      <c r="M710" s="9">
        <v>9.9999999999999995E-7</v>
      </c>
      <c r="N710" s="8"/>
      <c r="O710" s="8"/>
      <c r="P710" s="8"/>
      <c r="Q710" s="8"/>
      <c r="R710" s="10">
        <v>90600</v>
      </c>
      <c r="S710" s="10">
        <v>90600</v>
      </c>
      <c r="T710" s="10">
        <v>2800000</v>
      </c>
      <c r="U710" s="10">
        <v>200800</v>
      </c>
      <c r="V710" s="10">
        <v>238800</v>
      </c>
      <c r="W710" s="10">
        <v>204400</v>
      </c>
      <c r="X710" s="10">
        <v>102800</v>
      </c>
      <c r="Y710" s="8"/>
      <c r="Z710" s="8"/>
      <c r="AA710" s="8"/>
      <c r="AB710" s="8"/>
      <c r="AC710" s="11">
        <v>0</v>
      </c>
      <c r="AD710" s="12">
        <v>-2709400</v>
      </c>
      <c r="AE710" s="13">
        <v>2599200</v>
      </c>
      <c r="AF710" s="12">
        <v>-38000</v>
      </c>
      <c r="AG710" s="13">
        <v>34400</v>
      </c>
      <c r="AH710" s="13">
        <v>101600</v>
      </c>
      <c r="AI710" s="12">
        <v>-619200</v>
      </c>
      <c r="AJ710" s="8"/>
      <c r="AK710" s="8"/>
      <c r="AL710" s="8"/>
      <c r="AM710" s="8"/>
      <c r="AN710" s="10">
        <v>278595062.39999998</v>
      </c>
      <c r="AO710" s="10">
        <v>286522545.30000001</v>
      </c>
      <c r="AP710" s="10">
        <v>10714123569.6</v>
      </c>
      <c r="AQ710" s="10">
        <v>731292906.25</v>
      </c>
      <c r="AR710" s="10">
        <v>955199958.14999998</v>
      </c>
      <c r="AS710" s="10">
        <v>591482517</v>
      </c>
      <c r="AT710" s="10">
        <v>237811238.25</v>
      </c>
      <c r="AU710" s="8"/>
      <c r="AV710" s="8"/>
      <c r="AW710" s="8"/>
      <c r="AX710" s="8"/>
      <c r="AY710" s="14">
        <v>44255</v>
      </c>
      <c r="AZ710" s="14">
        <v>44165</v>
      </c>
      <c r="BA710" s="14">
        <v>43830</v>
      </c>
      <c r="BB710" s="14">
        <v>43465</v>
      </c>
      <c r="BC710" s="14">
        <v>43100</v>
      </c>
      <c r="BD710" s="14">
        <v>42735</v>
      </c>
      <c r="BE710" s="14">
        <v>42369</v>
      </c>
      <c r="BF710" s="8"/>
      <c r="BG710" s="8"/>
      <c r="BH710" s="8"/>
      <c r="BI710" s="8"/>
      <c r="BJ710" s="8" t="s">
        <v>35</v>
      </c>
      <c r="BK710" s="8" t="s">
        <v>35</v>
      </c>
      <c r="BL710" s="8" t="s">
        <v>35</v>
      </c>
      <c r="BM710" s="8" t="s">
        <v>35</v>
      </c>
      <c r="BN710" s="8" t="s">
        <v>35</v>
      </c>
      <c r="BO710" s="8" t="s">
        <v>35</v>
      </c>
      <c r="BP710" s="8" t="s">
        <v>35</v>
      </c>
      <c r="BQ710" s="8" t="s">
        <v>31</v>
      </c>
      <c r="BR710" s="8" t="s">
        <v>49</v>
      </c>
      <c r="BS710" s="10">
        <v>758959656879.59998</v>
      </c>
      <c r="BT710" s="8"/>
      <c r="BU710" s="8"/>
      <c r="BV710" s="8"/>
      <c r="BW710" s="8"/>
      <c r="BX710" s="8"/>
      <c r="BY710" s="8" t="s">
        <v>27</v>
      </c>
      <c r="BZ710" s="8" t="s">
        <v>42</v>
      </c>
      <c r="CA710" s="8" t="s">
        <v>27</v>
      </c>
      <c r="CB710" s="8" t="s">
        <v>27</v>
      </c>
      <c r="CC710" s="8" t="s">
        <v>42</v>
      </c>
      <c r="CD710" s="8" t="s">
        <v>42</v>
      </c>
      <c r="CE710" s="8" t="s">
        <v>43</v>
      </c>
      <c r="CF710" s="8" t="s">
        <v>82</v>
      </c>
      <c r="CG710" s="8" t="s">
        <v>39</v>
      </c>
    </row>
    <row r="711" spans="1:85" ht="15.75" customHeight="1" x14ac:dyDescent="0.35">
      <c r="A711" s="8">
        <v>704</v>
      </c>
      <c r="B711" s="8" t="s">
        <v>949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>
        <v>9.5000000000000005E-5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10">
        <v>8750000</v>
      </c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11">
        <v>0</v>
      </c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10">
        <v>23447205239.599998</v>
      </c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14">
        <v>42004</v>
      </c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 t="s">
        <v>35</v>
      </c>
      <c r="BQ711" s="8" t="s">
        <v>31</v>
      </c>
      <c r="BR711" s="8" t="s">
        <v>49</v>
      </c>
      <c r="BS711" s="10">
        <v>292604415343643</v>
      </c>
      <c r="BT711" s="8" t="s">
        <v>91</v>
      </c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 t="s">
        <v>27</v>
      </c>
      <c r="CF711" s="8" t="s">
        <v>950</v>
      </c>
      <c r="CG711" s="8" t="s">
        <v>51</v>
      </c>
    </row>
    <row r="712" spans="1:85" ht="15.75" customHeight="1" x14ac:dyDescent="0.35">
      <c r="A712" s="8">
        <v>705</v>
      </c>
      <c r="B712" s="8" t="s">
        <v>951</v>
      </c>
      <c r="C712" s="8"/>
      <c r="D712" s="8"/>
      <c r="E712" s="8"/>
      <c r="F712" s="8"/>
      <c r="G712" s="8"/>
      <c r="H712" s="8"/>
      <c r="I712" s="9">
        <v>0</v>
      </c>
      <c r="J712" s="9">
        <v>0</v>
      </c>
      <c r="K712" s="8"/>
      <c r="L712" s="8"/>
      <c r="M712" s="8"/>
      <c r="N712" s="8"/>
      <c r="O712" s="8"/>
      <c r="P712" s="8"/>
      <c r="Q712" s="8"/>
      <c r="R712" s="8"/>
      <c r="S712" s="8"/>
      <c r="T712" s="10">
        <v>0</v>
      </c>
      <c r="U712" s="10">
        <v>0</v>
      </c>
      <c r="V712" s="8"/>
      <c r="W712" s="8"/>
      <c r="X712" s="8"/>
      <c r="Y712" s="8"/>
      <c r="Z712" s="8"/>
      <c r="AA712" s="8"/>
      <c r="AB712" s="8"/>
      <c r="AC712" s="8"/>
      <c r="AD712" s="8"/>
      <c r="AE712" s="11">
        <v>0</v>
      </c>
      <c r="AF712" s="11">
        <v>0</v>
      </c>
      <c r="AG712" s="8"/>
      <c r="AH712" s="8"/>
      <c r="AI712" s="8"/>
      <c r="AJ712" s="8"/>
      <c r="AK712" s="8"/>
      <c r="AL712" s="8"/>
      <c r="AM712" s="8"/>
      <c r="AN712" s="8"/>
      <c r="AO712" s="8"/>
      <c r="AP712" s="10">
        <v>0</v>
      </c>
      <c r="AQ712" s="10">
        <v>0</v>
      </c>
      <c r="AR712" s="8"/>
      <c r="AS712" s="8"/>
      <c r="AT712" s="8"/>
      <c r="AU712" s="8"/>
      <c r="AV712" s="8"/>
      <c r="AW712" s="8"/>
      <c r="AX712" s="8"/>
      <c r="AY712" s="8"/>
      <c r="AZ712" s="8"/>
      <c r="BA712" s="14">
        <v>43434</v>
      </c>
      <c r="BB712" s="14">
        <v>43434</v>
      </c>
      <c r="BC712" s="8"/>
      <c r="BD712" s="8"/>
      <c r="BE712" s="8"/>
      <c r="BF712" s="8"/>
      <c r="BG712" s="8"/>
      <c r="BH712" s="8"/>
      <c r="BI712" s="8"/>
      <c r="BJ712" s="8"/>
      <c r="BK712" s="8"/>
      <c r="BL712" s="8" t="s">
        <v>35</v>
      </c>
      <c r="BM712" s="8" t="s">
        <v>35</v>
      </c>
      <c r="BN712" s="8"/>
      <c r="BO712" s="8"/>
      <c r="BP712" s="8"/>
      <c r="BQ712" s="8" t="s">
        <v>31</v>
      </c>
      <c r="BR712" s="8" t="s">
        <v>36</v>
      </c>
      <c r="BS712" s="10">
        <v>17460195157.200001</v>
      </c>
      <c r="BT712" s="8"/>
      <c r="BU712" s="8"/>
      <c r="BV712" s="8"/>
      <c r="BW712" s="8"/>
      <c r="BX712" s="8"/>
      <c r="BY712" s="8"/>
      <c r="BZ712" s="8"/>
      <c r="CA712" s="8" t="s">
        <v>42</v>
      </c>
      <c r="CB712" s="8" t="s">
        <v>42</v>
      </c>
      <c r="CC712" s="8"/>
      <c r="CD712" s="8"/>
      <c r="CE712" s="8"/>
      <c r="CF712" s="8" t="s">
        <v>114</v>
      </c>
      <c r="CG712" s="8" t="s">
        <v>115</v>
      </c>
    </row>
    <row r="713" spans="1:85" ht="15.75" customHeight="1" x14ac:dyDescent="0.35">
      <c r="A713" s="8">
        <v>706</v>
      </c>
      <c r="B713" s="8" t="s">
        <v>952</v>
      </c>
      <c r="C713" s="8"/>
      <c r="D713" s="8"/>
      <c r="E713" s="9">
        <v>0</v>
      </c>
      <c r="F713" s="9">
        <v>0</v>
      </c>
      <c r="G713" s="9">
        <v>1.5899999999999999E-4</v>
      </c>
      <c r="H713" s="9">
        <v>1.05E-4</v>
      </c>
      <c r="I713" s="9">
        <v>1.05E-4</v>
      </c>
      <c r="J713" s="9">
        <v>1.9000000000000001E-4</v>
      </c>
      <c r="K713" s="9">
        <v>0</v>
      </c>
      <c r="L713" s="9">
        <v>0</v>
      </c>
      <c r="M713" s="9">
        <v>0</v>
      </c>
      <c r="N713" s="8"/>
      <c r="O713" s="8"/>
      <c r="P713" s="10">
        <v>0</v>
      </c>
      <c r="Q713" s="10">
        <v>0</v>
      </c>
      <c r="R713" s="10">
        <v>14689200</v>
      </c>
      <c r="S713" s="10">
        <v>9689200</v>
      </c>
      <c r="T713" s="10">
        <v>9689200</v>
      </c>
      <c r="U713" s="10">
        <v>17568000</v>
      </c>
      <c r="V713" s="10">
        <v>0</v>
      </c>
      <c r="W713" s="10">
        <v>0</v>
      </c>
      <c r="X713" s="10">
        <v>0</v>
      </c>
      <c r="Y713" s="8"/>
      <c r="Z713" s="8"/>
      <c r="AA713" s="11">
        <v>0</v>
      </c>
      <c r="AB713" s="12">
        <v>-14689200</v>
      </c>
      <c r="AC713" s="13">
        <v>5000000</v>
      </c>
      <c r="AD713" s="11">
        <v>0</v>
      </c>
      <c r="AE713" s="12">
        <v>-7878800</v>
      </c>
      <c r="AF713" s="13">
        <v>17568000</v>
      </c>
      <c r="AG713" s="11">
        <v>0</v>
      </c>
      <c r="AH713" s="11">
        <v>0</v>
      </c>
      <c r="AI713" s="12">
        <v>-15664400</v>
      </c>
      <c r="AJ713" s="8"/>
      <c r="AK713" s="8"/>
      <c r="AL713" s="10">
        <v>0</v>
      </c>
      <c r="AM713" s="10">
        <v>0</v>
      </c>
      <c r="AN713" s="10">
        <v>51541560727.5</v>
      </c>
      <c r="AO713" s="10">
        <v>30642095016</v>
      </c>
      <c r="AP713" s="10">
        <v>37075459288</v>
      </c>
      <c r="AQ713" s="10">
        <v>63980848575</v>
      </c>
      <c r="AR713" s="10">
        <v>0</v>
      </c>
      <c r="AS713" s="10">
        <v>0</v>
      </c>
      <c r="AT713" s="10">
        <v>0</v>
      </c>
      <c r="AU713" s="8"/>
      <c r="AV713" s="8"/>
      <c r="AW713" s="14">
        <v>44681</v>
      </c>
      <c r="AX713" s="14">
        <v>44681</v>
      </c>
      <c r="AY713" s="14">
        <v>44561</v>
      </c>
      <c r="AZ713" s="14">
        <v>44196</v>
      </c>
      <c r="BA713" s="14">
        <v>43830</v>
      </c>
      <c r="BB713" s="14">
        <v>43465</v>
      </c>
      <c r="BC713" s="14">
        <v>42643</v>
      </c>
      <c r="BD713" s="14">
        <v>42643</v>
      </c>
      <c r="BE713" s="14">
        <v>42369</v>
      </c>
      <c r="BF713" s="8"/>
      <c r="BG713" s="8"/>
      <c r="BH713" s="8" t="s">
        <v>35</v>
      </c>
      <c r="BI713" s="8" t="s">
        <v>35</v>
      </c>
      <c r="BJ713" s="8" t="s">
        <v>35</v>
      </c>
      <c r="BK713" s="8" t="s">
        <v>35</v>
      </c>
      <c r="BL713" s="8" t="s">
        <v>35</v>
      </c>
      <c r="BM713" s="8" t="s">
        <v>35</v>
      </c>
      <c r="BN713" s="8" t="s">
        <v>35</v>
      </c>
      <c r="BO713" s="8" t="s">
        <v>35</v>
      </c>
      <c r="BP713" s="8" t="s">
        <v>35</v>
      </c>
      <c r="BQ713" s="8" t="s">
        <v>31</v>
      </c>
      <c r="BR713" s="8" t="s">
        <v>36</v>
      </c>
      <c r="BS713" s="10">
        <v>292115319439524</v>
      </c>
      <c r="BT713" s="8" t="s">
        <v>61</v>
      </c>
      <c r="BU713" s="8"/>
      <c r="BV713" s="8"/>
      <c r="BW713" s="8" t="s">
        <v>27</v>
      </c>
      <c r="BX713" s="8" t="s">
        <v>27</v>
      </c>
      <c r="BY713" s="8" t="s">
        <v>27</v>
      </c>
      <c r="BZ713" s="8" t="s">
        <v>42</v>
      </c>
      <c r="CA713" s="8" t="s">
        <v>27</v>
      </c>
      <c r="CB713" s="8" t="s">
        <v>27</v>
      </c>
      <c r="CC713" s="8" t="s">
        <v>42</v>
      </c>
      <c r="CD713" s="8" t="s">
        <v>43</v>
      </c>
      <c r="CE713" s="8" t="s">
        <v>43</v>
      </c>
      <c r="CF713" s="8" t="s">
        <v>682</v>
      </c>
      <c r="CG713" s="8" t="s">
        <v>461</v>
      </c>
    </row>
    <row r="714" spans="1:85" ht="15.75" customHeight="1" x14ac:dyDescent="0.35">
      <c r="A714" s="8">
        <v>707</v>
      </c>
      <c r="B714" s="8" t="s">
        <v>953</v>
      </c>
      <c r="C714" s="8"/>
      <c r="D714" s="8"/>
      <c r="E714" s="8"/>
      <c r="F714" s="8"/>
      <c r="G714" s="8"/>
      <c r="H714" s="8"/>
      <c r="I714" s="8"/>
      <c r="J714" s="8"/>
      <c r="K714" s="8"/>
      <c r="L714" s="9">
        <v>0</v>
      </c>
      <c r="M714" s="9">
        <v>0</v>
      </c>
      <c r="N714" s="8"/>
      <c r="O714" s="8"/>
      <c r="P714" s="8"/>
      <c r="Q714" s="8"/>
      <c r="R714" s="8"/>
      <c r="S714" s="8"/>
      <c r="T714" s="8"/>
      <c r="U714" s="8"/>
      <c r="V714" s="8"/>
      <c r="W714" s="10">
        <v>0</v>
      </c>
      <c r="X714" s="10">
        <v>0</v>
      </c>
      <c r="Y714" s="8"/>
      <c r="Z714" s="8"/>
      <c r="AA714" s="8"/>
      <c r="AB714" s="8"/>
      <c r="AC714" s="8"/>
      <c r="AD714" s="8"/>
      <c r="AE714" s="8"/>
      <c r="AF714" s="8"/>
      <c r="AG714" s="8"/>
      <c r="AH714" s="11">
        <v>0</v>
      </c>
      <c r="AI714" s="11">
        <v>0</v>
      </c>
      <c r="AJ714" s="8"/>
      <c r="AK714" s="8"/>
      <c r="AL714" s="8"/>
      <c r="AM714" s="8"/>
      <c r="AN714" s="8"/>
      <c r="AO714" s="8"/>
      <c r="AP714" s="8"/>
      <c r="AQ714" s="8"/>
      <c r="AR714" s="8"/>
      <c r="AS714" s="10">
        <v>0</v>
      </c>
      <c r="AT714" s="10">
        <v>0</v>
      </c>
      <c r="AU714" s="8"/>
      <c r="AV714" s="8"/>
      <c r="AW714" s="8"/>
      <c r="AX714" s="8"/>
      <c r="AY714" s="8"/>
      <c r="AZ714" s="8"/>
      <c r="BA714" s="8"/>
      <c r="BB714" s="8"/>
      <c r="BC714" s="8"/>
      <c r="BD714" s="14">
        <v>42185</v>
      </c>
      <c r="BE714" s="14">
        <v>42185</v>
      </c>
      <c r="BF714" s="8"/>
      <c r="BG714" s="8"/>
      <c r="BH714" s="8"/>
      <c r="BI714" s="8"/>
      <c r="BJ714" s="8"/>
      <c r="BK714" s="8"/>
      <c r="BL714" s="8"/>
      <c r="BM714" s="8"/>
      <c r="BN714" s="8"/>
      <c r="BO714" s="8" t="s">
        <v>35</v>
      </c>
      <c r="BP714" s="8" t="s">
        <v>35</v>
      </c>
      <c r="BQ714" s="8" t="s">
        <v>31</v>
      </c>
      <c r="BR714" s="8" t="s">
        <v>36</v>
      </c>
      <c r="BS714" s="10">
        <v>869449254180290</v>
      </c>
      <c r="BT714" s="8" t="s">
        <v>61</v>
      </c>
      <c r="BU714" s="8"/>
      <c r="BV714" s="8"/>
      <c r="BW714" s="8"/>
      <c r="BX714" s="8"/>
      <c r="BY714" s="8"/>
      <c r="BZ714" s="8"/>
      <c r="CA714" s="8"/>
      <c r="CB714" s="8"/>
      <c r="CC714" s="8"/>
      <c r="CD714" s="8" t="s">
        <v>42</v>
      </c>
      <c r="CE714" s="8" t="s">
        <v>27</v>
      </c>
      <c r="CF714" s="8" t="s">
        <v>50</v>
      </c>
      <c r="CG714" s="8" t="s">
        <v>51</v>
      </c>
    </row>
    <row r="715" spans="1:85" ht="15.75" customHeight="1" x14ac:dyDescent="0.35">
      <c r="A715" s="8">
        <v>708</v>
      </c>
      <c r="B715" s="8" t="s">
        <v>954</v>
      </c>
      <c r="C715" s="8"/>
      <c r="D715" s="8"/>
      <c r="E715" s="9">
        <v>3.9999999999999998E-6</v>
      </c>
      <c r="F715" s="9">
        <v>3.9999999999999998E-6</v>
      </c>
      <c r="G715" s="9">
        <v>3.9999999999999998E-6</v>
      </c>
      <c r="H715" s="8"/>
      <c r="I715" s="8"/>
      <c r="J715" s="8"/>
      <c r="K715" s="8"/>
      <c r="L715" s="8"/>
      <c r="M715" s="8"/>
      <c r="N715" s="8"/>
      <c r="O715" s="8"/>
      <c r="P715" s="10">
        <v>407600</v>
      </c>
      <c r="Q715" s="10">
        <v>407600</v>
      </c>
      <c r="R715" s="10">
        <v>377200</v>
      </c>
      <c r="S715" s="8"/>
      <c r="T715" s="8"/>
      <c r="U715" s="8"/>
      <c r="V715" s="8"/>
      <c r="W715" s="8"/>
      <c r="X715" s="8"/>
      <c r="Y715" s="8"/>
      <c r="Z715" s="8"/>
      <c r="AA715" s="11">
        <v>0</v>
      </c>
      <c r="AB715" s="13">
        <v>30400</v>
      </c>
      <c r="AC715" s="13">
        <v>377200</v>
      </c>
      <c r="AD715" s="8"/>
      <c r="AE715" s="8"/>
      <c r="AF715" s="8"/>
      <c r="AG715" s="8"/>
      <c r="AH715" s="8"/>
      <c r="AI715" s="8"/>
      <c r="AJ715" s="8"/>
      <c r="AK715" s="8"/>
      <c r="AL715" s="10">
        <v>1686445058.4000001</v>
      </c>
      <c r="AM715" s="10">
        <v>1686445058.4000001</v>
      </c>
      <c r="AN715" s="10">
        <v>1323521760</v>
      </c>
      <c r="AO715" s="8"/>
      <c r="AP715" s="8"/>
      <c r="AQ715" s="8"/>
      <c r="AR715" s="8"/>
      <c r="AS715" s="8"/>
      <c r="AT715" s="8"/>
      <c r="AU715" s="8"/>
      <c r="AV715" s="8"/>
      <c r="AW715" s="14">
        <v>44773</v>
      </c>
      <c r="AX715" s="14">
        <v>44773</v>
      </c>
      <c r="AY715" s="14">
        <v>44561</v>
      </c>
      <c r="AZ715" s="8"/>
      <c r="BA715" s="8"/>
      <c r="BB715" s="8"/>
      <c r="BC715" s="8"/>
      <c r="BD715" s="8"/>
      <c r="BE715" s="8"/>
      <c r="BF715" s="8"/>
      <c r="BG715" s="8"/>
      <c r="BH715" s="8" t="s">
        <v>35</v>
      </c>
      <c r="BI715" s="8" t="s">
        <v>35</v>
      </c>
      <c r="BJ715" s="8" t="s">
        <v>35</v>
      </c>
      <c r="BK715" s="8"/>
      <c r="BL715" s="8"/>
      <c r="BM715" s="8"/>
      <c r="BN715" s="8"/>
      <c r="BO715" s="8"/>
      <c r="BP715" s="8"/>
      <c r="BQ715" s="8" t="s">
        <v>31</v>
      </c>
      <c r="BR715" s="8" t="s">
        <v>36</v>
      </c>
      <c r="BS715" s="10">
        <v>26072995854972</v>
      </c>
      <c r="BT715" s="8"/>
      <c r="BU715" s="8"/>
      <c r="BV715" s="8"/>
      <c r="BW715" s="8" t="s">
        <v>27</v>
      </c>
      <c r="BX715" s="8" t="s">
        <v>27</v>
      </c>
      <c r="BY715" s="8" t="s">
        <v>27</v>
      </c>
      <c r="BZ715" s="8"/>
      <c r="CA715" s="8"/>
      <c r="CB715" s="8"/>
      <c r="CC715" s="8"/>
      <c r="CD715" s="8"/>
      <c r="CE715" s="8"/>
      <c r="CF715" s="8" t="s">
        <v>639</v>
      </c>
      <c r="CG715" s="8" t="s">
        <v>115</v>
      </c>
    </row>
    <row r="716" spans="1:85" ht="15.75" customHeight="1" x14ac:dyDescent="0.35">
      <c r="A716" s="8">
        <v>709</v>
      </c>
      <c r="B716" s="8" t="s">
        <v>955</v>
      </c>
      <c r="C716" s="8"/>
      <c r="D716" s="8"/>
      <c r="E716" s="8"/>
      <c r="F716" s="8"/>
      <c r="G716" s="8"/>
      <c r="H716" s="8"/>
      <c r="I716" s="9">
        <v>1.9999999999999999E-6</v>
      </c>
      <c r="J716" s="9">
        <v>9.9999999999999995E-7</v>
      </c>
      <c r="K716" s="9">
        <v>0</v>
      </c>
      <c r="L716" s="8"/>
      <c r="M716" s="8"/>
      <c r="N716" s="8"/>
      <c r="O716" s="8"/>
      <c r="P716" s="8"/>
      <c r="Q716" s="8"/>
      <c r="R716" s="8"/>
      <c r="S716" s="8"/>
      <c r="T716" s="10">
        <v>202022</v>
      </c>
      <c r="U716" s="10">
        <v>107486</v>
      </c>
      <c r="V716" s="10">
        <v>3284</v>
      </c>
      <c r="W716" s="8"/>
      <c r="X716" s="8"/>
      <c r="Y716" s="8"/>
      <c r="Z716" s="8"/>
      <c r="AA716" s="8"/>
      <c r="AB716" s="8"/>
      <c r="AC716" s="8"/>
      <c r="AD716" s="8"/>
      <c r="AE716" s="13">
        <v>94536</v>
      </c>
      <c r="AF716" s="13">
        <v>104202</v>
      </c>
      <c r="AG716" s="13">
        <v>3284</v>
      </c>
      <c r="AH716" s="8"/>
      <c r="AI716" s="8"/>
      <c r="AJ716" s="8"/>
      <c r="AK716" s="8"/>
      <c r="AL716" s="8"/>
      <c r="AM716" s="8"/>
      <c r="AN716" s="8"/>
      <c r="AO716" s="8"/>
      <c r="AP716" s="10">
        <v>752531908.70000005</v>
      </c>
      <c r="AQ716" s="10">
        <v>378888086.39999998</v>
      </c>
      <c r="AR716" s="10">
        <v>10344555.76</v>
      </c>
      <c r="AS716" s="8"/>
      <c r="AT716" s="8"/>
      <c r="AU716" s="8"/>
      <c r="AV716" s="8"/>
      <c r="AW716" s="8"/>
      <c r="AX716" s="8"/>
      <c r="AY716" s="8"/>
      <c r="AZ716" s="8"/>
      <c r="BA716" s="14">
        <v>43496</v>
      </c>
      <c r="BB716" s="14">
        <v>43251</v>
      </c>
      <c r="BC716" s="14">
        <v>42886</v>
      </c>
      <c r="BD716" s="8"/>
      <c r="BE716" s="8"/>
      <c r="BF716" s="8"/>
      <c r="BG716" s="8"/>
      <c r="BH716" s="8"/>
      <c r="BI716" s="8"/>
      <c r="BJ716" s="8"/>
      <c r="BK716" s="8"/>
      <c r="BL716" s="8" t="s">
        <v>35</v>
      </c>
      <c r="BM716" s="8" t="s">
        <v>35</v>
      </c>
      <c r="BN716" s="8" t="s">
        <v>35</v>
      </c>
      <c r="BO716" s="8"/>
      <c r="BP716" s="8"/>
      <c r="BQ716" s="8" t="s">
        <v>31</v>
      </c>
      <c r="BR716" s="8" t="s">
        <v>160</v>
      </c>
      <c r="BS716" s="10">
        <v>48005778376729.203</v>
      </c>
      <c r="BT716" s="8" t="s">
        <v>46</v>
      </c>
      <c r="BU716" s="8"/>
      <c r="BV716" s="8"/>
      <c r="BW716" s="8"/>
      <c r="BX716" s="8"/>
      <c r="BY716" s="8"/>
      <c r="BZ716" s="8"/>
      <c r="CA716" s="8" t="s">
        <v>27</v>
      </c>
      <c r="CB716" s="8" t="s">
        <v>27</v>
      </c>
      <c r="CC716" s="8" t="s">
        <v>27</v>
      </c>
      <c r="CD716" s="8"/>
      <c r="CE716" s="8"/>
      <c r="CF716" s="8" t="s">
        <v>543</v>
      </c>
      <c r="CG716" s="8" t="s">
        <v>181</v>
      </c>
    </row>
    <row r="717" spans="1:85" ht="15.75" customHeight="1" x14ac:dyDescent="0.35">
      <c r="A717" s="8">
        <v>710</v>
      </c>
      <c r="B717" s="8" t="s">
        <v>956</v>
      </c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>
        <v>0</v>
      </c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10">
        <v>0</v>
      </c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11">
        <v>0</v>
      </c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10">
        <v>0</v>
      </c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14">
        <v>41943</v>
      </c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 t="s">
        <v>35</v>
      </c>
      <c r="BQ717" s="8" t="s">
        <v>31</v>
      </c>
      <c r="BR717" s="8" t="s">
        <v>36</v>
      </c>
      <c r="BS717" s="10">
        <v>18805899749478</v>
      </c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 t="s">
        <v>27</v>
      </c>
      <c r="CF717" s="8" t="s">
        <v>682</v>
      </c>
      <c r="CG717" s="8" t="s">
        <v>461</v>
      </c>
    </row>
    <row r="718" spans="1:85" ht="15.75" customHeight="1" x14ac:dyDescent="0.35">
      <c r="A718" s="8">
        <v>711</v>
      </c>
      <c r="B718" s="8" t="s">
        <v>957</v>
      </c>
      <c r="C718" s="8"/>
      <c r="D718" s="8"/>
      <c r="E718" s="9">
        <v>0</v>
      </c>
      <c r="F718" s="9">
        <v>0</v>
      </c>
      <c r="G718" s="9">
        <v>0</v>
      </c>
      <c r="H718" s="9">
        <v>0</v>
      </c>
      <c r="I718" s="9">
        <v>1.8E-5</v>
      </c>
      <c r="J718" s="8"/>
      <c r="K718" s="8"/>
      <c r="L718" s="8"/>
      <c r="M718" s="8"/>
      <c r="N718" s="8"/>
      <c r="O718" s="8"/>
      <c r="P718" s="10">
        <v>0</v>
      </c>
      <c r="Q718" s="10">
        <v>0</v>
      </c>
      <c r="R718" s="10">
        <v>0</v>
      </c>
      <c r="S718" s="10">
        <v>0</v>
      </c>
      <c r="T718" s="10">
        <v>1661666</v>
      </c>
      <c r="U718" s="8"/>
      <c r="V718" s="8"/>
      <c r="W718" s="8"/>
      <c r="X718" s="8"/>
      <c r="Y718" s="8"/>
      <c r="Z718" s="8"/>
      <c r="AA718" s="11">
        <v>0</v>
      </c>
      <c r="AB718" s="11">
        <v>0</v>
      </c>
      <c r="AC718" s="11">
        <v>0</v>
      </c>
      <c r="AD718" s="12">
        <v>-1661666</v>
      </c>
      <c r="AE718" s="13">
        <v>1661666</v>
      </c>
      <c r="AF718" s="8"/>
      <c r="AG718" s="8"/>
      <c r="AH718" s="8"/>
      <c r="AI718" s="8"/>
      <c r="AJ718" s="8"/>
      <c r="AK718" s="8"/>
      <c r="AL718" s="10">
        <v>0</v>
      </c>
      <c r="AM718" s="10">
        <v>0</v>
      </c>
      <c r="AN718" s="10">
        <v>0</v>
      </c>
      <c r="AO718" s="10">
        <v>0</v>
      </c>
      <c r="AP718" s="10">
        <v>6358319597.1999998</v>
      </c>
      <c r="AQ718" s="8"/>
      <c r="AR718" s="8"/>
      <c r="AS718" s="8"/>
      <c r="AT718" s="8"/>
      <c r="AU718" s="8"/>
      <c r="AV718" s="8"/>
      <c r="AW718" s="14">
        <v>44865</v>
      </c>
      <c r="AX718" s="14">
        <v>44865</v>
      </c>
      <c r="AY718" s="14">
        <v>44012</v>
      </c>
      <c r="AZ718" s="14">
        <v>44012</v>
      </c>
      <c r="BA718" s="14">
        <v>43830</v>
      </c>
      <c r="BB718" s="8"/>
      <c r="BC718" s="8"/>
      <c r="BD718" s="8"/>
      <c r="BE718" s="8"/>
      <c r="BF718" s="8"/>
      <c r="BG718" s="8"/>
      <c r="BH718" s="8" t="s">
        <v>35</v>
      </c>
      <c r="BI718" s="8" t="s">
        <v>35</v>
      </c>
      <c r="BJ718" s="8" t="s">
        <v>35</v>
      </c>
      <c r="BK718" s="8" t="s">
        <v>35</v>
      </c>
      <c r="BL718" s="8" t="s">
        <v>35</v>
      </c>
      <c r="BM718" s="8"/>
      <c r="BN718" s="8"/>
      <c r="BO718" s="8"/>
      <c r="BP718" s="8"/>
      <c r="BQ718" s="8" t="s">
        <v>31</v>
      </c>
      <c r="BR718" s="8" t="s">
        <v>36</v>
      </c>
      <c r="BS718" s="10">
        <v>90193310853105.594</v>
      </c>
      <c r="BT718" s="8" t="s">
        <v>41</v>
      </c>
      <c r="BU718" s="8"/>
      <c r="BV718" s="8"/>
      <c r="BW718" s="8" t="s">
        <v>27</v>
      </c>
      <c r="BX718" s="8" t="s">
        <v>42</v>
      </c>
      <c r="BY718" s="8" t="s">
        <v>27</v>
      </c>
      <c r="BZ718" s="8" t="s">
        <v>27</v>
      </c>
      <c r="CA718" s="8" t="s">
        <v>27</v>
      </c>
      <c r="CB718" s="8"/>
      <c r="CC718" s="8"/>
      <c r="CD718" s="8"/>
      <c r="CE718" s="8"/>
      <c r="CF718" s="8" t="s">
        <v>140</v>
      </c>
      <c r="CG718" s="8" t="s">
        <v>39</v>
      </c>
    </row>
    <row r="719" spans="1:85" ht="15.75" customHeight="1" x14ac:dyDescent="0.35">
      <c r="A719" s="8">
        <v>712</v>
      </c>
      <c r="B719" s="8" t="s">
        <v>958</v>
      </c>
      <c r="C719" s="8"/>
      <c r="D719" s="8"/>
      <c r="E719" s="8"/>
      <c r="F719" s="9">
        <v>0</v>
      </c>
      <c r="G719" s="9">
        <v>0</v>
      </c>
      <c r="H719" s="9">
        <v>2.6499999999999999E-4</v>
      </c>
      <c r="I719" s="9">
        <v>2.2699999999999999E-4</v>
      </c>
      <c r="J719" s="8"/>
      <c r="K719" s="8"/>
      <c r="L719" s="8"/>
      <c r="M719" s="8"/>
      <c r="N719" s="8"/>
      <c r="O719" s="8"/>
      <c r="P719" s="8"/>
      <c r="Q719" s="10">
        <v>0</v>
      </c>
      <c r="R719" s="10">
        <v>0</v>
      </c>
      <c r="S719" s="10">
        <v>24452400</v>
      </c>
      <c r="T719" s="10">
        <v>20950800</v>
      </c>
      <c r="U719" s="8"/>
      <c r="V719" s="8"/>
      <c r="W719" s="8"/>
      <c r="X719" s="8"/>
      <c r="Y719" s="8"/>
      <c r="Z719" s="8"/>
      <c r="AA719" s="8"/>
      <c r="AB719" s="11">
        <v>0</v>
      </c>
      <c r="AC719" s="12">
        <v>-24452400</v>
      </c>
      <c r="AD719" s="13">
        <v>3501600</v>
      </c>
      <c r="AE719" s="13">
        <v>20950800</v>
      </c>
      <c r="AF719" s="8"/>
      <c r="AG719" s="8"/>
      <c r="AH719" s="8"/>
      <c r="AI719" s="8"/>
      <c r="AJ719" s="8"/>
      <c r="AK719" s="8"/>
      <c r="AL719" s="8"/>
      <c r="AM719" s="10">
        <v>0</v>
      </c>
      <c r="AN719" s="10">
        <v>0</v>
      </c>
      <c r="AO719" s="10">
        <v>77330714947.199997</v>
      </c>
      <c r="AP719" s="10">
        <v>80167664281.600006</v>
      </c>
      <c r="AQ719" s="8"/>
      <c r="AR719" s="8"/>
      <c r="AS719" s="8"/>
      <c r="AT719" s="8"/>
      <c r="AU719" s="8"/>
      <c r="AV719" s="8"/>
      <c r="AW719" s="8"/>
      <c r="AX719" s="14">
        <v>44377</v>
      </c>
      <c r="AY719" s="14">
        <v>44377</v>
      </c>
      <c r="AZ719" s="14">
        <v>44196</v>
      </c>
      <c r="BA719" s="14">
        <v>43830</v>
      </c>
      <c r="BB719" s="8"/>
      <c r="BC719" s="8"/>
      <c r="BD719" s="8"/>
      <c r="BE719" s="8"/>
      <c r="BF719" s="8"/>
      <c r="BG719" s="8"/>
      <c r="BH719" s="8"/>
      <c r="BI719" s="8" t="s">
        <v>35</v>
      </c>
      <c r="BJ719" s="8" t="s">
        <v>35</v>
      </c>
      <c r="BK719" s="8" t="s">
        <v>35</v>
      </c>
      <c r="BL719" s="8" t="s">
        <v>35</v>
      </c>
      <c r="BM719" s="8"/>
      <c r="BN719" s="8"/>
      <c r="BO719" s="8"/>
      <c r="BP719" s="8"/>
      <c r="BQ719" s="8" t="s">
        <v>31</v>
      </c>
      <c r="BR719" s="8" t="s">
        <v>36</v>
      </c>
      <c r="BS719" s="10">
        <v>484789980300</v>
      </c>
      <c r="BT719" s="8"/>
      <c r="BU719" s="8"/>
      <c r="BV719" s="8"/>
      <c r="BW719" s="8"/>
      <c r="BX719" s="8" t="s">
        <v>42</v>
      </c>
      <c r="BY719" s="8" t="s">
        <v>42</v>
      </c>
      <c r="BZ719" s="8" t="s">
        <v>43</v>
      </c>
      <c r="CA719" s="8" t="s">
        <v>43</v>
      </c>
      <c r="CB719" s="8"/>
      <c r="CC719" s="8"/>
      <c r="CD719" s="8"/>
      <c r="CE719" s="8"/>
      <c r="CF719" s="8" t="s">
        <v>50</v>
      </c>
      <c r="CG719" s="8" t="s">
        <v>51</v>
      </c>
    </row>
    <row r="720" spans="1:85" ht="15.75" customHeight="1" x14ac:dyDescent="0.35">
      <c r="A720" s="8">
        <v>713</v>
      </c>
      <c r="B720" s="8" t="s">
        <v>959</v>
      </c>
      <c r="C720" s="8"/>
      <c r="D720" s="8"/>
      <c r="E720" s="8"/>
      <c r="F720" s="9">
        <v>0</v>
      </c>
      <c r="G720" s="9">
        <v>0</v>
      </c>
      <c r="H720" s="9">
        <v>2.6499999999999999E-4</v>
      </c>
      <c r="I720" s="9">
        <v>2.2699999999999999E-4</v>
      </c>
      <c r="J720" s="8"/>
      <c r="K720" s="8"/>
      <c r="L720" s="8"/>
      <c r="M720" s="8"/>
      <c r="N720" s="8"/>
      <c r="O720" s="8"/>
      <c r="P720" s="8"/>
      <c r="Q720" s="10">
        <v>0</v>
      </c>
      <c r="R720" s="10">
        <v>0</v>
      </c>
      <c r="S720" s="10">
        <v>24452400</v>
      </c>
      <c r="T720" s="10">
        <v>20950800</v>
      </c>
      <c r="U720" s="8"/>
      <c r="V720" s="8"/>
      <c r="W720" s="8"/>
      <c r="X720" s="8"/>
      <c r="Y720" s="8"/>
      <c r="Z720" s="8"/>
      <c r="AA720" s="8"/>
      <c r="AB720" s="11">
        <v>0</v>
      </c>
      <c r="AC720" s="12">
        <v>-24452400</v>
      </c>
      <c r="AD720" s="13">
        <v>3501600</v>
      </c>
      <c r="AE720" s="13">
        <v>20950800</v>
      </c>
      <c r="AF720" s="8"/>
      <c r="AG720" s="8"/>
      <c r="AH720" s="8"/>
      <c r="AI720" s="8"/>
      <c r="AJ720" s="8"/>
      <c r="AK720" s="8"/>
      <c r="AL720" s="8"/>
      <c r="AM720" s="10">
        <v>0</v>
      </c>
      <c r="AN720" s="10">
        <v>0</v>
      </c>
      <c r="AO720" s="10">
        <v>77330714947.199997</v>
      </c>
      <c r="AP720" s="10">
        <v>80167664281.600006</v>
      </c>
      <c r="AQ720" s="8"/>
      <c r="AR720" s="8"/>
      <c r="AS720" s="8"/>
      <c r="AT720" s="8"/>
      <c r="AU720" s="8"/>
      <c r="AV720" s="8"/>
      <c r="AW720" s="8"/>
      <c r="AX720" s="14">
        <v>44377</v>
      </c>
      <c r="AY720" s="14">
        <v>44377</v>
      </c>
      <c r="AZ720" s="14">
        <v>44196</v>
      </c>
      <c r="BA720" s="14">
        <v>43830</v>
      </c>
      <c r="BB720" s="8"/>
      <c r="BC720" s="8"/>
      <c r="BD720" s="8"/>
      <c r="BE720" s="8"/>
      <c r="BF720" s="8"/>
      <c r="BG720" s="8"/>
      <c r="BH720" s="8"/>
      <c r="BI720" s="8" t="s">
        <v>35</v>
      </c>
      <c r="BJ720" s="8" t="s">
        <v>35</v>
      </c>
      <c r="BK720" s="8" t="s">
        <v>35</v>
      </c>
      <c r="BL720" s="8" t="s">
        <v>35</v>
      </c>
      <c r="BM720" s="8"/>
      <c r="BN720" s="8"/>
      <c r="BO720" s="8"/>
      <c r="BP720" s="8"/>
      <c r="BQ720" s="8" t="s">
        <v>31</v>
      </c>
      <c r="BR720" s="8" t="s">
        <v>49</v>
      </c>
      <c r="BS720" s="10">
        <v>3426588824903590</v>
      </c>
      <c r="BT720" s="8" t="s">
        <v>91</v>
      </c>
      <c r="BU720" s="8"/>
      <c r="BV720" s="8"/>
      <c r="BW720" s="8"/>
      <c r="BX720" s="8" t="s">
        <v>42</v>
      </c>
      <c r="BY720" s="8" t="s">
        <v>42</v>
      </c>
      <c r="BZ720" s="8" t="s">
        <v>42</v>
      </c>
      <c r="CA720" s="8" t="s">
        <v>42</v>
      </c>
      <c r="CB720" s="8"/>
      <c r="CC720" s="8"/>
      <c r="CD720" s="8"/>
      <c r="CE720" s="8"/>
      <c r="CF720" s="8" t="s">
        <v>50</v>
      </c>
      <c r="CG720" s="8" t="s">
        <v>51</v>
      </c>
    </row>
    <row r="721" spans="1:85" ht="15.75" customHeight="1" x14ac:dyDescent="0.35">
      <c r="A721" s="8">
        <v>714</v>
      </c>
      <c r="B721" s="8" t="s">
        <v>960</v>
      </c>
      <c r="C721" s="8"/>
      <c r="D721" s="8"/>
      <c r="E721" s="8"/>
      <c r="F721" s="9">
        <v>0</v>
      </c>
      <c r="G721" s="9">
        <v>0</v>
      </c>
      <c r="H721" s="9">
        <v>9.9999999999999995E-7</v>
      </c>
      <c r="I721" s="8"/>
      <c r="J721" s="8"/>
      <c r="K721" s="8"/>
      <c r="L721" s="8"/>
      <c r="M721" s="8"/>
      <c r="N721" s="8"/>
      <c r="O721" s="8"/>
      <c r="P721" s="8"/>
      <c r="Q721" s="10">
        <v>0</v>
      </c>
      <c r="R721" s="10">
        <v>0</v>
      </c>
      <c r="S721" s="10">
        <v>48992</v>
      </c>
      <c r="T721" s="8"/>
      <c r="U721" s="8"/>
      <c r="V721" s="8"/>
      <c r="W721" s="8"/>
      <c r="X721" s="8"/>
      <c r="Y721" s="8"/>
      <c r="Z721" s="8"/>
      <c r="AA721" s="8"/>
      <c r="AB721" s="11">
        <v>0</v>
      </c>
      <c r="AC721" s="12">
        <v>-48992</v>
      </c>
      <c r="AD721" s="13">
        <v>48992</v>
      </c>
      <c r="AE721" s="8"/>
      <c r="AF721" s="8"/>
      <c r="AG721" s="8"/>
      <c r="AH721" s="8"/>
      <c r="AI721" s="8"/>
      <c r="AJ721" s="8"/>
      <c r="AK721" s="8"/>
      <c r="AL721" s="8"/>
      <c r="AM721" s="10">
        <v>0</v>
      </c>
      <c r="AN721" s="10">
        <v>0</v>
      </c>
      <c r="AO721" s="10">
        <v>154937156.40000001</v>
      </c>
      <c r="AP721" s="8"/>
      <c r="AQ721" s="8"/>
      <c r="AR721" s="8"/>
      <c r="AS721" s="8"/>
      <c r="AT721" s="8"/>
      <c r="AU721" s="8"/>
      <c r="AV721" s="8"/>
      <c r="AW721" s="8"/>
      <c r="AX721" s="14">
        <v>44561</v>
      </c>
      <c r="AY721" s="14">
        <v>44561</v>
      </c>
      <c r="AZ721" s="14">
        <v>44196</v>
      </c>
      <c r="BA721" s="8"/>
      <c r="BB721" s="8"/>
      <c r="BC721" s="8"/>
      <c r="BD721" s="8"/>
      <c r="BE721" s="8"/>
      <c r="BF721" s="8"/>
      <c r="BG721" s="8"/>
      <c r="BH721" s="8"/>
      <c r="BI721" s="8" t="s">
        <v>35</v>
      </c>
      <c r="BJ721" s="8" t="s">
        <v>35</v>
      </c>
      <c r="BK721" s="8" t="s">
        <v>35</v>
      </c>
      <c r="BL721" s="8"/>
      <c r="BM721" s="8"/>
      <c r="BN721" s="8"/>
      <c r="BO721" s="8"/>
      <c r="BP721" s="8"/>
      <c r="BQ721" s="8" t="s">
        <v>31</v>
      </c>
      <c r="BR721" s="8" t="s">
        <v>36</v>
      </c>
      <c r="BS721" s="10">
        <v>937415705931.59998</v>
      </c>
      <c r="BT721" s="8"/>
      <c r="BU721" s="8"/>
      <c r="BV721" s="8"/>
      <c r="BW721" s="8"/>
      <c r="BX721" s="8" t="s">
        <v>27</v>
      </c>
      <c r="BY721" s="8" t="s">
        <v>42</v>
      </c>
      <c r="BZ721" s="8" t="s">
        <v>43</v>
      </c>
      <c r="CA721" s="8"/>
      <c r="CB721" s="8"/>
      <c r="CC721" s="8"/>
      <c r="CD721" s="8"/>
      <c r="CE721" s="8"/>
      <c r="CF721" s="8" t="s">
        <v>373</v>
      </c>
      <c r="CG721" s="8" t="s">
        <v>181</v>
      </c>
    </row>
    <row r="722" spans="1:85" ht="15.75" customHeight="1" x14ac:dyDescent="0.35">
      <c r="A722" s="8">
        <v>715</v>
      </c>
      <c r="B722" s="8" t="s">
        <v>961</v>
      </c>
      <c r="C722" s="8"/>
      <c r="D722" s="8"/>
      <c r="E722" s="8"/>
      <c r="F722" s="8"/>
      <c r="G722" s="8"/>
      <c r="H722" s="8"/>
      <c r="I722" s="9">
        <v>3.4E-5</v>
      </c>
      <c r="J722" s="9">
        <v>3.4E-5</v>
      </c>
      <c r="K722" s="9">
        <v>4.5000000000000003E-5</v>
      </c>
      <c r="L722" s="9">
        <v>7.6000000000000004E-5</v>
      </c>
      <c r="M722" s="9">
        <v>1.64E-4</v>
      </c>
      <c r="N722" s="8"/>
      <c r="O722" s="8"/>
      <c r="P722" s="8"/>
      <c r="Q722" s="8"/>
      <c r="R722" s="8"/>
      <c r="S722" s="8"/>
      <c r="T722" s="10">
        <v>3180600</v>
      </c>
      <c r="U722" s="10">
        <v>3180600</v>
      </c>
      <c r="V722" s="10">
        <v>4180600</v>
      </c>
      <c r="W722" s="10">
        <v>7033000</v>
      </c>
      <c r="X722" s="10">
        <v>15118600</v>
      </c>
      <c r="Y722" s="8"/>
      <c r="Z722" s="8"/>
      <c r="AA722" s="8"/>
      <c r="AB722" s="8"/>
      <c r="AC722" s="8"/>
      <c r="AD722" s="8"/>
      <c r="AE722" s="11">
        <v>0</v>
      </c>
      <c r="AF722" s="12">
        <v>-1000000</v>
      </c>
      <c r="AG722" s="12">
        <v>-2852400</v>
      </c>
      <c r="AH722" s="12">
        <v>-8085600</v>
      </c>
      <c r="AI722" s="13">
        <v>696000</v>
      </c>
      <c r="AJ722" s="8"/>
      <c r="AK722" s="8"/>
      <c r="AL722" s="8"/>
      <c r="AM722" s="8"/>
      <c r="AN722" s="8"/>
      <c r="AO722" s="8"/>
      <c r="AP722" s="10">
        <v>10893554976.75</v>
      </c>
      <c r="AQ722" s="10">
        <v>10893554976.75</v>
      </c>
      <c r="AR722" s="10">
        <v>16722399980.700001</v>
      </c>
      <c r="AS722" s="10">
        <v>20351743796.400002</v>
      </c>
      <c r="AT722" s="10">
        <v>34974448157.099998</v>
      </c>
      <c r="AU722" s="8"/>
      <c r="AV722" s="8"/>
      <c r="AW722" s="8"/>
      <c r="AX722" s="8"/>
      <c r="AY722" s="8"/>
      <c r="AZ722" s="8"/>
      <c r="BA722" s="14">
        <v>43281</v>
      </c>
      <c r="BB722" s="14">
        <v>43281</v>
      </c>
      <c r="BC722" s="14">
        <v>43100</v>
      </c>
      <c r="BD722" s="14">
        <v>42735</v>
      </c>
      <c r="BE722" s="14">
        <v>42369</v>
      </c>
      <c r="BF722" s="8"/>
      <c r="BG722" s="8"/>
      <c r="BH722" s="8"/>
      <c r="BI722" s="8"/>
      <c r="BJ722" s="8"/>
      <c r="BK722" s="8"/>
      <c r="BL722" s="8" t="s">
        <v>35</v>
      </c>
      <c r="BM722" s="8" t="s">
        <v>35</v>
      </c>
      <c r="BN722" s="8" t="s">
        <v>35</v>
      </c>
      <c r="BO722" s="8" t="s">
        <v>35</v>
      </c>
      <c r="BP722" s="8" t="s">
        <v>35</v>
      </c>
      <c r="BQ722" s="8" t="s">
        <v>31</v>
      </c>
      <c r="BR722" s="8" t="s">
        <v>36</v>
      </c>
      <c r="BS722" s="10">
        <v>11844607945.200001</v>
      </c>
      <c r="BT722" s="8"/>
      <c r="BU722" s="8"/>
      <c r="BV722" s="8"/>
      <c r="BW722" s="8"/>
      <c r="BX722" s="8"/>
      <c r="BY722" s="8"/>
      <c r="BZ722" s="8"/>
      <c r="CA722" s="8" t="s">
        <v>27</v>
      </c>
      <c r="CB722" s="8" t="s">
        <v>27</v>
      </c>
      <c r="CC722" s="8" t="s">
        <v>27</v>
      </c>
      <c r="CD722" s="8" t="s">
        <v>27</v>
      </c>
      <c r="CE722" s="8" t="s">
        <v>27</v>
      </c>
      <c r="CF722" s="8" t="s">
        <v>476</v>
      </c>
      <c r="CG722" s="8" t="s">
        <v>39</v>
      </c>
    </row>
    <row r="723" spans="1:85" ht="15.75" hidden="1" customHeight="1" x14ac:dyDescent="0.35">
      <c r="A723" s="8">
        <v>716</v>
      </c>
      <c r="B723" s="8" t="s">
        <v>962</v>
      </c>
      <c r="C723" s="8"/>
      <c r="D723" s="8"/>
      <c r="E723" s="8"/>
      <c r="F723" s="8"/>
      <c r="G723" s="8"/>
      <c r="H723" s="8"/>
      <c r="I723" s="8"/>
      <c r="J723" s="8"/>
      <c r="K723" s="9">
        <v>7.9999999999999996E-6</v>
      </c>
      <c r="L723" s="9">
        <v>7.9999999999999996E-6</v>
      </c>
      <c r="M723" s="8"/>
      <c r="N723" s="8"/>
      <c r="O723" s="8"/>
      <c r="P723" s="8"/>
      <c r="Q723" s="8"/>
      <c r="R723" s="8"/>
      <c r="S723" s="8"/>
      <c r="T723" s="8"/>
      <c r="U723" s="8"/>
      <c r="V723" s="10">
        <v>720000</v>
      </c>
      <c r="W723" s="10">
        <v>720000</v>
      </c>
      <c r="X723" s="8"/>
      <c r="Y723" s="8"/>
      <c r="Z723" s="8"/>
      <c r="AA723" s="8"/>
      <c r="AB723" s="8"/>
      <c r="AC723" s="8"/>
      <c r="AD723" s="8"/>
      <c r="AE723" s="8"/>
      <c r="AF723" s="8"/>
      <c r="AG723" s="11">
        <v>0</v>
      </c>
      <c r="AH723" s="13">
        <v>720000</v>
      </c>
      <c r="AI723" s="8"/>
      <c r="AJ723" s="8"/>
      <c r="AK723" s="8"/>
      <c r="AL723" s="8"/>
      <c r="AM723" s="8"/>
      <c r="AN723" s="8"/>
      <c r="AO723" s="8"/>
      <c r="AP723" s="8"/>
      <c r="AQ723" s="8"/>
      <c r="AR723" s="10">
        <v>2879999935.8499999</v>
      </c>
      <c r="AS723" s="10">
        <v>2083499998.2</v>
      </c>
      <c r="AT723" s="8"/>
      <c r="AU723" s="8"/>
      <c r="AV723" s="8"/>
      <c r="AW723" s="8"/>
      <c r="AX723" s="8"/>
      <c r="AY723" s="8"/>
      <c r="AZ723" s="8"/>
      <c r="BA723" s="8"/>
      <c r="BB723" s="8"/>
      <c r="BC723" s="14">
        <v>43100</v>
      </c>
      <c r="BD723" s="14">
        <v>42735</v>
      </c>
      <c r="BE723" s="8"/>
      <c r="BF723" s="8"/>
      <c r="BG723" s="8"/>
      <c r="BH723" s="8"/>
      <c r="BI723" s="8"/>
      <c r="BJ723" s="8"/>
      <c r="BK723" s="8"/>
      <c r="BL723" s="8"/>
      <c r="BM723" s="8"/>
      <c r="BN723" s="8" t="s">
        <v>201</v>
      </c>
      <c r="BO723" s="8" t="s">
        <v>201</v>
      </c>
      <c r="BP723" s="8"/>
      <c r="BQ723" s="8" t="s">
        <v>25</v>
      </c>
      <c r="BR723" s="8" t="s">
        <v>202</v>
      </c>
      <c r="BS723" s="10">
        <v>3541631040</v>
      </c>
      <c r="BT723" s="8"/>
      <c r="BU723" s="8"/>
      <c r="BV723" s="8"/>
      <c r="BW723" s="8"/>
      <c r="BX723" s="8"/>
      <c r="BY723" s="8"/>
      <c r="BZ723" s="8"/>
      <c r="CA723" s="8"/>
      <c r="CB723" s="8"/>
      <c r="CC723" s="8" t="s">
        <v>27</v>
      </c>
      <c r="CD723" s="8" t="s">
        <v>27</v>
      </c>
      <c r="CE723" s="8"/>
      <c r="CF723" s="8"/>
      <c r="CG723" s="8" t="s">
        <v>29</v>
      </c>
    </row>
    <row r="724" spans="1:85" ht="15.75" customHeight="1" x14ac:dyDescent="0.35">
      <c r="A724" s="8">
        <v>717</v>
      </c>
      <c r="B724" s="8" t="s">
        <v>963</v>
      </c>
      <c r="C724" s="8"/>
      <c r="D724" s="9">
        <v>0</v>
      </c>
      <c r="E724" s="9">
        <v>0</v>
      </c>
      <c r="F724" s="9">
        <v>8.7000000000000001E-5</v>
      </c>
      <c r="G724" s="8"/>
      <c r="H724" s="8"/>
      <c r="I724" s="8"/>
      <c r="J724" s="8"/>
      <c r="K724" s="8"/>
      <c r="L724" s="8"/>
      <c r="M724" s="8"/>
      <c r="N724" s="8"/>
      <c r="O724" s="10">
        <v>0</v>
      </c>
      <c r="P724" s="10">
        <v>0</v>
      </c>
      <c r="Q724" s="10">
        <v>8000000</v>
      </c>
      <c r="R724" s="8"/>
      <c r="S724" s="8"/>
      <c r="T724" s="8"/>
      <c r="U724" s="8"/>
      <c r="V724" s="8"/>
      <c r="W724" s="8"/>
      <c r="X724" s="8"/>
      <c r="Y724" s="8"/>
      <c r="Z724" s="11">
        <v>0</v>
      </c>
      <c r="AA724" s="12">
        <v>-8000000</v>
      </c>
      <c r="AB724" s="13">
        <v>8000000</v>
      </c>
      <c r="AC724" s="8"/>
      <c r="AD724" s="8"/>
      <c r="AE724" s="8"/>
      <c r="AF724" s="8"/>
      <c r="AG724" s="8"/>
      <c r="AH724" s="8"/>
      <c r="AI724" s="8"/>
      <c r="AJ724" s="8"/>
      <c r="AK724" s="10">
        <v>0</v>
      </c>
      <c r="AL724" s="10">
        <v>0</v>
      </c>
      <c r="AM724" s="10">
        <v>31700000000.25</v>
      </c>
      <c r="AN724" s="8"/>
      <c r="AO724" s="8"/>
      <c r="AP724" s="8"/>
      <c r="AQ724" s="8"/>
      <c r="AR724" s="8"/>
      <c r="AS724" s="8"/>
      <c r="AT724" s="8"/>
      <c r="AU724" s="8"/>
      <c r="AV724" s="14">
        <v>45107</v>
      </c>
      <c r="AW724" s="14">
        <v>45107</v>
      </c>
      <c r="AX724" s="14">
        <v>44742</v>
      </c>
      <c r="AY724" s="8"/>
      <c r="AZ724" s="8"/>
      <c r="BA724" s="8"/>
      <c r="BB724" s="8"/>
      <c r="BC724" s="8"/>
      <c r="BD724" s="8"/>
      <c r="BE724" s="8"/>
      <c r="BF724" s="8"/>
      <c r="BG724" s="8" t="s">
        <v>35</v>
      </c>
      <c r="BH724" s="8" t="s">
        <v>35</v>
      </c>
      <c r="BI724" s="8" t="s">
        <v>35</v>
      </c>
      <c r="BJ724" s="8"/>
      <c r="BK724" s="8"/>
      <c r="BL724" s="8"/>
      <c r="BM724" s="8"/>
      <c r="BN724" s="8"/>
      <c r="BO724" s="8"/>
      <c r="BP724" s="8"/>
      <c r="BQ724" s="8" t="s">
        <v>31</v>
      </c>
      <c r="BR724" s="8" t="s">
        <v>36</v>
      </c>
      <c r="BS724" s="10">
        <v>5498879610385.2002</v>
      </c>
      <c r="BT724" s="8"/>
      <c r="BU724" s="8"/>
      <c r="BV724" s="8" t="s">
        <v>27</v>
      </c>
      <c r="BW724" s="8" t="s">
        <v>27</v>
      </c>
      <c r="BX724" s="8" t="s">
        <v>27</v>
      </c>
      <c r="BY724" s="8"/>
      <c r="BZ724" s="8"/>
      <c r="CA724" s="8"/>
      <c r="CB724" s="8"/>
      <c r="CC724" s="8"/>
      <c r="CD724" s="8"/>
      <c r="CE724" s="8"/>
      <c r="CF724" s="8" t="s">
        <v>232</v>
      </c>
      <c r="CG724" s="8" t="s">
        <v>232</v>
      </c>
    </row>
    <row r="725" spans="1:85" ht="15.75" customHeight="1" x14ac:dyDescent="0.35">
      <c r="A725" s="8">
        <v>718</v>
      </c>
      <c r="B725" s="8" t="s">
        <v>964</v>
      </c>
      <c r="C725" s="8"/>
      <c r="D725" s="8"/>
      <c r="E725" s="8"/>
      <c r="F725" s="8"/>
      <c r="G725" s="8"/>
      <c r="H725" s="9">
        <v>0</v>
      </c>
      <c r="I725" s="9">
        <v>0</v>
      </c>
      <c r="J725" s="9">
        <v>5.3000000000000001E-5</v>
      </c>
      <c r="K725" s="8"/>
      <c r="L725" s="8"/>
      <c r="M725" s="8"/>
      <c r="N725" s="8"/>
      <c r="O725" s="8"/>
      <c r="P725" s="8"/>
      <c r="Q725" s="8"/>
      <c r="R725" s="8"/>
      <c r="S725" s="10">
        <v>0</v>
      </c>
      <c r="T725" s="10">
        <v>0</v>
      </c>
      <c r="U725" s="10">
        <v>4875200</v>
      </c>
      <c r="V725" s="8"/>
      <c r="W725" s="8"/>
      <c r="X725" s="8"/>
      <c r="Y725" s="8"/>
      <c r="Z725" s="8"/>
      <c r="AA725" s="8"/>
      <c r="AB725" s="8"/>
      <c r="AC725" s="8"/>
      <c r="AD725" s="11">
        <v>0</v>
      </c>
      <c r="AE725" s="12">
        <v>-4875200</v>
      </c>
      <c r="AF725" s="13">
        <v>4875200</v>
      </c>
      <c r="AG725" s="8"/>
      <c r="AH725" s="8"/>
      <c r="AI725" s="8"/>
      <c r="AJ725" s="8"/>
      <c r="AK725" s="8"/>
      <c r="AL725" s="8"/>
      <c r="AM725" s="8"/>
      <c r="AN725" s="8"/>
      <c r="AO725" s="10">
        <v>0</v>
      </c>
      <c r="AP725" s="10">
        <v>0</v>
      </c>
      <c r="AQ725" s="10">
        <v>16392860055</v>
      </c>
      <c r="AR725" s="8"/>
      <c r="AS725" s="8"/>
      <c r="AT725" s="8"/>
      <c r="AU725" s="8"/>
      <c r="AV725" s="8"/>
      <c r="AW725" s="8"/>
      <c r="AX725" s="8"/>
      <c r="AY725" s="8"/>
      <c r="AZ725" s="14">
        <v>43738</v>
      </c>
      <c r="BA725" s="14">
        <v>43738</v>
      </c>
      <c r="BB725" s="14">
        <v>43373</v>
      </c>
      <c r="BC725" s="8"/>
      <c r="BD725" s="8"/>
      <c r="BE725" s="8"/>
      <c r="BF725" s="8"/>
      <c r="BG725" s="8"/>
      <c r="BH725" s="8"/>
      <c r="BI725" s="8"/>
      <c r="BJ725" s="8"/>
      <c r="BK725" s="8" t="s">
        <v>35</v>
      </c>
      <c r="BL725" s="8" t="s">
        <v>35</v>
      </c>
      <c r="BM725" s="8" t="s">
        <v>35</v>
      </c>
      <c r="BN725" s="8"/>
      <c r="BO725" s="8"/>
      <c r="BP725" s="8"/>
      <c r="BQ725" s="8" t="s">
        <v>31</v>
      </c>
      <c r="BR725" s="8" t="s">
        <v>49</v>
      </c>
      <c r="BS725" s="10">
        <v>873232683057.59998</v>
      </c>
      <c r="BT725" s="8"/>
      <c r="BU725" s="8"/>
      <c r="BV725" s="8"/>
      <c r="BW725" s="8"/>
      <c r="BX725" s="8"/>
      <c r="BY725" s="8"/>
      <c r="BZ725" s="8" t="s">
        <v>27</v>
      </c>
      <c r="CA725" s="8" t="s">
        <v>27</v>
      </c>
      <c r="CB725" s="8"/>
      <c r="CC725" s="8"/>
      <c r="CD725" s="8"/>
      <c r="CE725" s="8"/>
      <c r="CF725" s="8" t="s">
        <v>70</v>
      </c>
      <c r="CG725" s="8" t="s">
        <v>71</v>
      </c>
    </row>
    <row r="726" spans="1:85" ht="15.75" customHeight="1" x14ac:dyDescent="0.35">
      <c r="A726" s="8">
        <v>719</v>
      </c>
      <c r="B726" s="8" t="s">
        <v>965</v>
      </c>
      <c r="C726" s="8"/>
      <c r="D726" s="8"/>
      <c r="E726" s="8"/>
      <c r="F726" s="8"/>
      <c r="G726" s="8"/>
      <c r="H726" s="8"/>
      <c r="I726" s="8"/>
      <c r="J726" s="9">
        <v>0</v>
      </c>
      <c r="K726" s="9">
        <v>0</v>
      </c>
      <c r="L726" s="9">
        <v>3.9999999999999998E-6</v>
      </c>
      <c r="M726" s="9">
        <v>0</v>
      </c>
      <c r="N726" s="8"/>
      <c r="O726" s="8"/>
      <c r="P726" s="8"/>
      <c r="Q726" s="8"/>
      <c r="R726" s="8"/>
      <c r="S726" s="8"/>
      <c r="T726" s="8"/>
      <c r="U726" s="10">
        <v>0</v>
      </c>
      <c r="V726" s="10">
        <v>0</v>
      </c>
      <c r="W726" s="10">
        <v>364400</v>
      </c>
      <c r="X726" s="10">
        <v>0</v>
      </c>
      <c r="Y726" s="8"/>
      <c r="Z726" s="8"/>
      <c r="AA726" s="8"/>
      <c r="AB726" s="8"/>
      <c r="AC726" s="8"/>
      <c r="AD726" s="8"/>
      <c r="AE726" s="8"/>
      <c r="AF726" s="11">
        <v>0</v>
      </c>
      <c r="AG726" s="12">
        <v>-364400</v>
      </c>
      <c r="AH726" s="13">
        <v>364400</v>
      </c>
      <c r="AI726" s="11">
        <v>0</v>
      </c>
      <c r="AJ726" s="8"/>
      <c r="AK726" s="8"/>
      <c r="AL726" s="8"/>
      <c r="AM726" s="8"/>
      <c r="AN726" s="8"/>
      <c r="AO726" s="8"/>
      <c r="AP726" s="8"/>
      <c r="AQ726" s="10">
        <v>0</v>
      </c>
      <c r="AR726" s="10">
        <v>0</v>
      </c>
      <c r="AS726" s="10">
        <v>1054482516.6</v>
      </c>
      <c r="AT726" s="10">
        <v>0</v>
      </c>
      <c r="AU726" s="8"/>
      <c r="AV726" s="8"/>
      <c r="AW726" s="8"/>
      <c r="AX726" s="8"/>
      <c r="AY726" s="8"/>
      <c r="AZ726" s="8"/>
      <c r="BA726" s="8"/>
      <c r="BB726" s="14">
        <v>42825</v>
      </c>
      <c r="BC726" s="14">
        <v>42825</v>
      </c>
      <c r="BD726" s="14">
        <v>42735</v>
      </c>
      <c r="BE726" s="14">
        <v>42308</v>
      </c>
      <c r="BF726" s="8"/>
      <c r="BG726" s="8"/>
      <c r="BH726" s="8"/>
      <c r="BI726" s="8"/>
      <c r="BJ726" s="8"/>
      <c r="BK726" s="8"/>
      <c r="BL726" s="8"/>
      <c r="BM726" s="8" t="s">
        <v>35</v>
      </c>
      <c r="BN726" s="8" t="s">
        <v>35</v>
      </c>
      <c r="BO726" s="8" t="s">
        <v>35</v>
      </c>
      <c r="BP726" s="8" t="s">
        <v>35</v>
      </c>
      <c r="BQ726" s="8" t="s">
        <v>31</v>
      </c>
      <c r="BR726" s="8" t="s">
        <v>36</v>
      </c>
      <c r="BS726" s="10">
        <v>100099830298057</v>
      </c>
      <c r="BT726" s="8" t="s">
        <v>41</v>
      </c>
      <c r="BU726" s="8"/>
      <c r="BV726" s="8"/>
      <c r="BW726" s="8"/>
      <c r="BX726" s="8"/>
      <c r="BY726" s="8"/>
      <c r="BZ726" s="8"/>
      <c r="CA726" s="8"/>
      <c r="CB726" s="8" t="s">
        <v>42</v>
      </c>
      <c r="CC726" s="8" t="s">
        <v>42</v>
      </c>
      <c r="CD726" s="8" t="s">
        <v>42</v>
      </c>
      <c r="CE726" s="8" t="s">
        <v>42</v>
      </c>
      <c r="CF726" s="8" t="s">
        <v>357</v>
      </c>
      <c r="CG726" s="8" t="s">
        <v>51</v>
      </c>
    </row>
    <row r="727" spans="1:85" ht="15.75" customHeight="1" x14ac:dyDescent="0.35">
      <c r="A727" s="8">
        <v>720</v>
      </c>
      <c r="B727" s="8" t="s">
        <v>966</v>
      </c>
      <c r="C727" s="8"/>
      <c r="D727" s="8"/>
      <c r="E727" s="8"/>
      <c r="F727" s="8"/>
      <c r="G727" s="8"/>
      <c r="H727" s="8"/>
      <c r="I727" s="9">
        <v>2.1999999999999999E-5</v>
      </c>
      <c r="J727" s="9">
        <v>2.1999999999999999E-5</v>
      </c>
      <c r="K727" s="9">
        <v>2.6999999999999999E-5</v>
      </c>
      <c r="L727" s="8"/>
      <c r="M727" s="8"/>
      <c r="N727" s="8"/>
      <c r="O727" s="8"/>
      <c r="P727" s="8"/>
      <c r="Q727" s="8"/>
      <c r="R727" s="8"/>
      <c r="S727" s="8"/>
      <c r="T727" s="10">
        <v>2036600</v>
      </c>
      <c r="U727" s="10">
        <v>2036600</v>
      </c>
      <c r="V727" s="10">
        <v>2500000</v>
      </c>
      <c r="W727" s="8"/>
      <c r="X727" s="8"/>
      <c r="Y727" s="8"/>
      <c r="Z727" s="8"/>
      <c r="AA727" s="8"/>
      <c r="AB727" s="8"/>
      <c r="AC727" s="8"/>
      <c r="AD727" s="8"/>
      <c r="AE727" s="11">
        <v>0</v>
      </c>
      <c r="AF727" s="12">
        <v>-463400</v>
      </c>
      <c r="AG727" s="13">
        <v>2500000</v>
      </c>
      <c r="AH727" s="8"/>
      <c r="AI727" s="8"/>
      <c r="AJ727" s="8"/>
      <c r="AK727" s="8"/>
      <c r="AL727" s="8"/>
      <c r="AM727" s="8"/>
      <c r="AN727" s="8"/>
      <c r="AO727" s="8"/>
      <c r="AP727" s="10">
        <v>7417087725</v>
      </c>
      <c r="AQ727" s="10">
        <v>7417087725</v>
      </c>
      <c r="AR727" s="10">
        <v>9999999984.5</v>
      </c>
      <c r="AS727" s="8"/>
      <c r="AT727" s="8"/>
      <c r="AU727" s="8"/>
      <c r="AV727" s="8"/>
      <c r="AW727" s="8"/>
      <c r="AX727" s="8"/>
      <c r="AY727" s="8"/>
      <c r="AZ727" s="8"/>
      <c r="BA727" s="14">
        <v>43465</v>
      </c>
      <c r="BB727" s="14">
        <v>43465</v>
      </c>
      <c r="BC727" s="14">
        <v>43100</v>
      </c>
      <c r="BD727" s="8"/>
      <c r="BE727" s="8"/>
      <c r="BF727" s="8"/>
      <c r="BG727" s="8"/>
      <c r="BH727" s="8"/>
      <c r="BI727" s="8"/>
      <c r="BJ727" s="8"/>
      <c r="BK727" s="8"/>
      <c r="BL727" s="8" t="s">
        <v>35</v>
      </c>
      <c r="BM727" s="8" t="s">
        <v>35</v>
      </c>
      <c r="BN727" s="8" t="s">
        <v>35</v>
      </c>
      <c r="BO727" s="8"/>
      <c r="BP727" s="8"/>
      <c r="BQ727" s="8" t="s">
        <v>31</v>
      </c>
      <c r="BR727" s="8" t="s">
        <v>36</v>
      </c>
      <c r="BS727" s="10">
        <v>247860214986922</v>
      </c>
      <c r="BT727" s="8" t="s">
        <v>41</v>
      </c>
      <c r="BU727" s="8"/>
      <c r="BV727" s="8"/>
      <c r="BW727" s="8"/>
      <c r="BX727" s="8"/>
      <c r="BY727" s="8"/>
      <c r="BZ727" s="8"/>
      <c r="CA727" s="8" t="s">
        <v>27</v>
      </c>
      <c r="CB727" s="8" t="s">
        <v>27</v>
      </c>
      <c r="CC727" s="8" t="s">
        <v>27</v>
      </c>
      <c r="CD727" s="8"/>
      <c r="CE727" s="8"/>
      <c r="CF727" s="8" t="s">
        <v>50</v>
      </c>
      <c r="CG727" s="8" t="s">
        <v>51</v>
      </c>
    </row>
    <row r="728" spans="1:85" ht="15.75" customHeight="1" x14ac:dyDescent="0.35">
      <c r="A728" s="8">
        <v>721</v>
      </c>
      <c r="B728" s="8" t="s">
        <v>967</v>
      </c>
      <c r="C728" s="8"/>
      <c r="D728" s="8"/>
      <c r="E728" s="8"/>
      <c r="F728" s="8"/>
      <c r="G728" s="8"/>
      <c r="H728" s="8"/>
      <c r="I728" s="9">
        <v>4.7410000000000004E-3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0">
        <v>438075440</v>
      </c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13">
        <v>438075440</v>
      </c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10">
        <v>1676283713600</v>
      </c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14">
        <v>43830</v>
      </c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 t="s">
        <v>24</v>
      </c>
      <c r="BM728" s="8"/>
      <c r="BN728" s="8"/>
      <c r="BO728" s="8"/>
      <c r="BP728" s="8"/>
      <c r="BQ728" s="8" t="s">
        <v>31</v>
      </c>
      <c r="BR728" s="8" t="s">
        <v>32</v>
      </c>
      <c r="BS728" s="10">
        <v>80047544473768.797</v>
      </c>
      <c r="BT728" s="8"/>
      <c r="BU728" s="8"/>
      <c r="BV728" s="8"/>
      <c r="BW728" s="8"/>
      <c r="BX728" s="8"/>
      <c r="BY728" s="8"/>
      <c r="BZ728" s="8"/>
      <c r="CA728" s="8" t="s">
        <v>27</v>
      </c>
      <c r="CB728" s="8"/>
      <c r="CC728" s="8"/>
      <c r="CD728" s="8"/>
      <c r="CE728" s="8"/>
      <c r="CF728" s="8" t="s">
        <v>968</v>
      </c>
      <c r="CG728" s="8" t="s">
        <v>969</v>
      </c>
    </row>
    <row r="729" spans="1:85" ht="15.75" customHeight="1" x14ac:dyDescent="0.35">
      <c r="A729" s="8">
        <v>722</v>
      </c>
      <c r="B729" s="8" t="s">
        <v>970</v>
      </c>
      <c r="C729" s="8"/>
      <c r="D729" s="8"/>
      <c r="E729" s="8"/>
      <c r="F729" s="9">
        <v>6.0999999999999999E-5</v>
      </c>
      <c r="G729" s="9">
        <v>6.0999999999999999E-5</v>
      </c>
      <c r="H729" s="8"/>
      <c r="I729" s="8"/>
      <c r="J729" s="8"/>
      <c r="K729" s="8"/>
      <c r="L729" s="8"/>
      <c r="M729" s="8"/>
      <c r="N729" s="8"/>
      <c r="O729" s="8"/>
      <c r="P729" s="8"/>
      <c r="Q729" s="10">
        <v>5680592</v>
      </c>
      <c r="R729" s="10">
        <v>5680592</v>
      </c>
      <c r="S729" s="8"/>
      <c r="T729" s="8"/>
      <c r="U729" s="8"/>
      <c r="V729" s="8"/>
      <c r="W729" s="8"/>
      <c r="X729" s="8"/>
      <c r="Y729" s="8"/>
      <c r="Z729" s="8"/>
      <c r="AA729" s="8"/>
      <c r="AB729" s="11">
        <v>0</v>
      </c>
      <c r="AC729" s="13">
        <v>5680592</v>
      </c>
      <c r="AD729" s="8"/>
      <c r="AE729" s="8"/>
      <c r="AF729" s="8"/>
      <c r="AG729" s="8"/>
      <c r="AH729" s="8"/>
      <c r="AI729" s="8"/>
      <c r="AJ729" s="8"/>
      <c r="AK729" s="8"/>
      <c r="AL729" s="8"/>
      <c r="AM729" s="10">
        <v>17467820469.900002</v>
      </c>
      <c r="AN729" s="10">
        <v>17467820469.900002</v>
      </c>
      <c r="AO729" s="8"/>
      <c r="AP729" s="8"/>
      <c r="AQ729" s="8"/>
      <c r="AR729" s="8"/>
      <c r="AS729" s="8"/>
      <c r="AT729" s="8"/>
      <c r="AU729" s="8"/>
      <c r="AV729" s="8"/>
      <c r="AW729" s="8"/>
      <c r="AX729" s="14">
        <v>44469</v>
      </c>
      <c r="AY729" s="14">
        <v>44469</v>
      </c>
      <c r="AZ729" s="8"/>
      <c r="BA729" s="8"/>
      <c r="BB729" s="8"/>
      <c r="BC729" s="8"/>
      <c r="BD729" s="8"/>
      <c r="BE729" s="8"/>
      <c r="BF729" s="8"/>
      <c r="BG729" s="8"/>
      <c r="BH729" s="8"/>
      <c r="BI729" s="8" t="s">
        <v>35</v>
      </c>
      <c r="BJ729" s="8" t="s">
        <v>35</v>
      </c>
      <c r="BK729" s="8"/>
      <c r="BL729" s="8"/>
      <c r="BM729" s="8"/>
      <c r="BN729" s="8"/>
      <c r="BO729" s="8"/>
      <c r="BP729" s="8"/>
      <c r="BQ729" s="8" t="s">
        <v>31</v>
      </c>
      <c r="BR729" s="8" t="s">
        <v>36</v>
      </c>
      <c r="BS729" s="10">
        <v>15249317040037.199</v>
      </c>
      <c r="BT729" s="8" t="s">
        <v>41</v>
      </c>
      <c r="BU729" s="8"/>
      <c r="BV729" s="8"/>
      <c r="BW729" s="8"/>
      <c r="BX729" s="8" t="s">
        <v>27</v>
      </c>
      <c r="BY729" s="8" t="s">
        <v>42</v>
      </c>
      <c r="BZ729" s="8"/>
      <c r="CA729" s="8"/>
      <c r="CB729" s="8"/>
      <c r="CC729" s="8"/>
      <c r="CD729" s="8"/>
      <c r="CE729" s="8"/>
      <c r="CF729" s="8" t="s">
        <v>131</v>
      </c>
      <c r="CG729" s="8" t="s">
        <v>132</v>
      </c>
    </row>
    <row r="730" spans="1:85" ht="15.75" customHeight="1" x14ac:dyDescent="0.35">
      <c r="A730" s="8">
        <v>723</v>
      </c>
      <c r="B730" s="8" t="s">
        <v>971</v>
      </c>
      <c r="C730" s="8"/>
      <c r="D730" s="8"/>
      <c r="E730" s="8"/>
      <c r="F730" s="8"/>
      <c r="G730" s="8"/>
      <c r="H730" s="8"/>
      <c r="I730" s="9">
        <v>0</v>
      </c>
      <c r="J730" s="9">
        <v>0</v>
      </c>
      <c r="K730" s="9">
        <v>0</v>
      </c>
      <c r="L730" s="9">
        <v>0</v>
      </c>
      <c r="M730" s="9">
        <v>9.0000000000000002E-6</v>
      </c>
      <c r="N730" s="8"/>
      <c r="O730" s="8"/>
      <c r="P730" s="8"/>
      <c r="Q730" s="8"/>
      <c r="R730" s="8"/>
      <c r="S730" s="8"/>
      <c r="T730" s="10">
        <v>0</v>
      </c>
      <c r="U730" s="10">
        <v>0</v>
      </c>
      <c r="V730" s="10">
        <v>0</v>
      </c>
      <c r="W730" s="10">
        <v>0</v>
      </c>
      <c r="X730" s="10">
        <v>827092</v>
      </c>
      <c r="Y730" s="8"/>
      <c r="Z730" s="8"/>
      <c r="AA730" s="8"/>
      <c r="AB730" s="8"/>
      <c r="AC730" s="8"/>
      <c r="AD730" s="8"/>
      <c r="AE730" s="11">
        <v>0</v>
      </c>
      <c r="AF730" s="11">
        <v>0</v>
      </c>
      <c r="AG730" s="11">
        <v>0</v>
      </c>
      <c r="AH730" s="12">
        <v>-827092</v>
      </c>
      <c r="AI730" s="11">
        <v>0</v>
      </c>
      <c r="AJ730" s="8"/>
      <c r="AK730" s="8"/>
      <c r="AL730" s="8"/>
      <c r="AM730" s="8"/>
      <c r="AN730" s="8"/>
      <c r="AO730" s="8"/>
      <c r="AP730" s="10">
        <v>0</v>
      </c>
      <c r="AQ730" s="10">
        <v>0</v>
      </c>
      <c r="AR730" s="10">
        <v>0</v>
      </c>
      <c r="AS730" s="10">
        <v>0</v>
      </c>
      <c r="AT730" s="10">
        <v>1913344215</v>
      </c>
      <c r="AU730" s="8"/>
      <c r="AV730" s="8"/>
      <c r="AW730" s="8"/>
      <c r="AX730" s="8"/>
      <c r="AY730" s="8"/>
      <c r="AZ730" s="8"/>
      <c r="BA730" s="14">
        <v>43373</v>
      </c>
      <c r="BB730" s="14">
        <v>43373</v>
      </c>
      <c r="BC730" s="14">
        <v>42643</v>
      </c>
      <c r="BD730" s="14">
        <v>42643</v>
      </c>
      <c r="BE730" s="14">
        <v>42369</v>
      </c>
      <c r="BF730" s="8"/>
      <c r="BG730" s="8"/>
      <c r="BH730" s="8"/>
      <c r="BI730" s="8"/>
      <c r="BJ730" s="8"/>
      <c r="BK730" s="8"/>
      <c r="BL730" s="8" t="s">
        <v>35</v>
      </c>
      <c r="BM730" s="8" t="s">
        <v>35</v>
      </c>
      <c r="BN730" s="8" t="s">
        <v>35</v>
      </c>
      <c r="BO730" s="8" t="s">
        <v>35</v>
      </c>
      <c r="BP730" s="8" t="s">
        <v>35</v>
      </c>
      <c r="BQ730" s="8" t="s">
        <v>31</v>
      </c>
      <c r="BR730" s="8" t="s">
        <v>36</v>
      </c>
      <c r="BS730" s="10">
        <v>4321072495053.6001</v>
      </c>
      <c r="BT730" s="8" t="s">
        <v>67</v>
      </c>
      <c r="BU730" s="8"/>
      <c r="BV730" s="8"/>
      <c r="BW730" s="8"/>
      <c r="BX730" s="8"/>
      <c r="BY730" s="8"/>
      <c r="BZ730" s="8"/>
      <c r="CA730" s="8" t="s">
        <v>27</v>
      </c>
      <c r="CB730" s="8" t="s">
        <v>42</v>
      </c>
      <c r="CC730" s="8" t="s">
        <v>43</v>
      </c>
      <c r="CD730" s="8" t="s">
        <v>42</v>
      </c>
      <c r="CE730" s="8" t="s">
        <v>42</v>
      </c>
      <c r="CF730" s="8" t="s">
        <v>301</v>
      </c>
      <c r="CG730" s="8" t="s">
        <v>302</v>
      </c>
    </row>
    <row r="731" spans="1:85" ht="15.75" customHeight="1" x14ac:dyDescent="0.35">
      <c r="A731" s="8">
        <v>724</v>
      </c>
      <c r="B731" s="8" t="s">
        <v>972</v>
      </c>
      <c r="C731" s="8"/>
      <c r="D731" s="8"/>
      <c r="E731" s="8"/>
      <c r="F731" s="8"/>
      <c r="G731" s="8"/>
      <c r="H731" s="8"/>
      <c r="I731" s="8"/>
      <c r="J731" s="8"/>
      <c r="K731" s="9">
        <v>0</v>
      </c>
      <c r="L731" s="9">
        <v>0</v>
      </c>
      <c r="M731" s="8"/>
      <c r="N731" s="8"/>
      <c r="O731" s="8"/>
      <c r="P731" s="8"/>
      <c r="Q731" s="8"/>
      <c r="R731" s="8"/>
      <c r="S731" s="8"/>
      <c r="T731" s="8"/>
      <c r="U731" s="8"/>
      <c r="V731" s="10">
        <v>0</v>
      </c>
      <c r="W731" s="10">
        <v>0</v>
      </c>
      <c r="X731" s="8"/>
      <c r="Y731" s="8"/>
      <c r="Z731" s="8"/>
      <c r="AA731" s="8"/>
      <c r="AB731" s="8"/>
      <c r="AC731" s="8"/>
      <c r="AD731" s="8"/>
      <c r="AE731" s="8"/>
      <c r="AF731" s="8"/>
      <c r="AG731" s="11">
        <v>0</v>
      </c>
      <c r="AH731" s="11">
        <v>0</v>
      </c>
      <c r="AI731" s="8"/>
      <c r="AJ731" s="8"/>
      <c r="AK731" s="8"/>
      <c r="AL731" s="8"/>
      <c r="AM731" s="8"/>
      <c r="AN731" s="8"/>
      <c r="AO731" s="8"/>
      <c r="AP731" s="8"/>
      <c r="AQ731" s="8"/>
      <c r="AR731" s="10">
        <v>0</v>
      </c>
      <c r="AS731" s="10">
        <v>0</v>
      </c>
      <c r="AT731" s="8"/>
      <c r="AU731" s="8"/>
      <c r="AV731" s="8"/>
      <c r="AW731" s="8"/>
      <c r="AX731" s="8"/>
      <c r="AY731" s="8"/>
      <c r="AZ731" s="8"/>
      <c r="BA731" s="8"/>
      <c r="BB731" s="8"/>
      <c r="BC731" s="14">
        <v>42551</v>
      </c>
      <c r="BD731" s="14">
        <v>42551</v>
      </c>
      <c r="BE731" s="8"/>
      <c r="BF731" s="8"/>
      <c r="BG731" s="8"/>
      <c r="BH731" s="8"/>
      <c r="BI731" s="8"/>
      <c r="BJ731" s="8"/>
      <c r="BK731" s="8"/>
      <c r="BL731" s="8"/>
      <c r="BM731" s="8"/>
      <c r="BN731" s="8" t="s">
        <v>35</v>
      </c>
      <c r="BO731" s="8" t="s">
        <v>35</v>
      </c>
      <c r="BP731" s="8"/>
      <c r="BQ731" s="8" t="s">
        <v>31</v>
      </c>
      <c r="BR731" s="8" t="s">
        <v>36</v>
      </c>
      <c r="BS731" s="10">
        <v>656352562486.80005</v>
      </c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 t="s">
        <v>27</v>
      </c>
      <c r="CE731" s="8"/>
      <c r="CF731" s="8" t="s">
        <v>357</v>
      </c>
      <c r="CG731" s="8" t="s">
        <v>51</v>
      </c>
    </row>
    <row r="732" spans="1:85" ht="15.75" customHeight="1" x14ac:dyDescent="0.35">
      <c r="A732" s="8">
        <v>725</v>
      </c>
      <c r="B732" s="8" t="s">
        <v>973</v>
      </c>
      <c r="C732" s="8"/>
      <c r="D732" s="8"/>
      <c r="E732" s="9">
        <v>0</v>
      </c>
      <c r="F732" s="9">
        <v>0</v>
      </c>
      <c r="G732" s="9">
        <v>3.8999999999999999E-5</v>
      </c>
      <c r="H732" s="9">
        <v>0</v>
      </c>
      <c r="I732" s="8"/>
      <c r="J732" s="8"/>
      <c r="K732" s="8"/>
      <c r="L732" s="8"/>
      <c r="M732" s="8"/>
      <c r="N732" s="8"/>
      <c r="O732" s="8"/>
      <c r="P732" s="10">
        <v>0</v>
      </c>
      <c r="Q732" s="10">
        <v>0</v>
      </c>
      <c r="R732" s="10">
        <v>3565000</v>
      </c>
      <c r="S732" s="10">
        <v>0</v>
      </c>
      <c r="T732" s="8"/>
      <c r="U732" s="8"/>
      <c r="V732" s="8"/>
      <c r="W732" s="8"/>
      <c r="X732" s="8"/>
      <c r="Y732" s="8"/>
      <c r="Z732" s="8"/>
      <c r="AA732" s="11">
        <v>0</v>
      </c>
      <c r="AB732" s="12">
        <v>-3565000</v>
      </c>
      <c r="AC732" s="13">
        <v>3565000</v>
      </c>
      <c r="AD732" s="11">
        <v>0</v>
      </c>
      <c r="AE732" s="8"/>
      <c r="AF732" s="8"/>
      <c r="AG732" s="8"/>
      <c r="AH732" s="8"/>
      <c r="AI732" s="8"/>
      <c r="AJ732" s="8"/>
      <c r="AK732" s="8"/>
      <c r="AL732" s="10">
        <v>0</v>
      </c>
      <c r="AM732" s="10">
        <v>0</v>
      </c>
      <c r="AN732" s="10">
        <v>12508895242.5</v>
      </c>
      <c r="AO732" s="10">
        <v>0</v>
      </c>
      <c r="AP732" s="8"/>
      <c r="AQ732" s="8"/>
      <c r="AR732" s="8"/>
      <c r="AS732" s="8"/>
      <c r="AT732" s="8"/>
      <c r="AU732" s="8"/>
      <c r="AV732" s="8"/>
      <c r="AW732" s="14">
        <v>44742</v>
      </c>
      <c r="AX732" s="14">
        <v>44742</v>
      </c>
      <c r="AY732" s="14">
        <v>44561</v>
      </c>
      <c r="AZ732" s="14">
        <v>44104</v>
      </c>
      <c r="BA732" s="8"/>
      <c r="BB732" s="8"/>
      <c r="BC732" s="8"/>
      <c r="BD732" s="8"/>
      <c r="BE732" s="8"/>
      <c r="BF732" s="8"/>
      <c r="BG732" s="8"/>
      <c r="BH732" s="8" t="s">
        <v>35</v>
      </c>
      <c r="BI732" s="8" t="s">
        <v>35</v>
      </c>
      <c r="BJ732" s="8" t="s">
        <v>35</v>
      </c>
      <c r="BK732" s="8" t="s">
        <v>35</v>
      </c>
      <c r="BL732" s="8"/>
      <c r="BM732" s="8"/>
      <c r="BN732" s="8"/>
      <c r="BO732" s="8"/>
      <c r="BP732" s="8"/>
      <c r="BQ732" s="8" t="s">
        <v>31</v>
      </c>
      <c r="BR732" s="8" t="s">
        <v>36</v>
      </c>
      <c r="BS732" s="10">
        <v>21542647708226.398</v>
      </c>
      <c r="BT732" s="8"/>
      <c r="BU732" s="8"/>
      <c r="BV732" s="8"/>
      <c r="BW732" s="8" t="s">
        <v>27</v>
      </c>
      <c r="BX732" s="8" t="s">
        <v>42</v>
      </c>
      <c r="BY732" s="8" t="s">
        <v>27</v>
      </c>
      <c r="BZ732" s="8" t="s">
        <v>27</v>
      </c>
      <c r="CA732" s="8"/>
      <c r="CB732" s="8"/>
      <c r="CC732" s="8"/>
      <c r="CD732" s="8"/>
      <c r="CE732" s="8"/>
      <c r="CF732" s="8" t="s">
        <v>114</v>
      </c>
      <c r="CG732" s="8" t="s">
        <v>115</v>
      </c>
    </row>
    <row r="733" spans="1:85" ht="15.75" customHeight="1" x14ac:dyDescent="0.35">
      <c r="A733" s="8">
        <v>726</v>
      </c>
      <c r="B733" s="8" t="s">
        <v>974</v>
      </c>
      <c r="C733" s="8"/>
      <c r="D733" s="8"/>
      <c r="E733" s="8"/>
      <c r="F733" s="8"/>
      <c r="G733" s="8"/>
      <c r="H733" s="8"/>
      <c r="I733" s="8"/>
      <c r="J733" s="8"/>
      <c r="K733" s="8"/>
      <c r="L733" s="9">
        <v>7.9999999999999996E-6</v>
      </c>
      <c r="M733" s="9">
        <v>7.9999999999999996E-6</v>
      </c>
      <c r="N733" s="8"/>
      <c r="O733" s="8"/>
      <c r="P733" s="8"/>
      <c r="Q733" s="8"/>
      <c r="R733" s="8"/>
      <c r="S733" s="8"/>
      <c r="T733" s="8"/>
      <c r="U733" s="8"/>
      <c r="V733" s="8"/>
      <c r="W733" s="10">
        <v>720000</v>
      </c>
      <c r="X733" s="10">
        <v>720000</v>
      </c>
      <c r="Y733" s="8"/>
      <c r="Z733" s="8"/>
      <c r="AA733" s="8"/>
      <c r="AB733" s="8"/>
      <c r="AC733" s="8"/>
      <c r="AD733" s="8"/>
      <c r="AE733" s="8"/>
      <c r="AF733" s="8"/>
      <c r="AG733" s="8"/>
      <c r="AH733" s="11">
        <v>0</v>
      </c>
      <c r="AI733" s="11">
        <v>0</v>
      </c>
      <c r="AJ733" s="8"/>
      <c r="AK733" s="8"/>
      <c r="AL733" s="8"/>
      <c r="AM733" s="8"/>
      <c r="AN733" s="8"/>
      <c r="AO733" s="8"/>
      <c r="AP733" s="8"/>
      <c r="AQ733" s="8"/>
      <c r="AR733" s="8"/>
      <c r="AS733" s="10">
        <v>1718999942.76</v>
      </c>
      <c r="AT733" s="10">
        <v>1665604192.6500001</v>
      </c>
      <c r="AU733" s="8"/>
      <c r="AV733" s="8"/>
      <c r="AW733" s="8"/>
      <c r="AX733" s="8"/>
      <c r="AY733" s="8"/>
      <c r="AZ733" s="8"/>
      <c r="BA733" s="8"/>
      <c r="BB733" s="8"/>
      <c r="BC733" s="8"/>
      <c r="BD733" s="14">
        <v>42429</v>
      </c>
      <c r="BE733" s="14">
        <v>42369</v>
      </c>
      <c r="BF733" s="8"/>
      <c r="BG733" s="8"/>
      <c r="BH733" s="8"/>
      <c r="BI733" s="8"/>
      <c r="BJ733" s="8"/>
      <c r="BK733" s="8"/>
      <c r="BL733" s="8"/>
      <c r="BM733" s="8"/>
      <c r="BN733" s="8"/>
      <c r="BO733" s="8" t="s">
        <v>35</v>
      </c>
      <c r="BP733" s="8" t="s">
        <v>35</v>
      </c>
      <c r="BQ733" s="8" t="s">
        <v>31</v>
      </c>
      <c r="BR733" s="8" t="s">
        <v>36</v>
      </c>
      <c r="BS733" s="10">
        <v>18557643948760.801</v>
      </c>
      <c r="BT733" s="8" t="s">
        <v>57</v>
      </c>
      <c r="BU733" s="8"/>
      <c r="BV733" s="8"/>
      <c r="BW733" s="8"/>
      <c r="BX733" s="8"/>
      <c r="BY733" s="8"/>
      <c r="BZ733" s="8"/>
      <c r="CA733" s="8"/>
      <c r="CB733" s="8"/>
      <c r="CC733" s="8"/>
      <c r="CD733" s="8" t="s">
        <v>27</v>
      </c>
      <c r="CE733" s="8" t="s">
        <v>42</v>
      </c>
      <c r="CF733" s="8" t="s">
        <v>382</v>
      </c>
      <c r="CG733" s="8" t="s">
        <v>383</v>
      </c>
    </row>
    <row r="734" spans="1:85" ht="15.75" customHeight="1" x14ac:dyDescent="0.35">
      <c r="A734" s="8">
        <v>727</v>
      </c>
      <c r="B734" s="8" t="s">
        <v>975</v>
      </c>
      <c r="C734" s="8"/>
      <c r="D734" s="9">
        <v>3.9999999999999998E-6</v>
      </c>
      <c r="E734" s="9">
        <v>3.9999999999999998E-6</v>
      </c>
      <c r="F734" s="9">
        <v>1.9999999999999999E-6</v>
      </c>
      <c r="G734" s="8"/>
      <c r="H734" s="8"/>
      <c r="I734" s="8"/>
      <c r="J734" s="8"/>
      <c r="K734" s="8"/>
      <c r="L734" s="8"/>
      <c r="M734" s="8"/>
      <c r="N734" s="8"/>
      <c r="O734" s="10">
        <v>400000</v>
      </c>
      <c r="P734" s="10">
        <v>400000</v>
      </c>
      <c r="Q734" s="10">
        <v>180000</v>
      </c>
      <c r="R734" s="8"/>
      <c r="S734" s="8"/>
      <c r="T734" s="8"/>
      <c r="U734" s="8"/>
      <c r="V734" s="8"/>
      <c r="W734" s="8"/>
      <c r="X734" s="8"/>
      <c r="Y734" s="8"/>
      <c r="Z734" s="11">
        <v>0</v>
      </c>
      <c r="AA734" s="13">
        <v>220000</v>
      </c>
      <c r="AB734" s="13">
        <v>180000</v>
      </c>
      <c r="AC734" s="8"/>
      <c r="AD734" s="8"/>
      <c r="AE734" s="8"/>
      <c r="AF734" s="8"/>
      <c r="AG734" s="8"/>
      <c r="AH734" s="8"/>
      <c r="AI734" s="8"/>
      <c r="AJ734" s="8"/>
      <c r="AK734" s="10">
        <v>2065000064.9000001</v>
      </c>
      <c r="AL734" s="10">
        <v>2065000064.9000001</v>
      </c>
      <c r="AM734" s="10">
        <v>848250065.25</v>
      </c>
      <c r="AN734" s="8"/>
      <c r="AO734" s="8"/>
      <c r="AP734" s="8"/>
      <c r="AQ734" s="8"/>
      <c r="AR734" s="8"/>
      <c r="AS734" s="8"/>
      <c r="AT734" s="8"/>
      <c r="AU734" s="8"/>
      <c r="AV734" s="14">
        <v>45016</v>
      </c>
      <c r="AW734" s="14">
        <v>45016</v>
      </c>
      <c r="AX734" s="14">
        <v>44834</v>
      </c>
      <c r="AY734" s="8"/>
      <c r="AZ734" s="8"/>
      <c r="BA734" s="8"/>
      <c r="BB734" s="8"/>
      <c r="BC734" s="8"/>
      <c r="BD734" s="8"/>
      <c r="BE734" s="8"/>
      <c r="BF734" s="8"/>
      <c r="BG734" s="8" t="s">
        <v>35</v>
      </c>
      <c r="BH734" s="8" t="s">
        <v>35</v>
      </c>
      <c r="BI734" s="8" t="s">
        <v>35</v>
      </c>
      <c r="BJ734" s="8"/>
      <c r="BK734" s="8"/>
      <c r="BL734" s="8"/>
      <c r="BM734" s="8"/>
      <c r="BN734" s="8"/>
      <c r="BO734" s="8"/>
      <c r="BP734" s="8"/>
      <c r="BQ734" s="8" t="s">
        <v>31</v>
      </c>
      <c r="BR734" s="8" t="s">
        <v>36</v>
      </c>
      <c r="BS734" s="10">
        <v>6352542138333.5996</v>
      </c>
      <c r="BT734" s="8"/>
      <c r="BU734" s="8"/>
      <c r="BV734" s="8" t="s">
        <v>27</v>
      </c>
      <c r="BW734" s="8" t="s">
        <v>27</v>
      </c>
      <c r="BX734" s="8"/>
      <c r="BY734" s="8"/>
      <c r="BZ734" s="8"/>
      <c r="CA734" s="8"/>
      <c r="CB734" s="8"/>
      <c r="CC734" s="8"/>
      <c r="CD734" s="8"/>
      <c r="CE734" s="8"/>
      <c r="CF734" s="8" t="s">
        <v>382</v>
      </c>
      <c r="CG734" s="8" t="s">
        <v>383</v>
      </c>
    </row>
    <row r="735" spans="1:85" ht="15.75" customHeight="1" x14ac:dyDescent="0.35">
      <c r="A735" s="8">
        <v>728</v>
      </c>
      <c r="B735" s="8" t="s">
        <v>976</v>
      </c>
      <c r="C735" s="8"/>
      <c r="D735" s="8"/>
      <c r="E735" s="8"/>
      <c r="F735" s="8"/>
      <c r="G735" s="8"/>
      <c r="H735" s="8"/>
      <c r="I735" s="8"/>
      <c r="J735" s="8"/>
      <c r="K735" s="9">
        <v>0</v>
      </c>
      <c r="L735" s="9">
        <v>0</v>
      </c>
      <c r="M735" s="9">
        <v>3.6999999999999998E-5</v>
      </c>
      <c r="N735" s="8"/>
      <c r="O735" s="8"/>
      <c r="P735" s="8"/>
      <c r="Q735" s="8"/>
      <c r="R735" s="8"/>
      <c r="S735" s="8"/>
      <c r="T735" s="8"/>
      <c r="U735" s="8"/>
      <c r="V735" s="10">
        <v>0</v>
      </c>
      <c r="W735" s="10">
        <v>0</v>
      </c>
      <c r="X735" s="10">
        <v>3400000</v>
      </c>
      <c r="Y735" s="8"/>
      <c r="Z735" s="8"/>
      <c r="AA735" s="8"/>
      <c r="AB735" s="8"/>
      <c r="AC735" s="8"/>
      <c r="AD735" s="8"/>
      <c r="AE735" s="8"/>
      <c r="AF735" s="8"/>
      <c r="AG735" s="11">
        <v>0</v>
      </c>
      <c r="AH735" s="12">
        <v>-3400000</v>
      </c>
      <c r="AI735" s="11">
        <v>0</v>
      </c>
      <c r="AJ735" s="8"/>
      <c r="AK735" s="8"/>
      <c r="AL735" s="8"/>
      <c r="AM735" s="8"/>
      <c r="AN735" s="8"/>
      <c r="AO735" s="8"/>
      <c r="AP735" s="8"/>
      <c r="AQ735" s="8"/>
      <c r="AR735" s="10">
        <v>0</v>
      </c>
      <c r="AS735" s="10">
        <v>0</v>
      </c>
      <c r="AT735" s="10">
        <v>7865352940.5</v>
      </c>
      <c r="AU735" s="8"/>
      <c r="AV735" s="8"/>
      <c r="AW735" s="8"/>
      <c r="AX735" s="8"/>
      <c r="AY735" s="8"/>
      <c r="AZ735" s="8"/>
      <c r="BA735" s="8"/>
      <c r="BB735" s="8"/>
      <c r="BC735" s="14">
        <v>42674</v>
      </c>
      <c r="BD735" s="14">
        <v>42674</v>
      </c>
      <c r="BE735" s="14">
        <v>42369</v>
      </c>
      <c r="BF735" s="8"/>
      <c r="BG735" s="8"/>
      <c r="BH735" s="8"/>
      <c r="BI735" s="8"/>
      <c r="BJ735" s="8"/>
      <c r="BK735" s="8"/>
      <c r="BL735" s="8"/>
      <c r="BM735" s="8"/>
      <c r="BN735" s="8" t="s">
        <v>35</v>
      </c>
      <c r="BO735" s="8" t="s">
        <v>35</v>
      </c>
      <c r="BP735" s="8" t="s">
        <v>35</v>
      </c>
      <c r="BQ735" s="8" t="s">
        <v>31</v>
      </c>
      <c r="BR735" s="8" t="s">
        <v>36</v>
      </c>
      <c r="BS735" s="10">
        <v>366091765300.79999</v>
      </c>
      <c r="BT735" s="8"/>
      <c r="BU735" s="8"/>
      <c r="BV735" s="8"/>
      <c r="BW735" s="8"/>
      <c r="BX735" s="8"/>
      <c r="BY735" s="8"/>
      <c r="BZ735" s="8"/>
      <c r="CA735" s="8"/>
      <c r="CB735" s="8"/>
      <c r="CC735" s="8" t="s">
        <v>27</v>
      </c>
      <c r="CD735" s="8" t="s">
        <v>42</v>
      </c>
      <c r="CE735" s="8" t="s">
        <v>27</v>
      </c>
      <c r="CF735" s="8" t="s">
        <v>50</v>
      </c>
      <c r="CG735" s="8" t="s">
        <v>51</v>
      </c>
    </row>
    <row r="736" spans="1:85" ht="15.75" customHeight="1" x14ac:dyDescent="0.35">
      <c r="A736" s="8">
        <v>729</v>
      </c>
      <c r="B736" s="8" t="s">
        <v>977</v>
      </c>
      <c r="C736" s="8"/>
      <c r="D736" s="8"/>
      <c r="E736" s="8"/>
      <c r="F736" s="8"/>
      <c r="G736" s="8"/>
      <c r="H736" s="8"/>
      <c r="I736" s="8"/>
      <c r="J736" s="9">
        <v>0</v>
      </c>
      <c r="K736" s="9">
        <v>0</v>
      </c>
      <c r="L736" s="9">
        <v>3.0000000000000001E-6</v>
      </c>
      <c r="M736" s="9">
        <v>5.0000000000000004E-6</v>
      </c>
      <c r="N736" s="8"/>
      <c r="O736" s="8"/>
      <c r="P736" s="8"/>
      <c r="Q736" s="8"/>
      <c r="R736" s="8"/>
      <c r="S736" s="8"/>
      <c r="T736" s="8"/>
      <c r="U736" s="10">
        <v>0</v>
      </c>
      <c r="V736" s="10">
        <v>0</v>
      </c>
      <c r="W736" s="10">
        <v>302400</v>
      </c>
      <c r="X736" s="10">
        <v>469600</v>
      </c>
      <c r="Y736" s="8"/>
      <c r="Z736" s="8"/>
      <c r="AA736" s="8"/>
      <c r="AB736" s="8"/>
      <c r="AC736" s="8"/>
      <c r="AD736" s="8"/>
      <c r="AE736" s="8"/>
      <c r="AF736" s="11">
        <v>0</v>
      </c>
      <c r="AG736" s="12">
        <v>-302400</v>
      </c>
      <c r="AH736" s="12">
        <v>-167200</v>
      </c>
      <c r="AI736" s="11">
        <v>0</v>
      </c>
      <c r="AJ736" s="8"/>
      <c r="AK736" s="8"/>
      <c r="AL736" s="8"/>
      <c r="AM736" s="8"/>
      <c r="AN736" s="8"/>
      <c r="AO736" s="8"/>
      <c r="AP736" s="8"/>
      <c r="AQ736" s="10">
        <v>0</v>
      </c>
      <c r="AR736" s="10">
        <v>0</v>
      </c>
      <c r="AS736" s="10">
        <v>875070063.89999998</v>
      </c>
      <c r="AT736" s="10">
        <v>1179870025.4000001</v>
      </c>
      <c r="AU736" s="8"/>
      <c r="AV736" s="8"/>
      <c r="AW736" s="8"/>
      <c r="AX736" s="8"/>
      <c r="AY736" s="8"/>
      <c r="AZ736" s="8"/>
      <c r="BA736" s="8"/>
      <c r="BB736" s="14">
        <v>42916</v>
      </c>
      <c r="BC736" s="14">
        <v>42916</v>
      </c>
      <c r="BD736" s="14">
        <v>42735</v>
      </c>
      <c r="BE736" s="14">
        <v>42185</v>
      </c>
      <c r="BF736" s="8"/>
      <c r="BG736" s="8"/>
      <c r="BH736" s="8"/>
      <c r="BI736" s="8"/>
      <c r="BJ736" s="8"/>
      <c r="BK736" s="8"/>
      <c r="BL736" s="8"/>
      <c r="BM736" s="8" t="s">
        <v>35</v>
      </c>
      <c r="BN736" s="8" t="s">
        <v>35</v>
      </c>
      <c r="BO736" s="8" t="s">
        <v>35</v>
      </c>
      <c r="BP736" s="8" t="s">
        <v>35</v>
      </c>
      <c r="BQ736" s="8" t="s">
        <v>31</v>
      </c>
      <c r="BR736" s="8" t="s">
        <v>36</v>
      </c>
      <c r="BS736" s="10">
        <v>165129419270.39999</v>
      </c>
      <c r="BT736" s="8"/>
      <c r="BU736" s="8"/>
      <c r="BV736" s="8"/>
      <c r="BW736" s="8"/>
      <c r="BX736" s="8"/>
      <c r="BY736" s="8"/>
      <c r="BZ736" s="8"/>
      <c r="CA736" s="8"/>
      <c r="CB736" s="8" t="s">
        <v>42</v>
      </c>
      <c r="CC736" s="8" t="s">
        <v>42</v>
      </c>
      <c r="CD736" s="8" t="s">
        <v>42</v>
      </c>
      <c r="CE736" s="8" t="s">
        <v>42</v>
      </c>
      <c r="CF736" s="8" t="s">
        <v>70</v>
      </c>
      <c r="CG736" s="8" t="s">
        <v>71</v>
      </c>
    </row>
    <row r="737" spans="1:85" ht="15.75" customHeight="1" x14ac:dyDescent="0.35">
      <c r="A737" s="8">
        <v>730</v>
      </c>
      <c r="B737" s="8" t="s">
        <v>978</v>
      </c>
      <c r="C737" s="8"/>
      <c r="D737" s="8"/>
      <c r="E737" s="8"/>
      <c r="F737" s="8"/>
      <c r="G737" s="8"/>
      <c r="H737" s="8"/>
      <c r="I737" s="8"/>
      <c r="J737" s="8"/>
      <c r="K737" s="8"/>
      <c r="L737" s="9">
        <v>0</v>
      </c>
      <c r="M737" s="9">
        <v>0</v>
      </c>
      <c r="N737" s="8"/>
      <c r="O737" s="8"/>
      <c r="P737" s="8"/>
      <c r="Q737" s="8"/>
      <c r="R737" s="8"/>
      <c r="S737" s="8"/>
      <c r="T737" s="8"/>
      <c r="U737" s="8"/>
      <c r="V737" s="8"/>
      <c r="W737" s="10">
        <v>0</v>
      </c>
      <c r="X737" s="10">
        <v>0</v>
      </c>
      <c r="Y737" s="8"/>
      <c r="Z737" s="8"/>
      <c r="AA737" s="8"/>
      <c r="AB737" s="8"/>
      <c r="AC737" s="8"/>
      <c r="AD737" s="8"/>
      <c r="AE737" s="8"/>
      <c r="AF737" s="8"/>
      <c r="AG737" s="8"/>
      <c r="AH737" s="11">
        <v>0</v>
      </c>
      <c r="AI737" s="11">
        <v>0</v>
      </c>
      <c r="AJ737" s="8"/>
      <c r="AK737" s="8"/>
      <c r="AL737" s="8"/>
      <c r="AM737" s="8"/>
      <c r="AN737" s="8"/>
      <c r="AO737" s="8"/>
      <c r="AP737" s="8"/>
      <c r="AQ737" s="8"/>
      <c r="AR737" s="8"/>
      <c r="AS737" s="10">
        <v>0</v>
      </c>
      <c r="AT737" s="10">
        <v>0</v>
      </c>
      <c r="AU737" s="8"/>
      <c r="AV737" s="8"/>
      <c r="AW737" s="8"/>
      <c r="AX737" s="8"/>
      <c r="AY737" s="8"/>
      <c r="AZ737" s="8"/>
      <c r="BA737" s="8"/>
      <c r="BB737" s="8"/>
      <c r="BC737" s="8"/>
      <c r="BD737" s="14">
        <v>42124</v>
      </c>
      <c r="BE737" s="14">
        <v>42124</v>
      </c>
      <c r="BF737" s="8"/>
      <c r="BG737" s="8"/>
      <c r="BH737" s="8"/>
      <c r="BI737" s="8"/>
      <c r="BJ737" s="8"/>
      <c r="BK737" s="8"/>
      <c r="BL737" s="8"/>
      <c r="BM737" s="8"/>
      <c r="BN737" s="8"/>
      <c r="BO737" s="8" t="s">
        <v>35</v>
      </c>
      <c r="BP737" s="8" t="s">
        <v>35</v>
      </c>
      <c r="BQ737" s="8" t="s">
        <v>31</v>
      </c>
      <c r="BR737" s="8" t="s">
        <v>36</v>
      </c>
      <c r="BS737" s="10">
        <v>4081131318051.6001</v>
      </c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 t="s">
        <v>27</v>
      </c>
      <c r="CE737" s="8" t="s">
        <v>27</v>
      </c>
      <c r="CF737" s="8" t="s">
        <v>352</v>
      </c>
      <c r="CG737" s="8" t="s">
        <v>181</v>
      </c>
    </row>
    <row r="738" spans="1:85" ht="15.75" customHeight="1" x14ac:dyDescent="0.35">
      <c r="A738" s="8">
        <v>731</v>
      </c>
      <c r="B738" s="8" t="s">
        <v>979</v>
      </c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>
        <v>9.9999999999999995E-7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10">
        <v>101324</v>
      </c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11">
        <v>0</v>
      </c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10">
        <v>239377934.40000001</v>
      </c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14">
        <v>41729</v>
      </c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 t="s">
        <v>35</v>
      </c>
      <c r="BQ738" s="8" t="s">
        <v>31</v>
      </c>
      <c r="BR738" s="8" t="s">
        <v>36</v>
      </c>
      <c r="BS738" s="10">
        <v>2536694400</v>
      </c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 t="s">
        <v>145</v>
      </c>
      <c r="CG738" s="8" t="s">
        <v>146</v>
      </c>
    </row>
    <row r="739" spans="1:85" ht="15.75" hidden="1" customHeight="1" x14ac:dyDescent="0.35">
      <c r="A739" s="8">
        <v>732</v>
      </c>
      <c r="B739" s="8" t="s">
        <v>980</v>
      </c>
      <c r="C739" s="8"/>
      <c r="D739" s="8"/>
      <c r="E739" s="8"/>
      <c r="F739" s="8"/>
      <c r="G739" s="8"/>
      <c r="H739" s="9">
        <v>2.5000000000000001E-5</v>
      </c>
      <c r="I739" s="9">
        <v>6.9999999999999999E-6</v>
      </c>
      <c r="J739" s="8"/>
      <c r="K739" s="8"/>
      <c r="L739" s="8"/>
      <c r="M739" s="8"/>
      <c r="N739" s="8"/>
      <c r="O739" s="8"/>
      <c r="P739" s="8"/>
      <c r="Q739" s="8"/>
      <c r="R739" s="8"/>
      <c r="S739" s="10">
        <v>2270200</v>
      </c>
      <c r="T739" s="10">
        <v>690200</v>
      </c>
      <c r="U739" s="8"/>
      <c r="V739" s="8"/>
      <c r="W739" s="8"/>
      <c r="X739" s="8"/>
      <c r="Y739" s="8"/>
      <c r="Z739" s="8"/>
      <c r="AA739" s="8"/>
      <c r="AB739" s="8"/>
      <c r="AC739" s="8"/>
      <c r="AD739" s="13">
        <v>1580000</v>
      </c>
      <c r="AE739" s="13">
        <v>690200</v>
      </c>
      <c r="AF739" s="8"/>
      <c r="AG739" s="8"/>
      <c r="AH739" s="8"/>
      <c r="AI739" s="8"/>
      <c r="AJ739" s="8"/>
      <c r="AK739" s="8"/>
      <c r="AL739" s="8"/>
      <c r="AM739" s="8"/>
      <c r="AN739" s="8"/>
      <c r="AO739" s="10">
        <v>5630095956.8000002</v>
      </c>
      <c r="AP739" s="10">
        <v>2641031435.1999998</v>
      </c>
      <c r="AQ739" s="8"/>
      <c r="AR739" s="8"/>
      <c r="AS739" s="8"/>
      <c r="AT739" s="8"/>
      <c r="AU739" s="8"/>
      <c r="AV739" s="8"/>
      <c r="AW739" s="8"/>
      <c r="AX739" s="8"/>
      <c r="AY739" s="8"/>
      <c r="AZ739" s="14">
        <v>44104</v>
      </c>
      <c r="BA739" s="14">
        <v>43830</v>
      </c>
      <c r="BB739" s="8"/>
      <c r="BC739" s="8"/>
      <c r="BD739" s="8"/>
      <c r="BE739" s="8"/>
      <c r="BF739" s="8"/>
      <c r="BG739" s="8"/>
      <c r="BH739" s="8"/>
      <c r="BI739" s="8"/>
      <c r="BJ739" s="8"/>
      <c r="BK739" s="8" t="s">
        <v>201</v>
      </c>
      <c r="BL739" s="8" t="s">
        <v>201</v>
      </c>
      <c r="BM739" s="8"/>
      <c r="BN739" s="8"/>
      <c r="BO739" s="8"/>
      <c r="BP739" s="8"/>
      <c r="BQ739" s="8" t="s">
        <v>25</v>
      </c>
      <c r="BR739" s="8" t="s">
        <v>202</v>
      </c>
      <c r="BS739" s="10">
        <v>6328167153.6000004</v>
      </c>
      <c r="BT739" s="8"/>
      <c r="BU739" s="8"/>
      <c r="BV739" s="8"/>
      <c r="BW739" s="8"/>
      <c r="BX739" s="8"/>
      <c r="BY739" s="8"/>
      <c r="BZ739" s="8" t="s">
        <v>42</v>
      </c>
      <c r="CA739" s="8" t="s">
        <v>27</v>
      </c>
      <c r="CB739" s="8"/>
      <c r="CC739" s="8"/>
      <c r="CD739" s="8"/>
      <c r="CE739" s="8"/>
      <c r="CF739" s="8"/>
      <c r="CG739" s="8" t="s">
        <v>29</v>
      </c>
    </row>
    <row r="740" spans="1:85" ht="15.75" customHeight="1" x14ac:dyDescent="0.35">
      <c r="A740" s="8">
        <v>733</v>
      </c>
      <c r="B740" s="8" t="s">
        <v>981</v>
      </c>
      <c r="C740" s="8"/>
      <c r="D740" s="8"/>
      <c r="E740" s="8"/>
      <c r="F740" s="8"/>
      <c r="G740" s="9">
        <v>3.9999999999999998E-6</v>
      </c>
      <c r="H740" s="9">
        <v>3.9999999999999998E-6</v>
      </c>
      <c r="I740" s="9">
        <v>5.0000000000000004E-6</v>
      </c>
      <c r="J740" s="9">
        <v>6.9999999999999999E-6</v>
      </c>
      <c r="K740" s="9">
        <v>1.0000000000000001E-5</v>
      </c>
      <c r="L740" s="9">
        <v>6.0000000000000002E-6</v>
      </c>
      <c r="M740" s="9">
        <v>6.0000000000000002E-6</v>
      </c>
      <c r="N740" s="8"/>
      <c r="O740" s="8"/>
      <c r="P740" s="8"/>
      <c r="Q740" s="8"/>
      <c r="R740" s="10">
        <v>401694</v>
      </c>
      <c r="S740" s="10">
        <v>401694</v>
      </c>
      <c r="T740" s="10">
        <v>466018</v>
      </c>
      <c r="U740" s="10">
        <v>602946</v>
      </c>
      <c r="V740" s="10">
        <v>896446</v>
      </c>
      <c r="W740" s="10">
        <v>597548</v>
      </c>
      <c r="X740" s="10">
        <v>510436</v>
      </c>
      <c r="Y740" s="8"/>
      <c r="Z740" s="8"/>
      <c r="AA740" s="8"/>
      <c r="AB740" s="8"/>
      <c r="AC740" s="11">
        <v>0</v>
      </c>
      <c r="AD740" s="12">
        <v>-64324</v>
      </c>
      <c r="AE740" s="12">
        <v>-136928</v>
      </c>
      <c r="AF740" s="12">
        <v>-293500</v>
      </c>
      <c r="AG740" s="13">
        <v>298898</v>
      </c>
      <c r="AH740" s="13">
        <v>87112</v>
      </c>
      <c r="AI740" s="11">
        <v>0</v>
      </c>
      <c r="AJ740" s="8"/>
      <c r="AK740" s="8"/>
      <c r="AL740" s="8"/>
      <c r="AM740" s="8"/>
      <c r="AN740" s="10">
        <v>939963950</v>
      </c>
      <c r="AO740" s="10">
        <v>939963950</v>
      </c>
      <c r="AP740" s="10">
        <v>1783205101.2</v>
      </c>
      <c r="AQ740" s="10">
        <v>2195867356.25</v>
      </c>
      <c r="AR740" s="10">
        <v>3585784037.1999998</v>
      </c>
      <c r="AS740" s="10">
        <v>1729154541.3</v>
      </c>
      <c r="AT740" s="10">
        <v>1215475790.5</v>
      </c>
      <c r="AU740" s="8"/>
      <c r="AV740" s="8"/>
      <c r="AW740" s="8"/>
      <c r="AX740" s="8"/>
      <c r="AY740" s="14">
        <v>43921</v>
      </c>
      <c r="AZ740" s="14">
        <v>43921</v>
      </c>
      <c r="BA740" s="14">
        <v>43830</v>
      </c>
      <c r="BB740" s="14">
        <v>43465</v>
      </c>
      <c r="BC740" s="14">
        <v>43100</v>
      </c>
      <c r="BD740" s="14">
        <v>42735</v>
      </c>
      <c r="BE740" s="14">
        <v>42216</v>
      </c>
      <c r="BF740" s="8"/>
      <c r="BG740" s="8"/>
      <c r="BH740" s="8"/>
      <c r="BI740" s="8"/>
      <c r="BJ740" s="8" t="s">
        <v>35</v>
      </c>
      <c r="BK740" s="8" t="s">
        <v>35</v>
      </c>
      <c r="BL740" s="8" t="s">
        <v>35</v>
      </c>
      <c r="BM740" s="8" t="s">
        <v>35</v>
      </c>
      <c r="BN740" s="8" t="s">
        <v>35</v>
      </c>
      <c r="BO740" s="8" t="s">
        <v>35</v>
      </c>
      <c r="BP740" s="8" t="s">
        <v>35</v>
      </c>
      <c r="BQ740" s="8" t="s">
        <v>31</v>
      </c>
      <c r="BR740" s="8" t="s">
        <v>36</v>
      </c>
      <c r="BS740" s="10">
        <v>17185885417492.801</v>
      </c>
      <c r="BT740" s="8" t="s">
        <v>41</v>
      </c>
      <c r="BU740" s="8"/>
      <c r="BV740" s="8"/>
      <c r="BW740" s="8"/>
      <c r="BX740" s="8"/>
      <c r="BY740" s="8" t="s">
        <v>43</v>
      </c>
      <c r="BZ740" s="8" t="s">
        <v>43</v>
      </c>
      <c r="CA740" s="8" t="s">
        <v>43</v>
      </c>
      <c r="CB740" s="8" t="s">
        <v>42</v>
      </c>
      <c r="CC740" s="8" t="s">
        <v>43</v>
      </c>
      <c r="CD740" s="8" t="s">
        <v>43</v>
      </c>
      <c r="CE740" s="8" t="s">
        <v>43</v>
      </c>
      <c r="CF740" s="8" t="s">
        <v>346</v>
      </c>
      <c r="CG740" s="8" t="s">
        <v>347</v>
      </c>
    </row>
    <row r="741" spans="1:85" ht="15.75" customHeight="1" x14ac:dyDescent="0.35">
      <c r="A741" s="8">
        <v>734</v>
      </c>
      <c r="B741" s="8" t="s">
        <v>982</v>
      </c>
      <c r="C741" s="8"/>
      <c r="D741" s="8"/>
      <c r="E741" s="8"/>
      <c r="F741" s="8"/>
      <c r="G741" s="8"/>
      <c r="H741" s="8"/>
      <c r="I741" s="9">
        <v>6.3699999999999998E-4</v>
      </c>
      <c r="J741" s="9">
        <v>6.3699999999999998E-4</v>
      </c>
      <c r="K741" s="9">
        <v>6.0099999999999997E-4</v>
      </c>
      <c r="L741" s="9">
        <v>3.68E-4</v>
      </c>
      <c r="M741" s="8"/>
      <c r="N741" s="8"/>
      <c r="O741" s="8"/>
      <c r="P741" s="8"/>
      <c r="Q741" s="8"/>
      <c r="R741" s="8"/>
      <c r="S741" s="8"/>
      <c r="T741" s="10">
        <v>58876400</v>
      </c>
      <c r="U741" s="10">
        <v>58876400</v>
      </c>
      <c r="V741" s="10">
        <v>55540400</v>
      </c>
      <c r="W741" s="10">
        <v>33958000</v>
      </c>
      <c r="X741" s="8"/>
      <c r="Y741" s="8"/>
      <c r="Z741" s="8"/>
      <c r="AA741" s="8"/>
      <c r="AB741" s="8"/>
      <c r="AC741" s="8"/>
      <c r="AD741" s="8"/>
      <c r="AE741" s="11">
        <v>0</v>
      </c>
      <c r="AF741" s="13">
        <v>3336000</v>
      </c>
      <c r="AG741" s="13">
        <v>21582400</v>
      </c>
      <c r="AH741" s="13">
        <v>33958000</v>
      </c>
      <c r="AI741" s="8"/>
      <c r="AJ741" s="8"/>
      <c r="AK741" s="8"/>
      <c r="AL741" s="8"/>
      <c r="AM741" s="8"/>
      <c r="AN741" s="8"/>
      <c r="AO741" s="8"/>
      <c r="AP741" s="10">
        <v>201651669855</v>
      </c>
      <c r="AQ741" s="10">
        <v>201651669855</v>
      </c>
      <c r="AR741" s="10">
        <v>222161600043.5</v>
      </c>
      <c r="AS741" s="10">
        <v>98265962529.600006</v>
      </c>
      <c r="AT741" s="8"/>
      <c r="AU741" s="8"/>
      <c r="AV741" s="8"/>
      <c r="AW741" s="8"/>
      <c r="AX741" s="8"/>
      <c r="AY741" s="8"/>
      <c r="AZ741" s="8"/>
      <c r="BA741" s="14">
        <v>43281</v>
      </c>
      <c r="BB741" s="14">
        <v>43281</v>
      </c>
      <c r="BC741" s="14">
        <v>43100</v>
      </c>
      <c r="BD741" s="14">
        <v>42735</v>
      </c>
      <c r="BE741" s="8"/>
      <c r="BF741" s="8"/>
      <c r="BG741" s="8"/>
      <c r="BH741" s="8"/>
      <c r="BI741" s="8"/>
      <c r="BJ741" s="8"/>
      <c r="BK741" s="8"/>
      <c r="BL741" s="8" t="s">
        <v>35</v>
      </c>
      <c r="BM741" s="8" t="s">
        <v>35</v>
      </c>
      <c r="BN741" s="8" t="s">
        <v>35</v>
      </c>
      <c r="BO741" s="8" t="s">
        <v>35</v>
      </c>
      <c r="BP741" s="8"/>
      <c r="BQ741" s="8" t="s">
        <v>31</v>
      </c>
      <c r="BR741" s="8" t="s">
        <v>53</v>
      </c>
      <c r="BS741" s="10">
        <v>58639750055437.203</v>
      </c>
      <c r="BT741" s="8" t="s">
        <v>37</v>
      </c>
      <c r="BU741" s="8"/>
      <c r="BV741" s="8"/>
      <c r="BW741" s="8"/>
      <c r="BX741" s="8"/>
      <c r="BY741" s="8"/>
      <c r="BZ741" s="8"/>
      <c r="CA741" s="8"/>
      <c r="CB741" s="8" t="s">
        <v>27</v>
      </c>
      <c r="CC741" s="8" t="s">
        <v>27</v>
      </c>
      <c r="CD741" s="8" t="s">
        <v>43</v>
      </c>
      <c r="CE741" s="8"/>
      <c r="CF741" s="8" t="s">
        <v>212</v>
      </c>
      <c r="CG741" s="8" t="s">
        <v>213</v>
      </c>
    </row>
    <row r="742" spans="1:85" ht="15.75" customHeight="1" x14ac:dyDescent="0.35">
      <c r="A742" s="8">
        <v>735</v>
      </c>
      <c r="B742" s="8" t="s">
        <v>983</v>
      </c>
      <c r="C742" s="8"/>
      <c r="D742" s="8"/>
      <c r="E742" s="8"/>
      <c r="F742" s="9">
        <v>1.7E-5</v>
      </c>
      <c r="G742" s="9">
        <v>1.7E-5</v>
      </c>
      <c r="H742" s="9">
        <v>2.0000000000000002E-5</v>
      </c>
      <c r="I742" s="9">
        <v>2.1999999999999999E-5</v>
      </c>
      <c r="J742" s="9">
        <v>2.4000000000000001E-5</v>
      </c>
      <c r="K742" s="9">
        <v>3.8000000000000002E-5</v>
      </c>
      <c r="L742" s="9">
        <v>2.4000000000000001E-5</v>
      </c>
      <c r="M742" s="8"/>
      <c r="N742" s="8"/>
      <c r="O742" s="8"/>
      <c r="P742" s="8"/>
      <c r="Q742" s="10">
        <v>1531600</v>
      </c>
      <c r="R742" s="10">
        <v>1564400</v>
      </c>
      <c r="S742" s="10">
        <v>1884200</v>
      </c>
      <c r="T742" s="10">
        <v>1987600</v>
      </c>
      <c r="U742" s="10">
        <v>2193200</v>
      </c>
      <c r="V742" s="10">
        <v>3521200</v>
      </c>
      <c r="W742" s="10">
        <v>2214000</v>
      </c>
      <c r="X742" s="8"/>
      <c r="Y742" s="8"/>
      <c r="Z742" s="8"/>
      <c r="AA742" s="8"/>
      <c r="AB742" s="12">
        <v>-32800</v>
      </c>
      <c r="AC742" s="12">
        <v>-319800</v>
      </c>
      <c r="AD742" s="12">
        <v>-103400</v>
      </c>
      <c r="AE742" s="12">
        <v>-205600</v>
      </c>
      <c r="AF742" s="12">
        <v>-1328000</v>
      </c>
      <c r="AG742" s="13">
        <v>1307200</v>
      </c>
      <c r="AH742" s="13">
        <v>2214000</v>
      </c>
      <c r="AI742" s="8"/>
      <c r="AJ742" s="8"/>
      <c r="AK742" s="8"/>
      <c r="AL742" s="8"/>
      <c r="AM742" s="10">
        <v>5724355025.1999998</v>
      </c>
      <c r="AN742" s="10">
        <v>5489176950</v>
      </c>
      <c r="AO742" s="10">
        <v>5958782528.3999996</v>
      </c>
      <c r="AP742" s="10">
        <v>7605497142.3999996</v>
      </c>
      <c r="AQ742" s="10">
        <v>7987408806.25</v>
      </c>
      <c r="AR742" s="10">
        <v>14084799948</v>
      </c>
      <c r="AS742" s="10">
        <v>6406762501.1999998</v>
      </c>
      <c r="AT742" s="8"/>
      <c r="AU742" s="8"/>
      <c r="AV742" s="8"/>
      <c r="AW742" s="8"/>
      <c r="AX742" s="14">
        <v>44592</v>
      </c>
      <c r="AY742" s="14">
        <v>44561</v>
      </c>
      <c r="AZ742" s="14">
        <v>44196</v>
      </c>
      <c r="BA742" s="14">
        <v>43830</v>
      </c>
      <c r="BB742" s="14">
        <v>43465</v>
      </c>
      <c r="BC742" s="14">
        <v>43100</v>
      </c>
      <c r="BD742" s="14">
        <v>42735</v>
      </c>
      <c r="BE742" s="8"/>
      <c r="BF742" s="8"/>
      <c r="BG742" s="8"/>
      <c r="BH742" s="8"/>
      <c r="BI742" s="8" t="s">
        <v>35</v>
      </c>
      <c r="BJ742" s="8" t="s">
        <v>35</v>
      </c>
      <c r="BK742" s="8" t="s">
        <v>35</v>
      </c>
      <c r="BL742" s="8" t="s">
        <v>35</v>
      </c>
      <c r="BM742" s="8" t="s">
        <v>35</v>
      </c>
      <c r="BN742" s="8" t="s">
        <v>35</v>
      </c>
      <c r="BO742" s="8" t="s">
        <v>35</v>
      </c>
      <c r="BP742" s="8"/>
      <c r="BQ742" s="8" t="s">
        <v>31</v>
      </c>
      <c r="BR742" s="8" t="s">
        <v>36</v>
      </c>
      <c r="BS742" s="10">
        <v>101464291762672</v>
      </c>
      <c r="BT742" s="8"/>
      <c r="BU742" s="8"/>
      <c r="BV742" s="8"/>
      <c r="BW742" s="8"/>
      <c r="BX742" s="8" t="s">
        <v>27</v>
      </c>
      <c r="BY742" s="8" t="s">
        <v>27</v>
      </c>
      <c r="BZ742" s="8" t="s">
        <v>42</v>
      </c>
      <c r="CA742" s="8" t="s">
        <v>27</v>
      </c>
      <c r="CB742" s="8" t="s">
        <v>27</v>
      </c>
      <c r="CC742" s="8" t="s">
        <v>27</v>
      </c>
      <c r="CD742" s="8" t="s">
        <v>42</v>
      </c>
      <c r="CE742" s="8"/>
      <c r="CF742" s="8" t="s">
        <v>212</v>
      </c>
      <c r="CG742" s="8" t="s">
        <v>213</v>
      </c>
    </row>
    <row r="743" spans="1:85" ht="15.75" customHeight="1" x14ac:dyDescent="0.35">
      <c r="A743" s="8">
        <v>736</v>
      </c>
      <c r="B743" s="8" t="s">
        <v>984</v>
      </c>
      <c r="C743" s="8"/>
      <c r="D743" s="9">
        <v>0</v>
      </c>
      <c r="E743" s="9">
        <v>1.2E-4</v>
      </c>
      <c r="F743" s="8"/>
      <c r="G743" s="8"/>
      <c r="H743" s="8"/>
      <c r="I743" s="8"/>
      <c r="J743" s="8"/>
      <c r="K743" s="8"/>
      <c r="L743" s="8"/>
      <c r="M743" s="8"/>
      <c r="N743" s="8"/>
      <c r="O743" s="10">
        <v>0</v>
      </c>
      <c r="P743" s="10">
        <v>11056120</v>
      </c>
      <c r="Q743" s="8"/>
      <c r="R743" s="8"/>
      <c r="S743" s="8"/>
      <c r="T743" s="8"/>
      <c r="U743" s="8"/>
      <c r="V743" s="8"/>
      <c r="W743" s="8"/>
      <c r="X743" s="8"/>
      <c r="Y743" s="8"/>
      <c r="Z743" s="12">
        <v>-11056120</v>
      </c>
      <c r="AA743" s="13">
        <v>11056120</v>
      </c>
      <c r="AB743" s="8"/>
      <c r="AC743" s="8"/>
      <c r="AD743" s="8"/>
      <c r="AE743" s="8"/>
      <c r="AF743" s="8"/>
      <c r="AG743" s="8"/>
      <c r="AH743" s="8"/>
      <c r="AI743" s="8"/>
      <c r="AJ743" s="8"/>
      <c r="AK743" s="10">
        <v>0</v>
      </c>
      <c r="AL743" s="10">
        <v>66889525974.050003</v>
      </c>
      <c r="AM743" s="8"/>
      <c r="AN743" s="8"/>
      <c r="AO743" s="8"/>
      <c r="AP743" s="8"/>
      <c r="AQ743" s="8"/>
      <c r="AR743" s="8"/>
      <c r="AS743" s="8"/>
      <c r="AT743" s="8"/>
      <c r="AU743" s="8"/>
      <c r="AV743" s="14">
        <v>45322</v>
      </c>
      <c r="AW743" s="14">
        <v>45291</v>
      </c>
      <c r="AX743" s="8"/>
      <c r="AY743" s="8"/>
      <c r="AZ743" s="8"/>
      <c r="BA743" s="8"/>
      <c r="BB743" s="8"/>
      <c r="BC743" s="8"/>
      <c r="BD743" s="8"/>
      <c r="BE743" s="8"/>
      <c r="BF743" s="8"/>
      <c r="BG743" s="8" t="s">
        <v>35</v>
      </c>
      <c r="BH743" s="8" t="s">
        <v>35</v>
      </c>
      <c r="BI743" s="8"/>
      <c r="BJ743" s="8"/>
      <c r="BK743" s="8"/>
      <c r="BL743" s="8"/>
      <c r="BM743" s="8"/>
      <c r="BN743" s="8"/>
      <c r="BO743" s="8"/>
      <c r="BP743" s="8"/>
      <c r="BQ743" s="8" t="s">
        <v>31</v>
      </c>
      <c r="BR743" s="8" t="s">
        <v>49</v>
      </c>
      <c r="BS743" s="10">
        <v>31696684787334</v>
      </c>
      <c r="BT743" s="8"/>
      <c r="BU743" s="8"/>
      <c r="BV743" s="8" t="s">
        <v>43</v>
      </c>
      <c r="BW743" s="8" t="s">
        <v>43</v>
      </c>
      <c r="BX743" s="8"/>
      <c r="BY743" s="8"/>
      <c r="BZ743" s="8"/>
      <c r="CA743" s="8"/>
      <c r="CB743" s="8"/>
      <c r="CC743" s="8"/>
      <c r="CD743" s="8"/>
      <c r="CE743" s="8"/>
      <c r="CF743" s="8" t="s">
        <v>722</v>
      </c>
      <c r="CG743" s="8" t="s">
        <v>723</v>
      </c>
    </row>
    <row r="744" spans="1:85" ht="15.75" customHeight="1" x14ac:dyDescent="0.35">
      <c r="A744" s="8">
        <v>737</v>
      </c>
      <c r="B744" s="8" t="s">
        <v>985</v>
      </c>
      <c r="C744" s="8"/>
      <c r="D744" s="8"/>
      <c r="E744" s="8"/>
      <c r="F744" s="8"/>
      <c r="G744" s="8"/>
      <c r="H744" s="8"/>
      <c r="I744" s="8"/>
      <c r="J744" s="8"/>
      <c r="K744" s="9">
        <v>1.5300000000000001E-4</v>
      </c>
      <c r="L744" s="9">
        <v>1.5300000000000001E-4</v>
      </c>
      <c r="M744" s="9">
        <v>1.3200000000000001E-4</v>
      </c>
      <c r="N744" s="8"/>
      <c r="O744" s="8"/>
      <c r="P744" s="8"/>
      <c r="Q744" s="8"/>
      <c r="R744" s="8"/>
      <c r="S744" s="8"/>
      <c r="T744" s="8"/>
      <c r="U744" s="8"/>
      <c r="V744" s="10">
        <v>14152716</v>
      </c>
      <c r="W744" s="10">
        <v>14152716</v>
      </c>
      <c r="X744" s="10">
        <v>12157600</v>
      </c>
      <c r="Y744" s="8"/>
      <c r="Z744" s="8"/>
      <c r="AA744" s="8"/>
      <c r="AB744" s="8"/>
      <c r="AC744" s="8"/>
      <c r="AD744" s="8"/>
      <c r="AE744" s="8"/>
      <c r="AF744" s="8"/>
      <c r="AG744" s="11">
        <v>0</v>
      </c>
      <c r="AH744" s="13">
        <v>1995116</v>
      </c>
      <c r="AI744" s="11">
        <v>0</v>
      </c>
      <c r="AJ744" s="8"/>
      <c r="AK744" s="8"/>
      <c r="AL744" s="8"/>
      <c r="AM744" s="8"/>
      <c r="AN744" s="8"/>
      <c r="AO744" s="8"/>
      <c r="AP744" s="8"/>
      <c r="AQ744" s="8"/>
      <c r="AR744" s="10">
        <v>39627604826.099998</v>
      </c>
      <c r="AS744" s="10">
        <v>39627604826.099998</v>
      </c>
      <c r="AT744" s="10">
        <v>26442779987.5</v>
      </c>
      <c r="AU744" s="8"/>
      <c r="AV744" s="8"/>
      <c r="AW744" s="8"/>
      <c r="AX744" s="8"/>
      <c r="AY744" s="8"/>
      <c r="AZ744" s="8"/>
      <c r="BA744" s="8"/>
      <c r="BB744" s="8"/>
      <c r="BC744" s="14">
        <v>42643</v>
      </c>
      <c r="BD744" s="14">
        <v>42643</v>
      </c>
      <c r="BE744" s="14">
        <v>42308</v>
      </c>
      <c r="BF744" s="8"/>
      <c r="BG744" s="8"/>
      <c r="BH744" s="8"/>
      <c r="BI744" s="8"/>
      <c r="BJ744" s="8"/>
      <c r="BK744" s="8"/>
      <c r="BL744" s="8"/>
      <c r="BM744" s="8"/>
      <c r="BN744" s="8" t="s">
        <v>35</v>
      </c>
      <c r="BO744" s="8" t="s">
        <v>35</v>
      </c>
      <c r="BP744" s="8" t="s">
        <v>35</v>
      </c>
      <c r="BQ744" s="8" t="s">
        <v>31</v>
      </c>
      <c r="BR744" s="8" t="s">
        <v>49</v>
      </c>
      <c r="BS744" s="10">
        <v>84313928224.800003</v>
      </c>
      <c r="BT744" s="8" t="s">
        <v>57</v>
      </c>
      <c r="BU744" s="8"/>
      <c r="BV744" s="8"/>
      <c r="BW744" s="8"/>
      <c r="BX744" s="8"/>
      <c r="BY744" s="8"/>
      <c r="BZ744" s="8"/>
      <c r="CA744" s="8"/>
      <c r="CB744" s="8"/>
      <c r="CC744" s="8" t="s">
        <v>27</v>
      </c>
      <c r="CD744" s="8" t="s">
        <v>27</v>
      </c>
      <c r="CE744" s="8" t="s">
        <v>27</v>
      </c>
      <c r="CF744" s="8" t="s">
        <v>986</v>
      </c>
      <c r="CG744" s="8" t="s">
        <v>51</v>
      </c>
    </row>
    <row r="745" spans="1:85" ht="15.75" customHeight="1" x14ac:dyDescent="0.35">
      <c r="A745" s="8">
        <v>738</v>
      </c>
      <c r="B745" s="8" t="s">
        <v>987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>
        <v>7.3999999999999996E-5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10">
        <v>6800800</v>
      </c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11">
        <v>0</v>
      </c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10">
        <v>17427049955.25</v>
      </c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14">
        <v>41851</v>
      </c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 t="s">
        <v>35</v>
      </c>
      <c r="BQ745" s="8" t="s">
        <v>31</v>
      </c>
      <c r="BR745" s="8" t="s">
        <v>36</v>
      </c>
      <c r="BS745" s="10">
        <v>31370668428897.602</v>
      </c>
      <c r="BT745" s="8" t="s">
        <v>57</v>
      </c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 t="s">
        <v>27</v>
      </c>
      <c r="CF745" s="8" t="s">
        <v>988</v>
      </c>
      <c r="CG745" s="8" t="s">
        <v>118</v>
      </c>
    </row>
    <row r="746" spans="1:85" ht="15.75" customHeight="1" x14ac:dyDescent="0.35">
      <c r="A746" s="8">
        <v>739</v>
      </c>
      <c r="B746" s="8" t="s">
        <v>989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>
        <v>0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10">
        <v>0</v>
      </c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11">
        <v>0</v>
      </c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10">
        <v>0</v>
      </c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14">
        <v>42004</v>
      </c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 t="s">
        <v>35</v>
      </c>
      <c r="BQ746" s="8" t="s">
        <v>31</v>
      </c>
      <c r="BR746" s="8" t="s">
        <v>53</v>
      </c>
      <c r="BS746" s="10">
        <v>685122728061906</v>
      </c>
      <c r="BT746" s="8" t="s">
        <v>41</v>
      </c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 t="s">
        <v>27</v>
      </c>
      <c r="CF746" s="8" t="s">
        <v>830</v>
      </c>
      <c r="CG746" s="8" t="s">
        <v>39</v>
      </c>
    </row>
    <row r="747" spans="1:85" ht="15.75" customHeight="1" x14ac:dyDescent="0.35">
      <c r="A747" s="8">
        <v>740</v>
      </c>
      <c r="B747" s="8" t="s">
        <v>990</v>
      </c>
      <c r="C747" s="8"/>
      <c r="D747" s="9">
        <v>3.9999999999999998E-6</v>
      </c>
      <c r="E747" s="9">
        <v>3.9999999999999998E-6</v>
      </c>
      <c r="F747" s="9">
        <v>5.3000000000000001E-5</v>
      </c>
      <c r="G747" s="9">
        <v>5.5000000000000002E-5</v>
      </c>
      <c r="H747" s="9">
        <v>4.1999999999999998E-5</v>
      </c>
      <c r="I747" s="8"/>
      <c r="J747" s="8"/>
      <c r="K747" s="8"/>
      <c r="L747" s="8"/>
      <c r="M747" s="8"/>
      <c r="N747" s="8"/>
      <c r="O747" s="10">
        <v>383200</v>
      </c>
      <c r="P747" s="10">
        <v>383200</v>
      </c>
      <c r="Q747" s="10">
        <v>4895600</v>
      </c>
      <c r="R747" s="10">
        <v>5074400</v>
      </c>
      <c r="S747" s="10">
        <v>3843000</v>
      </c>
      <c r="T747" s="8"/>
      <c r="U747" s="8"/>
      <c r="V747" s="8"/>
      <c r="W747" s="8"/>
      <c r="X747" s="8"/>
      <c r="Y747" s="8"/>
      <c r="Z747" s="11">
        <v>0</v>
      </c>
      <c r="AA747" s="12">
        <v>-4512400</v>
      </c>
      <c r="AB747" s="12">
        <v>-178800</v>
      </c>
      <c r="AC747" s="13">
        <v>1231400</v>
      </c>
      <c r="AD747" s="13">
        <v>3843000</v>
      </c>
      <c r="AE747" s="8"/>
      <c r="AF747" s="8"/>
      <c r="AG747" s="8"/>
      <c r="AH747" s="8"/>
      <c r="AI747" s="8"/>
      <c r="AJ747" s="8"/>
      <c r="AK747" s="10">
        <v>2299107393</v>
      </c>
      <c r="AL747" s="10">
        <v>2299107393</v>
      </c>
      <c r="AM747" s="10">
        <v>24294414986.049999</v>
      </c>
      <c r="AN747" s="10">
        <v>17805087862.5</v>
      </c>
      <c r="AO747" s="10">
        <v>12153487460.4</v>
      </c>
      <c r="AP747" s="8"/>
      <c r="AQ747" s="8"/>
      <c r="AR747" s="8"/>
      <c r="AS747" s="8"/>
      <c r="AT747" s="8"/>
      <c r="AU747" s="8"/>
      <c r="AV747" s="14">
        <v>45199</v>
      </c>
      <c r="AW747" s="14">
        <v>45199</v>
      </c>
      <c r="AX747" s="14">
        <v>44926</v>
      </c>
      <c r="AY747" s="14">
        <v>44561</v>
      </c>
      <c r="AZ747" s="14">
        <v>44196</v>
      </c>
      <c r="BA747" s="8"/>
      <c r="BB747" s="8"/>
      <c r="BC747" s="8"/>
      <c r="BD747" s="8"/>
      <c r="BE747" s="8"/>
      <c r="BF747" s="8"/>
      <c r="BG747" s="8" t="s">
        <v>35</v>
      </c>
      <c r="BH747" s="8" t="s">
        <v>35</v>
      </c>
      <c r="BI747" s="8" t="s">
        <v>35</v>
      </c>
      <c r="BJ747" s="8" t="s">
        <v>35</v>
      </c>
      <c r="BK747" s="8" t="s">
        <v>35</v>
      </c>
      <c r="BL747" s="8"/>
      <c r="BM747" s="8"/>
      <c r="BN747" s="8"/>
      <c r="BO747" s="8"/>
      <c r="BP747" s="8"/>
      <c r="BQ747" s="8" t="s">
        <v>31</v>
      </c>
      <c r="BR747" s="8" t="s">
        <v>49</v>
      </c>
      <c r="BS747" s="10">
        <v>157877611614722</v>
      </c>
      <c r="BT747" s="8" t="s">
        <v>46</v>
      </c>
      <c r="BU747" s="8"/>
      <c r="BV747" s="8" t="s">
        <v>27</v>
      </c>
      <c r="BW747" s="8" t="s">
        <v>27</v>
      </c>
      <c r="BX747" s="8" t="s">
        <v>27</v>
      </c>
      <c r="BY747" s="8" t="s">
        <v>27</v>
      </c>
      <c r="BZ747" s="8" t="s">
        <v>27</v>
      </c>
      <c r="CA747" s="8"/>
      <c r="CB747" s="8"/>
      <c r="CC747" s="8"/>
      <c r="CD747" s="8"/>
      <c r="CE747" s="8"/>
      <c r="CF747" s="8" t="s">
        <v>158</v>
      </c>
      <c r="CG747" s="8" t="s">
        <v>115</v>
      </c>
    </row>
    <row r="748" spans="1:85" ht="15.75" customHeight="1" x14ac:dyDescent="0.35">
      <c r="A748" s="8">
        <v>741</v>
      </c>
      <c r="B748" s="8" t="s">
        <v>991</v>
      </c>
      <c r="C748" s="8"/>
      <c r="D748" s="8"/>
      <c r="E748" s="8"/>
      <c r="F748" s="8"/>
      <c r="G748" s="8"/>
      <c r="H748" s="8"/>
      <c r="I748" s="9">
        <v>1.5E-5</v>
      </c>
      <c r="J748" s="9">
        <v>1.5E-5</v>
      </c>
      <c r="K748" s="9">
        <v>6.7000000000000002E-5</v>
      </c>
      <c r="L748" s="9">
        <v>4.3999999999999999E-5</v>
      </c>
      <c r="M748" s="9">
        <v>2.5999999999999998E-5</v>
      </c>
      <c r="N748" s="8"/>
      <c r="O748" s="8"/>
      <c r="P748" s="8"/>
      <c r="Q748" s="8"/>
      <c r="R748" s="8"/>
      <c r="S748" s="8"/>
      <c r="T748" s="10">
        <v>1425200</v>
      </c>
      <c r="U748" s="10">
        <v>1425200</v>
      </c>
      <c r="V748" s="10">
        <v>6227200</v>
      </c>
      <c r="W748" s="10">
        <v>4036800</v>
      </c>
      <c r="X748" s="10">
        <v>2412400</v>
      </c>
      <c r="Y748" s="8"/>
      <c r="Z748" s="8"/>
      <c r="AA748" s="8"/>
      <c r="AB748" s="8"/>
      <c r="AC748" s="8"/>
      <c r="AD748" s="8"/>
      <c r="AE748" s="11">
        <v>0</v>
      </c>
      <c r="AF748" s="12">
        <v>-4802000</v>
      </c>
      <c r="AG748" s="13">
        <v>2190400</v>
      </c>
      <c r="AH748" s="13">
        <v>1624400</v>
      </c>
      <c r="AI748" s="11">
        <v>0</v>
      </c>
      <c r="AJ748" s="8"/>
      <c r="AK748" s="8"/>
      <c r="AL748" s="8"/>
      <c r="AM748" s="8"/>
      <c r="AN748" s="8"/>
      <c r="AO748" s="8"/>
      <c r="AP748" s="10">
        <v>5190431706.25</v>
      </c>
      <c r="AQ748" s="10">
        <v>5190431706.25</v>
      </c>
      <c r="AR748" s="10">
        <v>24908800024.549999</v>
      </c>
      <c r="AS748" s="10">
        <v>11681490038.4</v>
      </c>
      <c r="AT748" s="10">
        <v>5580699136.0500002</v>
      </c>
      <c r="AU748" s="8"/>
      <c r="AV748" s="8"/>
      <c r="AW748" s="8"/>
      <c r="AX748" s="8"/>
      <c r="AY748" s="8"/>
      <c r="AZ748" s="8"/>
      <c r="BA748" s="14">
        <v>43465</v>
      </c>
      <c r="BB748" s="14">
        <v>43465</v>
      </c>
      <c r="BC748" s="14">
        <v>43100</v>
      </c>
      <c r="BD748" s="14">
        <v>42735</v>
      </c>
      <c r="BE748" s="14">
        <v>42369</v>
      </c>
      <c r="BF748" s="8"/>
      <c r="BG748" s="8"/>
      <c r="BH748" s="8"/>
      <c r="BI748" s="8"/>
      <c r="BJ748" s="8"/>
      <c r="BK748" s="8"/>
      <c r="BL748" s="8" t="s">
        <v>35</v>
      </c>
      <c r="BM748" s="8" t="s">
        <v>35</v>
      </c>
      <c r="BN748" s="8" t="s">
        <v>35</v>
      </c>
      <c r="BO748" s="8" t="s">
        <v>35</v>
      </c>
      <c r="BP748" s="8" t="s">
        <v>35</v>
      </c>
      <c r="BQ748" s="8" t="s">
        <v>31</v>
      </c>
      <c r="BR748" s="8" t="s">
        <v>36</v>
      </c>
      <c r="BS748" s="10">
        <v>16345527207490.801</v>
      </c>
      <c r="BT748" s="8" t="s">
        <v>46</v>
      </c>
      <c r="BU748" s="8"/>
      <c r="BV748" s="8"/>
      <c r="BW748" s="8"/>
      <c r="BX748" s="8"/>
      <c r="BY748" s="8"/>
      <c r="BZ748" s="8"/>
      <c r="CA748" s="8" t="s">
        <v>27</v>
      </c>
      <c r="CB748" s="8" t="s">
        <v>27</v>
      </c>
      <c r="CC748" s="8" t="s">
        <v>42</v>
      </c>
      <c r="CD748" s="8" t="s">
        <v>42</v>
      </c>
      <c r="CE748" s="8" t="s">
        <v>27</v>
      </c>
      <c r="CF748" s="8" t="s">
        <v>992</v>
      </c>
      <c r="CG748" s="8" t="s">
        <v>146</v>
      </c>
    </row>
    <row r="749" spans="1:85" ht="15.75" hidden="1" customHeight="1" x14ac:dyDescent="0.35">
      <c r="A749" s="8">
        <v>742</v>
      </c>
      <c r="B749" s="8" t="s">
        <v>993</v>
      </c>
      <c r="C749" s="8"/>
      <c r="D749" s="8"/>
      <c r="E749" s="9">
        <v>7.0870000000000004E-3</v>
      </c>
      <c r="F749" s="9">
        <v>7.2849999999999998E-3</v>
      </c>
      <c r="G749" s="9">
        <v>8.8450000000000004E-3</v>
      </c>
      <c r="H749" s="9">
        <v>7.5570000000000003E-3</v>
      </c>
      <c r="I749" s="9">
        <v>8.4379999999999993E-3</v>
      </c>
      <c r="J749" s="8"/>
      <c r="K749" s="8"/>
      <c r="L749" s="8"/>
      <c r="M749" s="8"/>
      <c r="N749" s="8"/>
      <c r="O749" s="8"/>
      <c r="P749" s="10">
        <v>654860090</v>
      </c>
      <c r="Q749" s="10">
        <v>673175894</v>
      </c>
      <c r="R749" s="10">
        <v>817271910</v>
      </c>
      <c r="S749" s="10">
        <v>698270400</v>
      </c>
      <c r="T749" s="10">
        <v>779684514</v>
      </c>
      <c r="U749" s="8"/>
      <c r="V749" s="8"/>
      <c r="W749" s="8"/>
      <c r="X749" s="8"/>
      <c r="Y749" s="8"/>
      <c r="Z749" s="8"/>
      <c r="AA749" s="12">
        <v>-18315804</v>
      </c>
      <c r="AB749" s="12">
        <v>-144096016</v>
      </c>
      <c r="AC749" s="13">
        <v>119001510</v>
      </c>
      <c r="AD749" s="12">
        <v>-81414114</v>
      </c>
      <c r="AE749" s="13">
        <v>779684514</v>
      </c>
      <c r="AF749" s="8"/>
      <c r="AG749" s="8"/>
      <c r="AH749" s="8"/>
      <c r="AI749" s="8"/>
      <c r="AJ749" s="8"/>
      <c r="AK749" s="8"/>
      <c r="AL749" s="10">
        <v>3961903541427.3501</v>
      </c>
      <c r="AM749" s="10">
        <v>3340635376532.2998</v>
      </c>
      <c r="AN749" s="10">
        <v>2867649006472.5</v>
      </c>
      <c r="AO749" s="10">
        <v>2208280137523.2002</v>
      </c>
      <c r="AP749" s="10">
        <v>2983441510882.7998</v>
      </c>
      <c r="AQ749" s="8"/>
      <c r="AR749" s="8"/>
      <c r="AS749" s="8"/>
      <c r="AT749" s="8"/>
      <c r="AU749" s="8"/>
      <c r="AV749" s="8"/>
      <c r="AW749" s="14">
        <v>45291</v>
      </c>
      <c r="AX749" s="14">
        <v>44926</v>
      </c>
      <c r="AY749" s="14">
        <v>44561</v>
      </c>
      <c r="AZ749" s="14">
        <v>44196</v>
      </c>
      <c r="BA749" s="14">
        <v>43830</v>
      </c>
      <c r="BB749" s="8"/>
      <c r="BC749" s="8"/>
      <c r="BD749" s="8"/>
      <c r="BE749" s="8"/>
      <c r="BF749" s="8"/>
      <c r="BG749" s="8"/>
      <c r="BH749" s="8" t="s">
        <v>24</v>
      </c>
      <c r="BI749" s="8" t="s">
        <v>24</v>
      </c>
      <c r="BJ749" s="8" t="s">
        <v>24</v>
      </c>
      <c r="BK749" s="8" t="s">
        <v>24</v>
      </c>
      <c r="BL749" s="8" t="s">
        <v>24</v>
      </c>
      <c r="BM749" s="8"/>
      <c r="BN749" s="8"/>
      <c r="BO749" s="8"/>
      <c r="BP749" s="8"/>
      <c r="BQ749" s="8" t="s">
        <v>25</v>
      </c>
      <c r="BR749" s="8" t="s">
        <v>945</v>
      </c>
      <c r="BS749" s="10">
        <v>3493390945606.7998</v>
      </c>
      <c r="BT749" s="8"/>
      <c r="BU749" s="8"/>
      <c r="BV749" s="8"/>
      <c r="BW749" s="8" t="s">
        <v>27</v>
      </c>
      <c r="BX749" s="8" t="s">
        <v>27</v>
      </c>
      <c r="BY749" s="8" t="s">
        <v>27</v>
      </c>
      <c r="BZ749" s="8" t="s">
        <v>27</v>
      </c>
      <c r="CA749" s="8" t="s">
        <v>43</v>
      </c>
      <c r="CB749" s="8"/>
      <c r="CC749" s="8"/>
      <c r="CD749" s="8"/>
      <c r="CE749" s="8"/>
      <c r="CF749" s="8" t="s">
        <v>54</v>
      </c>
      <c r="CG749" s="8" t="s">
        <v>55</v>
      </c>
    </row>
    <row r="750" spans="1:85" ht="15.75" customHeight="1" x14ac:dyDescent="0.35">
      <c r="A750" s="8">
        <v>743</v>
      </c>
      <c r="B750" s="8" t="s">
        <v>994</v>
      </c>
      <c r="C750" s="8"/>
      <c r="D750" s="8"/>
      <c r="E750" s="8"/>
      <c r="F750" s="8"/>
      <c r="G750" s="8"/>
      <c r="H750" s="8"/>
      <c r="I750" s="9">
        <v>0</v>
      </c>
      <c r="J750" s="9">
        <v>0</v>
      </c>
      <c r="K750" s="9">
        <v>0</v>
      </c>
      <c r="L750" s="9">
        <v>0</v>
      </c>
      <c r="M750" s="9">
        <v>7.4999999999999993E-5</v>
      </c>
      <c r="N750" s="8"/>
      <c r="O750" s="8"/>
      <c r="P750" s="8"/>
      <c r="Q750" s="8"/>
      <c r="R750" s="8"/>
      <c r="S750" s="8"/>
      <c r="T750" s="10">
        <v>0</v>
      </c>
      <c r="U750" s="10">
        <v>0</v>
      </c>
      <c r="V750" s="10">
        <v>0</v>
      </c>
      <c r="W750" s="10">
        <v>0</v>
      </c>
      <c r="X750" s="10">
        <v>6935056</v>
      </c>
      <c r="Y750" s="8"/>
      <c r="Z750" s="8"/>
      <c r="AA750" s="8"/>
      <c r="AB750" s="8"/>
      <c r="AC750" s="8"/>
      <c r="AD750" s="8"/>
      <c r="AE750" s="11">
        <v>0</v>
      </c>
      <c r="AF750" s="11">
        <v>0</v>
      </c>
      <c r="AG750" s="11">
        <v>0</v>
      </c>
      <c r="AH750" s="12">
        <v>-6935056</v>
      </c>
      <c r="AI750" s="11">
        <v>0</v>
      </c>
      <c r="AJ750" s="8"/>
      <c r="AK750" s="8"/>
      <c r="AL750" s="8"/>
      <c r="AM750" s="8"/>
      <c r="AN750" s="8"/>
      <c r="AO750" s="8"/>
      <c r="AP750" s="10">
        <v>0</v>
      </c>
      <c r="AQ750" s="10">
        <v>0</v>
      </c>
      <c r="AR750" s="10">
        <v>0</v>
      </c>
      <c r="AS750" s="10">
        <v>0</v>
      </c>
      <c r="AT750" s="10">
        <v>16043136013.5</v>
      </c>
      <c r="AU750" s="8"/>
      <c r="AV750" s="8"/>
      <c r="AW750" s="8"/>
      <c r="AX750" s="8"/>
      <c r="AY750" s="8"/>
      <c r="AZ750" s="8"/>
      <c r="BA750" s="14">
        <v>43434</v>
      </c>
      <c r="BB750" s="14">
        <v>43434</v>
      </c>
      <c r="BC750" s="14">
        <v>42551</v>
      </c>
      <c r="BD750" s="14">
        <v>42551</v>
      </c>
      <c r="BE750" s="14">
        <v>42369</v>
      </c>
      <c r="BF750" s="8"/>
      <c r="BG750" s="8"/>
      <c r="BH750" s="8"/>
      <c r="BI750" s="8"/>
      <c r="BJ750" s="8"/>
      <c r="BK750" s="8"/>
      <c r="BL750" s="8" t="s">
        <v>35</v>
      </c>
      <c r="BM750" s="8" t="s">
        <v>35</v>
      </c>
      <c r="BN750" s="8" t="s">
        <v>35</v>
      </c>
      <c r="BO750" s="8" t="s">
        <v>35</v>
      </c>
      <c r="BP750" s="8" t="s">
        <v>35</v>
      </c>
      <c r="BQ750" s="8" t="s">
        <v>31</v>
      </c>
      <c r="BR750" s="8" t="s">
        <v>36</v>
      </c>
      <c r="BS750" s="10">
        <v>12734805989530.801</v>
      </c>
      <c r="BT750" s="8" t="s">
        <v>37</v>
      </c>
      <c r="BU750" s="8"/>
      <c r="BV750" s="8"/>
      <c r="BW750" s="8"/>
      <c r="BX750" s="8"/>
      <c r="BY750" s="8"/>
      <c r="BZ750" s="8"/>
      <c r="CA750" s="8" t="s">
        <v>27</v>
      </c>
      <c r="CB750" s="8" t="s">
        <v>27</v>
      </c>
      <c r="CC750" s="8" t="s">
        <v>42</v>
      </c>
      <c r="CD750" s="8" t="s">
        <v>27</v>
      </c>
      <c r="CE750" s="8" t="s">
        <v>42</v>
      </c>
      <c r="CF750" s="8" t="s">
        <v>50</v>
      </c>
      <c r="CG750" s="8" t="s">
        <v>51</v>
      </c>
    </row>
    <row r="751" spans="1:85" ht="15.75" customHeight="1" x14ac:dyDescent="0.35">
      <c r="A751" s="8">
        <v>744</v>
      </c>
      <c r="B751" s="8" t="s">
        <v>995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>
        <v>1.9000000000000001E-5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10">
        <v>1720800</v>
      </c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11">
        <v>0</v>
      </c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10">
        <v>4463325058.8000002</v>
      </c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14">
        <v>41882</v>
      </c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 t="s">
        <v>35</v>
      </c>
      <c r="BQ751" s="8" t="s">
        <v>31</v>
      </c>
      <c r="BR751" s="8" t="s">
        <v>160</v>
      </c>
      <c r="BS751" s="10">
        <v>2846348364214920</v>
      </c>
      <c r="BT751" s="8" t="s">
        <v>41</v>
      </c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 t="s">
        <v>27</v>
      </c>
      <c r="CF751" s="8" t="s">
        <v>180</v>
      </c>
      <c r="CG751" s="8" t="s">
        <v>181</v>
      </c>
    </row>
    <row r="752" spans="1:85" ht="15.75" customHeight="1" x14ac:dyDescent="0.35">
      <c r="A752" s="8">
        <v>745</v>
      </c>
      <c r="B752" s="8" t="s">
        <v>996</v>
      </c>
      <c r="C752" s="8"/>
      <c r="D752" s="8"/>
      <c r="E752" s="9">
        <v>0</v>
      </c>
      <c r="F752" s="9">
        <v>0</v>
      </c>
      <c r="G752" s="9">
        <v>2.7E-4</v>
      </c>
      <c r="H752" s="8"/>
      <c r="I752" s="8"/>
      <c r="J752" s="8"/>
      <c r="K752" s="8"/>
      <c r="L752" s="8"/>
      <c r="M752" s="8"/>
      <c r="N752" s="8"/>
      <c r="O752" s="8"/>
      <c r="P752" s="10">
        <v>0</v>
      </c>
      <c r="Q752" s="10">
        <v>0</v>
      </c>
      <c r="R752" s="10">
        <v>24991000</v>
      </c>
      <c r="S752" s="8"/>
      <c r="T752" s="8"/>
      <c r="U752" s="8"/>
      <c r="V752" s="8"/>
      <c r="W752" s="8"/>
      <c r="X752" s="8"/>
      <c r="Y752" s="8"/>
      <c r="Z752" s="8"/>
      <c r="AA752" s="11">
        <v>0</v>
      </c>
      <c r="AB752" s="12">
        <v>-24991000</v>
      </c>
      <c r="AC752" s="13">
        <v>24991000</v>
      </c>
      <c r="AD752" s="8"/>
      <c r="AE752" s="8"/>
      <c r="AF752" s="8"/>
      <c r="AG752" s="8"/>
      <c r="AH752" s="8"/>
      <c r="AI752" s="8"/>
      <c r="AJ752" s="8"/>
      <c r="AK752" s="8"/>
      <c r="AL752" s="10">
        <v>0</v>
      </c>
      <c r="AM752" s="10">
        <v>0</v>
      </c>
      <c r="AN752" s="10">
        <v>87688583685</v>
      </c>
      <c r="AO752" s="8"/>
      <c r="AP752" s="8"/>
      <c r="AQ752" s="8"/>
      <c r="AR752" s="8"/>
      <c r="AS752" s="8"/>
      <c r="AT752" s="8"/>
      <c r="AU752" s="8"/>
      <c r="AV752" s="8"/>
      <c r="AW752" s="14">
        <v>44926</v>
      </c>
      <c r="AX752" s="14">
        <v>44926</v>
      </c>
      <c r="AY752" s="14">
        <v>44561</v>
      </c>
      <c r="AZ752" s="8"/>
      <c r="BA752" s="8"/>
      <c r="BB752" s="8"/>
      <c r="BC752" s="8"/>
      <c r="BD752" s="8"/>
      <c r="BE752" s="8"/>
      <c r="BF752" s="8"/>
      <c r="BG752" s="8"/>
      <c r="BH752" s="8" t="s">
        <v>35</v>
      </c>
      <c r="BI752" s="8" t="s">
        <v>35</v>
      </c>
      <c r="BJ752" s="8" t="s">
        <v>35</v>
      </c>
      <c r="BK752" s="8"/>
      <c r="BL752" s="8"/>
      <c r="BM752" s="8"/>
      <c r="BN752" s="8"/>
      <c r="BO752" s="8"/>
      <c r="BP752" s="8"/>
      <c r="BQ752" s="8" t="s">
        <v>31</v>
      </c>
      <c r="BR752" s="8" t="s">
        <v>36</v>
      </c>
      <c r="BS752" s="10">
        <v>436080892678.79999</v>
      </c>
      <c r="BT752" s="8"/>
      <c r="BU752" s="8"/>
      <c r="BV752" s="8"/>
      <c r="BW752" s="8" t="s">
        <v>27</v>
      </c>
      <c r="BX752" s="8" t="s">
        <v>43</v>
      </c>
      <c r="BY752" s="8" t="s">
        <v>43</v>
      </c>
      <c r="BZ752" s="8"/>
      <c r="CA752" s="8"/>
      <c r="CB752" s="8"/>
      <c r="CC752" s="8"/>
      <c r="CD752" s="8"/>
      <c r="CE752" s="8"/>
      <c r="CF752" s="8" t="s">
        <v>644</v>
      </c>
      <c r="CG752" s="8" t="s">
        <v>39</v>
      </c>
    </row>
    <row r="753" spans="1:85" ht="15.75" customHeight="1" x14ac:dyDescent="0.35">
      <c r="A753" s="8">
        <v>746</v>
      </c>
      <c r="B753" s="8" t="s">
        <v>997</v>
      </c>
      <c r="C753" s="8"/>
      <c r="D753" s="8"/>
      <c r="E753" s="8"/>
      <c r="F753" s="8"/>
      <c r="G753" s="8"/>
      <c r="H753" s="9">
        <v>0</v>
      </c>
      <c r="I753" s="9">
        <v>0</v>
      </c>
      <c r="J753" s="9">
        <v>0</v>
      </c>
      <c r="K753" s="9">
        <v>9.9999999999999995E-7</v>
      </c>
      <c r="L753" s="9">
        <v>1.9000000000000001E-5</v>
      </c>
      <c r="M753" s="9">
        <v>1.9000000000000001E-5</v>
      </c>
      <c r="N753" s="8"/>
      <c r="O753" s="8"/>
      <c r="P753" s="8"/>
      <c r="Q753" s="8"/>
      <c r="R753" s="8"/>
      <c r="S753" s="10">
        <v>0</v>
      </c>
      <c r="T753" s="10">
        <v>0</v>
      </c>
      <c r="U753" s="10">
        <v>29962</v>
      </c>
      <c r="V753" s="10">
        <v>50264</v>
      </c>
      <c r="W753" s="10">
        <v>1732120</v>
      </c>
      <c r="X753" s="10">
        <v>1732120</v>
      </c>
      <c r="Y753" s="8"/>
      <c r="Z753" s="8"/>
      <c r="AA753" s="8"/>
      <c r="AB753" s="8"/>
      <c r="AC753" s="8"/>
      <c r="AD753" s="11">
        <v>0</v>
      </c>
      <c r="AE753" s="12">
        <v>-29962</v>
      </c>
      <c r="AF753" s="12">
        <v>-20302</v>
      </c>
      <c r="AG753" s="12">
        <v>-1681856</v>
      </c>
      <c r="AH753" s="11">
        <v>0</v>
      </c>
      <c r="AI753" s="11">
        <v>0</v>
      </c>
      <c r="AJ753" s="8"/>
      <c r="AK753" s="8"/>
      <c r="AL753" s="8"/>
      <c r="AM753" s="8"/>
      <c r="AN753" s="8"/>
      <c r="AO753" s="10">
        <v>0</v>
      </c>
      <c r="AP753" s="10">
        <v>0</v>
      </c>
      <c r="AQ753" s="10">
        <v>109118468.75</v>
      </c>
      <c r="AR753" s="10">
        <v>201055953.55000001</v>
      </c>
      <c r="AS753" s="10">
        <v>4655072462.3999996</v>
      </c>
      <c r="AT753" s="10">
        <v>4655072462.3999996</v>
      </c>
      <c r="AU753" s="8"/>
      <c r="AV753" s="8"/>
      <c r="AW753" s="8"/>
      <c r="AX753" s="8"/>
      <c r="AY753" s="8"/>
      <c r="AZ753" s="14">
        <v>43830</v>
      </c>
      <c r="BA753" s="14">
        <v>43830</v>
      </c>
      <c r="BB753" s="14">
        <v>43465</v>
      </c>
      <c r="BC753" s="14">
        <v>43100</v>
      </c>
      <c r="BD753" s="14">
        <v>42124</v>
      </c>
      <c r="BE753" s="14">
        <v>42124</v>
      </c>
      <c r="BF753" s="8"/>
      <c r="BG753" s="8"/>
      <c r="BH753" s="8"/>
      <c r="BI753" s="8"/>
      <c r="BJ753" s="8"/>
      <c r="BK753" s="8" t="s">
        <v>35</v>
      </c>
      <c r="BL753" s="8" t="s">
        <v>35</v>
      </c>
      <c r="BM753" s="8" t="s">
        <v>35</v>
      </c>
      <c r="BN753" s="8" t="s">
        <v>35</v>
      </c>
      <c r="BO753" s="8" t="s">
        <v>35</v>
      </c>
      <c r="BP753" s="8" t="s">
        <v>35</v>
      </c>
      <c r="BQ753" s="8" t="s">
        <v>31</v>
      </c>
      <c r="BR753" s="8" t="s">
        <v>36</v>
      </c>
      <c r="BS753" s="10">
        <v>68614195472895.602</v>
      </c>
      <c r="BT753" s="8" t="s">
        <v>57</v>
      </c>
      <c r="BU753" s="8"/>
      <c r="BV753" s="8"/>
      <c r="BW753" s="8"/>
      <c r="BX753" s="8"/>
      <c r="BY753" s="8"/>
      <c r="BZ753" s="8" t="s">
        <v>27</v>
      </c>
      <c r="CA753" s="8" t="s">
        <v>43</v>
      </c>
      <c r="CB753" s="8" t="s">
        <v>27</v>
      </c>
      <c r="CC753" s="8" t="s">
        <v>27</v>
      </c>
      <c r="CD753" s="8" t="s">
        <v>27</v>
      </c>
      <c r="CE753" s="8" t="s">
        <v>42</v>
      </c>
      <c r="CF753" s="8" t="s">
        <v>98</v>
      </c>
      <c r="CG753" s="8" t="s">
        <v>99</v>
      </c>
    </row>
    <row r="754" spans="1:85" ht="15.75" customHeight="1" x14ac:dyDescent="0.35">
      <c r="A754" s="8">
        <v>747</v>
      </c>
      <c r="B754" s="8" t="s">
        <v>998</v>
      </c>
      <c r="C754" s="8"/>
      <c r="D754" s="8"/>
      <c r="E754" s="9">
        <v>0</v>
      </c>
      <c r="F754" s="9">
        <v>4.8999999999999998E-5</v>
      </c>
      <c r="G754" s="8"/>
      <c r="H754" s="8"/>
      <c r="I754" s="8"/>
      <c r="J754" s="8"/>
      <c r="K754" s="8"/>
      <c r="L754" s="8"/>
      <c r="M754" s="8"/>
      <c r="N754" s="8"/>
      <c r="O754" s="8"/>
      <c r="P754" s="10">
        <v>0</v>
      </c>
      <c r="Q754" s="10">
        <v>4509000</v>
      </c>
      <c r="R754" s="8"/>
      <c r="S754" s="8"/>
      <c r="T754" s="8"/>
      <c r="U754" s="8"/>
      <c r="V754" s="8"/>
      <c r="W754" s="8"/>
      <c r="X754" s="8"/>
      <c r="Y754" s="8"/>
      <c r="Z754" s="8"/>
      <c r="AA754" s="12">
        <v>-4509000</v>
      </c>
      <c r="AB754" s="13">
        <v>4509000</v>
      </c>
      <c r="AC754" s="8"/>
      <c r="AD754" s="8"/>
      <c r="AE754" s="8"/>
      <c r="AF754" s="8"/>
      <c r="AG754" s="8"/>
      <c r="AH754" s="8"/>
      <c r="AI754" s="8"/>
      <c r="AJ754" s="8"/>
      <c r="AK754" s="8"/>
      <c r="AL754" s="10">
        <v>0</v>
      </c>
      <c r="AM754" s="10">
        <v>22375912465.5</v>
      </c>
      <c r="AN754" s="8"/>
      <c r="AO754" s="8"/>
      <c r="AP754" s="8"/>
      <c r="AQ754" s="8"/>
      <c r="AR754" s="8"/>
      <c r="AS754" s="8"/>
      <c r="AT754" s="8"/>
      <c r="AU754" s="8"/>
      <c r="AV754" s="8"/>
      <c r="AW754" s="14">
        <v>44957</v>
      </c>
      <c r="AX754" s="14">
        <v>44926</v>
      </c>
      <c r="AY754" s="8"/>
      <c r="AZ754" s="8"/>
      <c r="BA754" s="8"/>
      <c r="BB754" s="8"/>
      <c r="BC754" s="8"/>
      <c r="BD754" s="8"/>
      <c r="BE754" s="8"/>
      <c r="BF754" s="8"/>
      <c r="BG754" s="8"/>
      <c r="BH754" s="8" t="s">
        <v>35</v>
      </c>
      <c r="BI754" s="8" t="s">
        <v>35</v>
      </c>
      <c r="BJ754" s="8"/>
      <c r="BK754" s="8"/>
      <c r="BL754" s="8"/>
      <c r="BM754" s="8"/>
      <c r="BN754" s="8"/>
      <c r="BO754" s="8"/>
      <c r="BP754" s="8"/>
      <c r="BQ754" s="8" t="s">
        <v>31</v>
      </c>
      <c r="BR754" s="8" t="s">
        <v>160</v>
      </c>
      <c r="BS754" s="10">
        <v>83699481729368.406</v>
      </c>
      <c r="BT754" s="8" t="s">
        <v>41</v>
      </c>
      <c r="BU754" s="8"/>
      <c r="BV754" s="8"/>
      <c r="BW754" s="8" t="s">
        <v>42</v>
      </c>
      <c r="BX754" s="8" t="s">
        <v>42</v>
      </c>
      <c r="BY754" s="8"/>
      <c r="BZ754" s="8"/>
      <c r="CA754" s="8"/>
      <c r="CB754" s="8"/>
      <c r="CC754" s="8"/>
      <c r="CD754" s="8"/>
      <c r="CE754" s="8"/>
      <c r="CF754" s="8" t="s">
        <v>999</v>
      </c>
      <c r="CG754" s="8" t="s">
        <v>198</v>
      </c>
    </row>
    <row r="755" spans="1:85" ht="15.75" customHeight="1" x14ac:dyDescent="0.35">
      <c r="A755" s="8">
        <v>748</v>
      </c>
      <c r="B755" s="8" t="s">
        <v>1000</v>
      </c>
      <c r="C755" s="8"/>
      <c r="D755" s="8"/>
      <c r="E755" s="9">
        <v>0</v>
      </c>
      <c r="F755" s="9">
        <v>1.4E-5</v>
      </c>
      <c r="G755" s="9">
        <v>5.1599999999999997E-4</v>
      </c>
      <c r="H755" s="9">
        <v>4.0700000000000003E-4</v>
      </c>
      <c r="I755" s="9">
        <v>2.2699999999999999E-4</v>
      </c>
      <c r="J755" s="9">
        <v>0</v>
      </c>
      <c r="K755" s="9">
        <v>0</v>
      </c>
      <c r="L755" s="9">
        <v>3.0000000000000001E-6</v>
      </c>
      <c r="M755" s="9">
        <v>2.5000000000000001E-5</v>
      </c>
      <c r="N755" s="8"/>
      <c r="O755" s="8"/>
      <c r="P755" s="10">
        <v>0</v>
      </c>
      <c r="Q755" s="10">
        <v>1292400</v>
      </c>
      <c r="R755" s="10">
        <v>47716798</v>
      </c>
      <c r="S755" s="10">
        <v>37577402</v>
      </c>
      <c r="T755" s="10">
        <v>21007440</v>
      </c>
      <c r="U755" s="10">
        <v>0</v>
      </c>
      <c r="V755" s="10">
        <v>0</v>
      </c>
      <c r="W755" s="10">
        <v>272800</v>
      </c>
      <c r="X755" s="10">
        <v>2340800</v>
      </c>
      <c r="Y755" s="8"/>
      <c r="Z755" s="8"/>
      <c r="AA755" s="12">
        <v>-1292400</v>
      </c>
      <c r="AB755" s="12">
        <v>-46424398</v>
      </c>
      <c r="AC755" s="13">
        <v>10139396</v>
      </c>
      <c r="AD755" s="13">
        <v>16569962</v>
      </c>
      <c r="AE755" s="13">
        <v>21007440</v>
      </c>
      <c r="AF755" s="11">
        <v>0</v>
      </c>
      <c r="AG755" s="12">
        <v>-272800</v>
      </c>
      <c r="AH755" s="12">
        <v>-2068000</v>
      </c>
      <c r="AI755" s="13">
        <v>183196</v>
      </c>
      <c r="AJ755" s="8"/>
      <c r="AK755" s="8"/>
      <c r="AL755" s="10">
        <v>0</v>
      </c>
      <c r="AM755" s="10">
        <v>6413535058.1499996</v>
      </c>
      <c r="AN755" s="10">
        <v>167429011987.5</v>
      </c>
      <c r="AO755" s="10">
        <v>118838533741.2</v>
      </c>
      <c r="AP755" s="10">
        <v>80384395762.399994</v>
      </c>
      <c r="AQ755" s="10">
        <v>0</v>
      </c>
      <c r="AR755" s="10">
        <v>0</v>
      </c>
      <c r="AS755" s="10">
        <v>789415007.39999998</v>
      </c>
      <c r="AT755" s="10">
        <v>5415064090.0500002</v>
      </c>
      <c r="AU755" s="8"/>
      <c r="AV755" s="8"/>
      <c r="AW755" s="14">
        <v>44957</v>
      </c>
      <c r="AX755" s="14">
        <v>44926</v>
      </c>
      <c r="AY755" s="14">
        <v>44561</v>
      </c>
      <c r="AZ755" s="14">
        <v>44196</v>
      </c>
      <c r="BA755" s="14">
        <v>43830</v>
      </c>
      <c r="BB755" s="14">
        <v>43404</v>
      </c>
      <c r="BC755" s="14">
        <v>43100</v>
      </c>
      <c r="BD755" s="14">
        <v>42735</v>
      </c>
      <c r="BE755" s="14">
        <v>42369</v>
      </c>
      <c r="BF755" s="8"/>
      <c r="BG755" s="8"/>
      <c r="BH755" s="8" t="s">
        <v>35</v>
      </c>
      <c r="BI755" s="8" t="s">
        <v>35</v>
      </c>
      <c r="BJ755" s="8" t="s">
        <v>35</v>
      </c>
      <c r="BK755" s="8" t="s">
        <v>35</v>
      </c>
      <c r="BL755" s="8" t="s">
        <v>35</v>
      </c>
      <c r="BM755" s="8" t="s">
        <v>35</v>
      </c>
      <c r="BN755" s="8" t="s">
        <v>35</v>
      </c>
      <c r="BO755" s="8" t="s">
        <v>35</v>
      </c>
      <c r="BP755" s="8" t="s">
        <v>35</v>
      </c>
      <c r="BQ755" s="8" t="s">
        <v>31</v>
      </c>
      <c r="BR755" s="8" t="s">
        <v>36</v>
      </c>
      <c r="BS755" s="10">
        <v>13385814804103.199</v>
      </c>
      <c r="BT755" s="8" t="s">
        <v>41</v>
      </c>
      <c r="BU755" s="8"/>
      <c r="BV755" s="8"/>
      <c r="BW755" s="8" t="s">
        <v>43</v>
      </c>
      <c r="BX755" s="8" t="s">
        <v>43</v>
      </c>
      <c r="BY755" s="8" t="s">
        <v>43</v>
      </c>
      <c r="BZ755" s="8" t="s">
        <v>43</v>
      </c>
      <c r="CA755" s="8" t="s">
        <v>43</v>
      </c>
      <c r="CB755" s="8" t="s">
        <v>43</v>
      </c>
      <c r="CC755" s="8" t="s">
        <v>43</v>
      </c>
      <c r="CD755" s="8" t="s">
        <v>43</v>
      </c>
      <c r="CE755" s="8" t="s">
        <v>42</v>
      </c>
      <c r="CF755" s="8" t="s">
        <v>1001</v>
      </c>
      <c r="CG755" s="8" t="s">
        <v>198</v>
      </c>
    </row>
    <row r="756" spans="1:85" ht="15.75" customHeight="1" x14ac:dyDescent="0.35">
      <c r="A756" s="8">
        <v>749</v>
      </c>
      <c r="B756" s="8" t="s">
        <v>1002</v>
      </c>
      <c r="C756" s="8"/>
      <c r="D756" s="9">
        <v>1.2999999999999999E-5</v>
      </c>
      <c r="E756" s="9">
        <v>1.2999999999999999E-5</v>
      </c>
      <c r="F756" s="8"/>
      <c r="G756" s="8"/>
      <c r="H756" s="9">
        <v>1.0000000000000001E-5</v>
      </c>
      <c r="I756" s="9">
        <v>1.0000000000000001E-5</v>
      </c>
      <c r="J756" s="8"/>
      <c r="K756" s="8"/>
      <c r="L756" s="8"/>
      <c r="M756" s="8"/>
      <c r="N756" s="8"/>
      <c r="O756" s="10">
        <v>1171000</v>
      </c>
      <c r="P756" s="10">
        <v>1171000</v>
      </c>
      <c r="Q756" s="8"/>
      <c r="R756" s="8"/>
      <c r="S756" s="10">
        <v>928400</v>
      </c>
      <c r="T756" s="10">
        <v>928400</v>
      </c>
      <c r="U756" s="8"/>
      <c r="V756" s="8"/>
      <c r="W756" s="8"/>
      <c r="X756" s="8"/>
      <c r="Y756" s="8"/>
      <c r="Z756" s="11">
        <v>0</v>
      </c>
      <c r="AA756" s="13">
        <v>1171000</v>
      </c>
      <c r="AB756" s="8"/>
      <c r="AC756" s="8"/>
      <c r="AD756" s="11">
        <v>0</v>
      </c>
      <c r="AE756" s="13">
        <v>928400</v>
      </c>
      <c r="AF756" s="8"/>
      <c r="AG756" s="8"/>
      <c r="AH756" s="8"/>
      <c r="AI756" s="8"/>
      <c r="AJ756" s="8"/>
      <c r="AK756" s="10">
        <v>7025716932</v>
      </c>
      <c r="AL756" s="10">
        <v>7025716932</v>
      </c>
      <c r="AM756" s="8"/>
      <c r="AN756" s="8"/>
      <c r="AO756" s="10">
        <v>3237795019.8000002</v>
      </c>
      <c r="AP756" s="10">
        <v>3237795019.8000002</v>
      </c>
      <c r="AQ756" s="8"/>
      <c r="AR756" s="8"/>
      <c r="AS756" s="8"/>
      <c r="AT756" s="8"/>
      <c r="AU756" s="8"/>
      <c r="AV756" s="14">
        <v>45199</v>
      </c>
      <c r="AW756" s="14">
        <v>45199</v>
      </c>
      <c r="AX756" s="8"/>
      <c r="AY756" s="8"/>
      <c r="AZ756" s="14">
        <v>43738</v>
      </c>
      <c r="BA756" s="14">
        <v>43738</v>
      </c>
      <c r="BB756" s="8"/>
      <c r="BC756" s="8"/>
      <c r="BD756" s="8"/>
      <c r="BE756" s="8"/>
      <c r="BF756" s="8"/>
      <c r="BG756" s="8" t="s">
        <v>35</v>
      </c>
      <c r="BH756" s="8" t="s">
        <v>35</v>
      </c>
      <c r="BI756" s="8"/>
      <c r="BJ756" s="8"/>
      <c r="BK756" s="8" t="s">
        <v>35</v>
      </c>
      <c r="BL756" s="8" t="s">
        <v>35</v>
      </c>
      <c r="BM756" s="8"/>
      <c r="BN756" s="8"/>
      <c r="BO756" s="8"/>
      <c r="BP756" s="8"/>
      <c r="BQ756" s="8" t="s">
        <v>31</v>
      </c>
      <c r="BR756" s="8" t="s">
        <v>36</v>
      </c>
      <c r="BS756" s="10">
        <v>15739684584154.801</v>
      </c>
      <c r="BT756" s="8"/>
      <c r="BU756" s="8"/>
      <c r="BV756" s="8" t="s">
        <v>43</v>
      </c>
      <c r="BW756" s="8" t="s">
        <v>27</v>
      </c>
      <c r="BX756" s="8"/>
      <c r="BY756" s="8"/>
      <c r="BZ756" s="8" t="s">
        <v>27</v>
      </c>
      <c r="CA756" s="8" t="s">
        <v>43</v>
      </c>
      <c r="CB756" s="8"/>
      <c r="CC756" s="8"/>
      <c r="CD756" s="8"/>
      <c r="CE756" s="8"/>
      <c r="CF756" s="8" t="s">
        <v>662</v>
      </c>
      <c r="CG756" s="8" t="s">
        <v>39</v>
      </c>
    </row>
    <row r="757" spans="1:85" ht="15.75" customHeight="1" x14ac:dyDescent="0.35">
      <c r="A757" s="8">
        <v>750</v>
      </c>
      <c r="B757" s="8" t="s">
        <v>1003</v>
      </c>
      <c r="C757" s="8"/>
      <c r="D757" s="8"/>
      <c r="E757" s="8"/>
      <c r="F757" s="9">
        <v>1.9999999999999999E-6</v>
      </c>
      <c r="G757" s="9">
        <v>1.9999999999999999E-6</v>
      </c>
      <c r="H757" s="9">
        <v>5.0000000000000004E-6</v>
      </c>
      <c r="I757" s="9">
        <v>9.0000000000000002E-6</v>
      </c>
      <c r="J757" s="9">
        <v>3.0000000000000001E-6</v>
      </c>
      <c r="K757" s="9">
        <v>3.0000000000000001E-6</v>
      </c>
      <c r="L757" s="9">
        <v>0</v>
      </c>
      <c r="M757" s="9">
        <v>0</v>
      </c>
      <c r="N757" s="8"/>
      <c r="O757" s="8"/>
      <c r="P757" s="8"/>
      <c r="Q757" s="10">
        <v>158804</v>
      </c>
      <c r="R757" s="10">
        <v>158804</v>
      </c>
      <c r="S757" s="10">
        <v>506596</v>
      </c>
      <c r="T757" s="10">
        <v>812406</v>
      </c>
      <c r="U757" s="10">
        <v>273600</v>
      </c>
      <c r="V757" s="10">
        <v>273600</v>
      </c>
      <c r="W757" s="10">
        <v>0</v>
      </c>
      <c r="X757" s="10">
        <v>0</v>
      </c>
      <c r="Y757" s="8"/>
      <c r="Z757" s="8"/>
      <c r="AA757" s="8"/>
      <c r="AB757" s="11">
        <v>0</v>
      </c>
      <c r="AC757" s="12">
        <v>-347792</v>
      </c>
      <c r="AD757" s="12">
        <v>-305810</v>
      </c>
      <c r="AE757" s="13">
        <v>538806</v>
      </c>
      <c r="AF757" s="11">
        <v>0</v>
      </c>
      <c r="AG757" s="13">
        <v>273600</v>
      </c>
      <c r="AH757" s="11">
        <v>0</v>
      </c>
      <c r="AI757" s="11">
        <v>0</v>
      </c>
      <c r="AJ757" s="8"/>
      <c r="AK757" s="8"/>
      <c r="AL757" s="8"/>
      <c r="AM757" s="10">
        <v>490307312</v>
      </c>
      <c r="AN757" s="10">
        <v>490307312</v>
      </c>
      <c r="AO757" s="10">
        <v>1129709030.25</v>
      </c>
      <c r="AP757" s="10">
        <v>3117607997.5999999</v>
      </c>
      <c r="AQ757" s="10">
        <v>800279953.03999996</v>
      </c>
      <c r="AR757" s="10">
        <v>800279953.03999996</v>
      </c>
      <c r="AS757" s="10">
        <v>0</v>
      </c>
      <c r="AT757" s="10">
        <v>0</v>
      </c>
      <c r="AU757" s="8"/>
      <c r="AV757" s="8"/>
      <c r="AW757" s="8"/>
      <c r="AX757" s="14">
        <v>44316</v>
      </c>
      <c r="AY757" s="14">
        <v>44316</v>
      </c>
      <c r="AZ757" s="14">
        <v>43951</v>
      </c>
      <c r="BA757" s="14">
        <v>43616</v>
      </c>
      <c r="BB757" s="14">
        <v>42852</v>
      </c>
      <c r="BC757" s="14">
        <v>42852</v>
      </c>
      <c r="BD757" s="14">
        <v>42121</v>
      </c>
      <c r="BE757" s="14">
        <v>42121</v>
      </c>
      <c r="BF757" s="8"/>
      <c r="BG757" s="8"/>
      <c r="BH757" s="8"/>
      <c r="BI757" s="8" t="s">
        <v>35</v>
      </c>
      <c r="BJ757" s="8" t="s">
        <v>35</v>
      </c>
      <c r="BK757" s="8" t="s">
        <v>35</v>
      </c>
      <c r="BL757" s="8" t="s">
        <v>35</v>
      </c>
      <c r="BM757" s="8" t="s">
        <v>35</v>
      </c>
      <c r="BN757" s="8" t="s">
        <v>35</v>
      </c>
      <c r="BO757" s="8" t="s">
        <v>35</v>
      </c>
      <c r="BP757" s="8" t="s">
        <v>35</v>
      </c>
      <c r="BQ757" s="8" t="s">
        <v>31</v>
      </c>
      <c r="BR757" s="8" t="s">
        <v>36</v>
      </c>
      <c r="BS757" s="10">
        <v>602587514830.80005</v>
      </c>
      <c r="BT757" s="8" t="s">
        <v>57</v>
      </c>
      <c r="BU757" s="8"/>
      <c r="BV757" s="8"/>
      <c r="BW757" s="8"/>
      <c r="BX757" s="8" t="s">
        <v>27</v>
      </c>
      <c r="BY757" s="8" t="s">
        <v>27</v>
      </c>
      <c r="BZ757" s="8" t="s">
        <v>27</v>
      </c>
      <c r="CA757" s="8" t="s">
        <v>42</v>
      </c>
      <c r="CB757" s="8" t="s">
        <v>42</v>
      </c>
      <c r="CC757" s="8" t="s">
        <v>42</v>
      </c>
      <c r="CD757" s="8" t="s">
        <v>42</v>
      </c>
      <c r="CE757" s="8" t="s">
        <v>27</v>
      </c>
      <c r="CF757" s="8" t="s">
        <v>373</v>
      </c>
      <c r="CG757" s="8" t="s">
        <v>181</v>
      </c>
    </row>
    <row r="758" spans="1:85" ht="15.75" customHeight="1" x14ac:dyDescent="0.35">
      <c r="A758" s="8">
        <v>751</v>
      </c>
      <c r="B758" s="8" t="s">
        <v>1004</v>
      </c>
      <c r="C758" s="8"/>
      <c r="D758" s="9">
        <v>5.7000000000000003E-5</v>
      </c>
      <c r="E758" s="9">
        <v>5.7000000000000003E-5</v>
      </c>
      <c r="F758" s="8"/>
      <c r="G758" s="8"/>
      <c r="H758" s="8"/>
      <c r="I758" s="8"/>
      <c r="J758" s="8"/>
      <c r="K758" s="8"/>
      <c r="L758" s="9">
        <v>5.8E-4</v>
      </c>
      <c r="M758" s="9">
        <v>5.8E-4</v>
      </c>
      <c r="N758" s="8"/>
      <c r="O758" s="10">
        <v>5296300</v>
      </c>
      <c r="P758" s="10">
        <v>5296300</v>
      </c>
      <c r="Q758" s="8"/>
      <c r="R758" s="8"/>
      <c r="S758" s="8"/>
      <c r="T758" s="8"/>
      <c r="U758" s="8"/>
      <c r="V758" s="8"/>
      <c r="W758" s="10">
        <v>53569200</v>
      </c>
      <c r="X758" s="10">
        <v>53569200</v>
      </c>
      <c r="Y758" s="8"/>
      <c r="Z758" s="11">
        <v>0</v>
      </c>
      <c r="AA758" s="13">
        <v>5296300</v>
      </c>
      <c r="AB758" s="8"/>
      <c r="AC758" s="8"/>
      <c r="AD758" s="8"/>
      <c r="AE758" s="8"/>
      <c r="AF758" s="8"/>
      <c r="AG758" s="8"/>
      <c r="AH758" s="11">
        <v>0</v>
      </c>
      <c r="AI758" s="11">
        <v>0</v>
      </c>
      <c r="AJ758" s="8"/>
      <c r="AK758" s="10">
        <v>31776519906</v>
      </c>
      <c r="AL758" s="10">
        <v>31776519906</v>
      </c>
      <c r="AM758" s="8"/>
      <c r="AN758" s="8"/>
      <c r="AO758" s="8"/>
      <c r="AP758" s="8"/>
      <c r="AQ758" s="8"/>
      <c r="AR758" s="8"/>
      <c r="AS758" s="10">
        <v>106133977500.39999</v>
      </c>
      <c r="AT758" s="10">
        <v>106133977500.39999</v>
      </c>
      <c r="AU758" s="8"/>
      <c r="AV758" s="14">
        <v>45199</v>
      </c>
      <c r="AW758" s="14">
        <v>45199</v>
      </c>
      <c r="AX758" s="8"/>
      <c r="AY758" s="8"/>
      <c r="AZ758" s="8"/>
      <c r="BA758" s="8"/>
      <c r="BB758" s="8"/>
      <c r="BC758" s="8"/>
      <c r="BD758" s="14">
        <v>42277</v>
      </c>
      <c r="BE758" s="14">
        <v>42277</v>
      </c>
      <c r="BF758" s="8"/>
      <c r="BG758" s="8" t="s">
        <v>35</v>
      </c>
      <c r="BH758" s="8" t="s">
        <v>35</v>
      </c>
      <c r="BI758" s="8"/>
      <c r="BJ758" s="8"/>
      <c r="BK758" s="8"/>
      <c r="BL758" s="8"/>
      <c r="BM758" s="8"/>
      <c r="BN758" s="8"/>
      <c r="BO758" s="8" t="s">
        <v>35</v>
      </c>
      <c r="BP758" s="8" t="s">
        <v>35</v>
      </c>
      <c r="BQ758" s="8" t="s">
        <v>31</v>
      </c>
      <c r="BR758" s="8" t="s">
        <v>36</v>
      </c>
      <c r="BS758" s="10">
        <v>187568917172756</v>
      </c>
      <c r="BT758" s="8" t="s">
        <v>41</v>
      </c>
      <c r="BU758" s="8"/>
      <c r="BV758" s="8" t="s">
        <v>27</v>
      </c>
      <c r="BW758" s="8" t="s">
        <v>27</v>
      </c>
      <c r="BX758" s="8"/>
      <c r="BY758" s="8"/>
      <c r="BZ758" s="8"/>
      <c r="CA758" s="8"/>
      <c r="CB758" s="8"/>
      <c r="CC758" s="8"/>
      <c r="CD758" s="8" t="s">
        <v>42</v>
      </c>
      <c r="CE758" s="8" t="s">
        <v>42</v>
      </c>
      <c r="CF758" s="8" t="s">
        <v>70</v>
      </c>
      <c r="CG758" s="8" t="s">
        <v>71</v>
      </c>
    </row>
    <row r="759" spans="1:85" ht="15.75" customHeight="1" x14ac:dyDescent="0.35">
      <c r="A759" s="8">
        <v>752</v>
      </c>
      <c r="B759" s="8" t="s">
        <v>1005</v>
      </c>
      <c r="C759" s="8"/>
      <c r="D759" s="8"/>
      <c r="E759" s="8"/>
      <c r="F759" s="8"/>
      <c r="G759" s="9">
        <v>9.0000000000000002E-6</v>
      </c>
      <c r="H759" s="9">
        <v>9.0000000000000002E-6</v>
      </c>
      <c r="I759" s="8"/>
      <c r="J759" s="8"/>
      <c r="K759" s="8"/>
      <c r="L759" s="8"/>
      <c r="M759" s="9">
        <v>1.1E-5</v>
      </c>
      <c r="N759" s="8"/>
      <c r="O759" s="8"/>
      <c r="P759" s="8"/>
      <c r="Q759" s="8"/>
      <c r="R759" s="10">
        <v>845860</v>
      </c>
      <c r="S759" s="10">
        <v>845860</v>
      </c>
      <c r="T759" s="8"/>
      <c r="U759" s="8"/>
      <c r="V759" s="8"/>
      <c r="W759" s="8"/>
      <c r="X759" s="10">
        <v>1040000</v>
      </c>
      <c r="Y759" s="8"/>
      <c r="Z759" s="8"/>
      <c r="AA759" s="8"/>
      <c r="AB759" s="8"/>
      <c r="AC759" s="11">
        <v>0</v>
      </c>
      <c r="AD759" s="13">
        <v>845860</v>
      </c>
      <c r="AE759" s="8"/>
      <c r="AF759" s="8"/>
      <c r="AG759" s="8"/>
      <c r="AH759" s="8"/>
      <c r="AI759" s="11">
        <v>0</v>
      </c>
      <c r="AJ759" s="8"/>
      <c r="AK759" s="8"/>
      <c r="AL759" s="8"/>
      <c r="AM759" s="8"/>
      <c r="AN759" s="10">
        <v>2675032292.5</v>
      </c>
      <c r="AO759" s="10">
        <v>2675032292.5</v>
      </c>
      <c r="AP759" s="8"/>
      <c r="AQ759" s="8"/>
      <c r="AR759" s="8"/>
      <c r="AS759" s="8"/>
      <c r="AT759" s="10">
        <v>2690999992</v>
      </c>
      <c r="AU759" s="8"/>
      <c r="AV759" s="8"/>
      <c r="AW759" s="8"/>
      <c r="AX759" s="8"/>
      <c r="AY759" s="14">
        <v>44165</v>
      </c>
      <c r="AZ759" s="14">
        <v>44165</v>
      </c>
      <c r="BA759" s="8"/>
      <c r="BB759" s="8"/>
      <c r="BC759" s="8"/>
      <c r="BD759" s="8"/>
      <c r="BE759" s="14">
        <v>41943</v>
      </c>
      <c r="BF759" s="8"/>
      <c r="BG759" s="8"/>
      <c r="BH759" s="8"/>
      <c r="BI759" s="8"/>
      <c r="BJ759" s="8" t="s">
        <v>35</v>
      </c>
      <c r="BK759" s="8" t="s">
        <v>35</v>
      </c>
      <c r="BL759" s="8"/>
      <c r="BM759" s="8"/>
      <c r="BN759" s="8"/>
      <c r="BO759" s="8"/>
      <c r="BP759" s="8" t="s">
        <v>35</v>
      </c>
      <c r="BQ759" s="8" t="s">
        <v>31</v>
      </c>
      <c r="BR759" s="8" t="s">
        <v>36</v>
      </c>
      <c r="BS759" s="10">
        <v>11245992090657.6</v>
      </c>
      <c r="BT759" s="8" t="s">
        <v>61</v>
      </c>
      <c r="BU759" s="8"/>
      <c r="BV759" s="8"/>
      <c r="BW759" s="8"/>
      <c r="BX759" s="8"/>
      <c r="BY759" s="8" t="s">
        <v>42</v>
      </c>
      <c r="BZ759" s="8" t="s">
        <v>43</v>
      </c>
      <c r="CA759" s="8"/>
      <c r="CB759" s="8"/>
      <c r="CC759" s="8"/>
      <c r="CD759" s="8"/>
      <c r="CE759" s="8" t="s">
        <v>42</v>
      </c>
      <c r="CF759" s="8" t="s">
        <v>58</v>
      </c>
      <c r="CG759" s="8" t="s">
        <v>59</v>
      </c>
    </row>
    <row r="760" spans="1:85" ht="15.75" hidden="1" customHeight="1" x14ac:dyDescent="0.35">
      <c r="A760" s="8">
        <v>753</v>
      </c>
      <c r="B760" s="8" t="s">
        <v>1006</v>
      </c>
      <c r="C760" s="8"/>
      <c r="D760" s="8"/>
      <c r="E760" s="8"/>
      <c r="F760" s="8"/>
      <c r="G760" s="8"/>
      <c r="H760" s="8"/>
      <c r="I760" s="8"/>
      <c r="J760" s="8"/>
      <c r="K760" s="9">
        <v>2.0000000000000002E-5</v>
      </c>
      <c r="L760" s="9">
        <v>2.0000000000000002E-5</v>
      </c>
      <c r="M760" s="8"/>
      <c r="N760" s="8"/>
      <c r="O760" s="8"/>
      <c r="P760" s="8"/>
      <c r="Q760" s="8"/>
      <c r="R760" s="8"/>
      <c r="S760" s="8"/>
      <c r="T760" s="8"/>
      <c r="U760" s="8"/>
      <c r="V760" s="10">
        <v>1850000</v>
      </c>
      <c r="W760" s="10">
        <v>1850000</v>
      </c>
      <c r="X760" s="8"/>
      <c r="Y760" s="8"/>
      <c r="Z760" s="8"/>
      <c r="AA760" s="8"/>
      <c r="AB760" s="8"/>
      <c r="AC760" s="8"/>
      <c r="AD760" s="8"/>
      <c r="AE760" s="8"/>
      <c r="AF760" s="8"/>
      <c r="AG760" s="11">
        <v>0</v>
      </c>
      <c r="AH760" s="13">
        <v>1850000</v>
      </c>
      <c r="AI760" s="8"/>
      <c r="AJ760" s="8"/>
      <c r="AK760" s="8"/>
      <c r="AL760" s="8"/>
      <c r="AM760" s="8"/>
      <c r="AN760" s="8"/>
      <c r="AO760" s="8"/>
      <c r="AP760" s="8"/>
      <c r="AQ760" s="8"/>
      <c r="AR760" s="10">
        <v>7399999961.3999996</v>
      </c>
      <c r="AS760" s="10">
        <v>5353437461.6999998</v>
      </c>
      <c r="AT760" s="8"/>
      <c r="AU760" s="8"/>
      <c r="AV760" s="8"/>
      <c r="AW760" s="8"/>
      <c r="AX760" s="8"/>
      <c r="AY760" s="8"/>
      <c r="AZ760" s="8"/>
      <c r="BA760" s="8"/>
      <c r="BB760" s="8"/>
      <c r="BC760" s="14">
        <v>43100</v>
      </c>
      <c r="BD760" s="14">
        <v>42735</v>
      </c>
      <c r="BE760" s="8"/>
      <c r="BF760" s="8"/>
      <c r="BG760" s="8"/>
      <c r="BH760" s="8"/>
      <c r="BI760" s="8"/>
      <c r="BJ760" s="8"/>
      <c r="BK760" s="8"/>
      <c r="BL760" s="8"/>
      <c r="BM760" s="8"/>
      <c r="BN760" s="8" t="s">
        <v>201</v>
      </c>
      <c r="BO760" s="8" t="s">
        <v>201</v>
      </c>
      <c r="BP760" s="8"/>
      <c r="BQ760" s="8" t="s">
        <v>25</v>
      </c>
      <c r="BR760" s="8" t="s">
        <v>202</v>
      </c>
      <c r="BS760" s="10">
        <v>9100024200</v>
      </c>
      <c r="BT760" s="8"/>
      <c r="BU760" s="8"/>
      <c r="BV760" s="8"/>
      <c r="BW760" s="8"/>
      <c r="BX760" s="8"/>
      <c r="BY760" s="8"/>
      <c r="BZ760" s="8"/>
      <c r="CA760" s="8"/>
      <c r="CB760" s="8"/>
      <c r="CC760" s="8" t="s">
        <v>27</v>
      </c>
      <c r="CD760" s="8" t="s">
        <v>27</v>
      </c>
      <c r="CE760" s="8"/>
      <c r="CF760" s="8"/>
      <c r="CG760" s="8" t="s">
        <v>29</v>
      </c>
    </row>
    <row r="761" spans="1:85" ht="15.75" customHeight="1" x14ac:dyDescent="0.35">
      <c r="A761" s="8">
        <v>754</v>
      </c>
      <c r="B761" s="8" t="s">
        <v>1007</v>
      </c>
      <c r="C761" s="8"/>
      <c r="D761" s="8"/>
      <c r="E761" s="9">
        <v>0</v>
      </c>
      <c r="F761" s="9">
        <v>0</v>
      </c>
      <c r="G761" s="9">
        <v>0</v>
      </c>
      <c r="H761" s="9">
        <v>0</v>
      </c>
      <c r="I761" s="9">
        <v>1.2999999999999999E-5</v>
      </c>
      <c r="J761" s="8"/>
      <c r="K761" s="9">
        <v>0</v>
      </c>
      <c r="L761" s="9">
        <v>0</v>
      </c>
      <c r="M761" s="9">
        <v>9.0000000000000002E-6</v>
      </c>
      <c r="N761" s="8"/>
      <c r="O761" s="8"/>
      <c r="P761" s="10">
        <v>0</v>
      </c>
      <c r="Q761" s="10">
        <v>0</v>
      </c>
      <c r="R761" s="10">
        <v>0</v>
      </c>
      <c r="S761" s="10">
        <v>0</v>
      </c>
      <c r="T761" s="10">
        <v>1238800</v>
      </c>
      <c r="U761" s="8"/>
      <c r="V761" s="10">
        <v>0</v>
      </c>
      <c r="W761" s="10">
        <v>0</v>
      </c>
      <c r="X761" s="10">
        <v>800000</v>
      </c>
      <c r="Y761" s="8"/>
      <c r="Z761" s="8"/>
      <c r="AA761" s="11">
        <v>0</v>
      </c>
      <c r="AB761" s="11">
        <v>0</v>
      </c>
      <c r="AC761" s="11">
        <v>0</v>
      </c>
      <c r="AD761" s="12">
        <v>-1238800</v>
      </c>
      <c r="AE761" s="13">
        <v>1238800</v>
      </c>
      <c r="AF761" s="8"/>
      <c r="AG761" s="11">
        <v>0</v>
      </c>
      <c r="AH761" s="12">
        <v>-800000</v>
      </c>
      <c r="AI761" s="11">
        <v>0</v>
      </c>
      <c r="AJ761" s="8"/>
      <c r="AK761" s="8"/>
      <c r="AL761" s="10">
        <v>0</v>
      </c>
      <c r="AM761" s="10">
        <v>0</v>
      </c>
      <c r="AN761" s="10">
        <v>0</v>
      </c>
      <c r="AO761" s="10">
        <v>0</v>
      </c>
      <c r="AP761" s="10">
        <v>4740234446</v>
      </c>
      <c r="AQ761" s="8"/>
      <c r="AR761" s="10">
        <v>0</v>
      </c>
      <c r="AS761" s="10">
        <v>0</v>
      </c>
      <c r="AT761" s="10">
        <v>1850671263.9000001</v>
      </c>
      <c r="AU761" s="8"/>
      <c r="AV761" s="8"/>
      <c r="AW761" s="14">
        <v>44773</v>
      </c>
      <c r="AX761" s="14">
        <v>44773</v>
      </c>
      <c r="AY761" s="14">
        <v>44074</v>
      </c>
      <c r="AZ761" s="14">
        <v>44074</v>
      </c>
      <c r="BA761" s="14">
        <v>43830</v>
      </c>
      <c r="BB761" s="8"/>
      <c r="BC761" s="14">
        <v>42490</v>
      </c>
      <c r="BD761" s="14">
        <v>42490</v>
      </c>
      <c r="BE761" s="14">
        <v>42369</v>
      </c>
      <c r="BF761" s="8"/>
      <c r="BG761" s="8"/>
      <c r="BH761" s="8" t="s">
        <v>35</v>
      </c>
      <c r="BI761" s="8" t="s">
        <v>35</v>
      </c>
      <c r="BJ761" s="8" t="s">
        <v>35</v>
      </c>
      <c r="BK761" s="8" t="s">
        <v>35</v>
      </c>
      <c r="BL761" s="8" t="s">
        <v>35</v>
      </c>
      <c r="BM761" s="8"/>
      <c r="BN761" s="8" t="s">
        <v>35</v>
      </c>
      <c r="BO761" s="8" t="s">
        <v>35</v>
      </c>
      <c r="BP761" s="8" t="s">
        <v>35</v>
      </c>
      <c r="BQ761" s="8" t="s">
        <v>31</v>
      </c>
      <c r="BR761" s="8" t="s">
        <v>49</v>
      </c>
      <c r="BS761" s="10">
        <v>222065201842685</v>
      </c>
      <c r="BT761" s="8" t="s">
        <v>41</v>
      </c>
      <c r="BU761" s="8"/>
      <c r="BV761" s="8"/>
      <c r="BW761" s="8" t="s">
        <v>27</v>
      </c>
      <c r="BX761" s="8" t="s">
        <v>27</v>
      </c>
      <c r="BY761" s="8" t="s">
        <v>42</v>
      </c>
      <c r="BZ761" s="8" t="s">
        <v>27</v>
      </c>
      <c r="CA761" s="8" t="s">
        <v>27</v>
      </c>
      <c r="CB761" s="8"/>
      <c r="CC761" s="8" t="s">
        <v>42</v>
      </c>
      <c r="CD761" s="8" t="s">
        <v>27</v>
      </c>
      <c r="CE761" s="8" t="s">
        <v>42</v>
      </c>
      <c r="CF761" s="8" t="s">
        <v>38</v>
      </c>
      <c r="CG761" s="8" t="s">
        <v>39</v>
      </c>
    </row>
    <row r="762" spans="1:85" ht="15.75" customHeight="1" x14ac:dyDescent="0.35">
      <c r="A762" s="8">
        <v>755</v>
      </c>
      <c r="B762" s="8" t="s">
        <v>1008</v>
      </c>
      <c r="C762" s="8"/>
      <c r="D762" s="8"/>
      <c r="E762" s="8"/>
      <c r="F762" s="8"/>
      <c r="G762" s="8"/>
      <c r="H762" s="8"/>
      <c r="I762" s="8"/>
      <c r="J762" s="9">
        <v>3.0000000000000001E-6</v>
      </c>
      <c r="K762" s="9">
        <v>3.0000000000000001E-6</v>
      </c>
      <c r="L762" s="9">
        <v>3.0000000000000001E-6</v>
      </c>
      <c r="M762" s="8"/>
      <c r="N762" s="8"/>
      <c r="O762" s="8"/>
      <c r="P762" s="8"/>
      <c r="Q762" s="8"/>
      <c r="R762" s="8"/>
      <c r="S762" s="8"/>
      <c r="T762" s="8"/>
      <c r="U762" s="10">
        <v>246000</v>
      </c>
      <c r="V762" s="10">
        <v>246000</v>
      </c>
      <c r="W762" s="10">
        <v>306000</v>
      </c>
      <c r="X762" s="8"/>
      <c r="Y762" s="8"/>
      <c r="Z762" s="8"/>
      <c r="AA762" s="8"/>
      <c r="AB762" s="8"/>
      <c r="AC762" s="8"/>
      <c r="AD762" s="8"/>
      <c r="AE762" s="8"/>
      <c r="AF762" s="11">
        <v>0</v>
      </c>
      <c r="AG762" s="12">
        <v>-60000</v>
      </c>
      <c r="AH762" s="13">
        <v>306000</v>
      </c>
      <c r="AI762" s="8"/>
      <c r="AJ762" s="8"/>
      <c r="AK762" s="8"/>
      <c r="AL762" s="8"/>
      <c r="AM762" s="8"/>
      <c r="AN762" s="8"/>
      <c r="AO762" s="8"/>
      <c r="AP762" s="8"/>
      <c r="AQ762" s="10">
        <v>827175054.29999995</v>
      </c>
      <c r="AR762" s="10">
        <v>827175054.29999995</v>
      </c>
      <c r="AS762" s="10">
        <v>885487492.5</v>
      </c>
      <c r="AT762" s="8"/>
      <c r="AU762" s="8"/>
      <c r="AV762" s="8"/>
      <c r="AW762" s="8"/>
      <c r="AX762" s="8"/>
      <c r="AY762" s="8"/>
      <c r="AZ762" s="8"/>
      <c r="BA762" s="8"/>
      <c r="BB762" s="14">
        <v>43008</v>
      </c>
      <c r="BC762" s="14">
        <v>43008</v>
      </c>
      <c r="BD762" s="14">
        <v>42735</v>
      </c>
      <c r="BE762" s="8"/>
      <c r="BF762" s="8"/>
      <c r="BG762" s="8"/>
      <c r="BH762" s="8"/>
      <c r="BI762" s="8"/>
      <c r="BJ762" s="8"/>
      <c r="BK762" s="8"/>
      <c r="BL762" s="8"/>
      <c r="BM762" s="8" t="s">
        <v>35</v>
      </c>
      <c r="BN762" s="8" t="s">
        <v>35</v>
      </c>
      <c r="BO762" s="8" t="s">
        <v>35</v>
      </c>
      <c r="BP762" s="8"/>
      <c r="BQ762" s="8" t="s">
        <v>31</v>
      </c>
      <c r="BR762" s="8" t="s">
        <v>36</v>
      </c>
      <c r="BS762" s="10">
        <v>281825045362273</v>
      </c>
      <c r="BT762" s="8" t="s">
        <v>61</v>
      </c>
      <c r="BU762" s="8"/>
      <c r="BV762" s="8"/>
      <c r="BW762" s="8"/>
      <c r="BX762" s="8"/>
      <c r="BY762" s="8"/>
      <c r="BZ762" s="8"/>
      <c r="CA762" s="8"/>
      <c r="CB762" s="8" t="s">
        <v>27</v>
      </c>
      <c r="CC762" s="8" t="s">
        <v>27</v>
      </c>
      <c r="CD762" s="8" t="s">
        <v>27</v>
      </c>
      <c r="CE762" s="8"/>
      <c r="CF762" s="8" t="s">
        <v>65</v>
      </c>
      <c r="CG762" s="8" t="s">
        <v>65</v>
      </c>
    </row>
    <row r="763" spans="1:85" ht="15.75" customHeight="1" x14ac:dyDescent="0.35">
      <c r="A763" s="8">
        <v>756</v>
      </c>
      <c r="B763" s="8" t="s">
        <v>1009</v>
      </c>
      <c r="C763" s="8"/>
      <c r="D763" s="8"/>
      <c r="E763" s="8"/>
      <c r="F763" s="8"/>
      <c r="G763" s="8"/>
      <c r="H763" s="8"/>
      <c r="I763" s="8"/>
      <c r="J763" s="8"/>
      <c r="K763" s="8"/>
      <c r="L763" s="9">
        <v>9.6000000000000002E-5</v>
      </c>
      <c r="M763" s="9">
        <v>9.6000000000000002E-5</v>
      </c>
      <c r="N763" s="8"/>
      <c r="O763" s="8"/>
      <c r="P763" s="8"/>
      <c r="Q763" s="8"/>
      <c r="R763" s="8"/>
      <c r="S763" s="8"/>
      <c r="T763" s="8"/>
      <c r="U763" s="8"/>
      <c r="V763" s="8"/>
      <c r="W763" s="10">
        <v>8869600</v>
      </c>
      <c r="X763" s="10">
        <v>8869600</v>
      </c>
      <c r="Y763" s="8"/>
      <c r="Z763" s="8"/>
      <c r="AA763" s="8"/>
      <c r="AB763" s="8"/>
      <c r="AC763" s="8"/>
      <c r="AD763" s="8"/>
      <c r="AE763" s="8"/>
      <c r="AF763" s="8"/>
      <c r="AG763" s="8"/>
      <c r="AH763" s="11">
        <v>0</v>
      </c>
      <c r="AI763" s="11">
        <v>0</v>
      </c>
      <c r="AJ763" s="8"/>
      <c r="AK763" s="8"/>
      <c r="AL763" s="8"/>
      <c r="AM763" s="8"/>
      <c r="AN763" s="8"/>
      <c r="AO763" s="8"/>
      <c r="AP763" s="8"/>
      <c r="AQ763" s="8"/>
      <c r="AR763" s="8"/>
      <c r="AS763" s="10">
        <v>17572895034.75</v>
      </c>
      <c r="AT763" s="10">
        <v>17572895034.75</v>
      </c>
      <c r="AU763" s="8"/>
      <c r="AV763" s="8"/>
      <c r="AW763" s="8"/>
      <c r="AX763" s="8"/>
      <c r="AY763" s="8"/>
      <c r="AZ763" s="8"/>
      <c r="BA763" s="8"/>
      <c r="BB763" s="8"/>
      <c r="BC763" s="8"/>
      <c r="BD763" s="14">
        <v>42277</v>
      </c>
      <c r="BE763" s="14">
        <v>42277</v>
      </c>
      <c r="BF763" s="8"/>
      <c r="BG763" s="8"/>
      <c r="BH763" s="8"/>
      <c r="BI763" s="8"/>
      <c r="BJ763" s="8"/>
      <c r="BK763" s="8"/>
      <c r="BL763" s="8"/>
      <c r="BM763" s="8"/>
      <c r="BN763" s="8"/>
      <c r="BO763" s="8" t="s">
        <v>35</v>
      </c>
      <c r="BP763" s="8" t="s">
        <v>35</v>
      </c>
      <c r="BQ763" s="8" t="s">
        <v>31</v>
      </c>
      <c r="BR763" s="8" t="s">
        <v>49</v>
      </c>
      <c r="BS763" s="10">
        <v>26195778037.200001</v>
      </c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 t="s">
        <v>27</v>
      </c>
      <c r="CE763" s="8" t="s">
        <v>27</v>
      </c>
      <c r="CF763" s="8" t="s">
        <v>50</v>
      </c>
      <c r="CG763" s="8" t="s">
        <v>51</v>
      </c>
    </row>
    <row r="764" spans="1:85" ht="15.75" hidden="1" customHeight="1" x14ac:dyDescent="0.35">
      <c r="A764" s="8">
        <v>757</v>
      </c>
      <c r="B764" s="8" t="s">
        <v>1010</v>
      </c>
      <c r="C764" s="8"/>
      <c r="D764" s="8"/>
      <c r="E764" s="8"/>
      <c r="F764" s="8"/>
      <c r="G764" s="9">
        <v>4.614E-3</v>
      </c>
      <c r="H764" s="9">
        <v>9.7310000000000001E-3</v>
      </c>
      <c r="I764" s="8"/>
      <c r="J764" s="8"/>
      <c r="K764" s="8"/>
      <c r="L764" s="8"/>
      <c r="M764" s="8"/>
      <c r="N764" s="8"/>
      <c r="O764" s="8"/>
      <c r="P764" s="8"/>
      <c r="Q764" s="8"/>
      <c r="R764" s="10">
        <v>426311600</v>
      </c>
      <c r="S764" s="10">
        <v>899122200</v>
      </c>
      <c r="T764" s="8"/>
      <c r="U764" s="8"/>
      <c r="V764" s="8"/>
      <c r="W764" s="8"/>
      <c r="X764" s="8"/>
      <c r="Y764" s="8"/>
      <c r="Z764" s="8"/>
      <c r="AA764" s="8"/>
      <c r="AB764" s="8"/>
      <c r="AC764" s="12">
        <v>-472810600</v>
      </c>
      <c r="AD764" s="13">
        <v>899122200</v>
      </c>
      <c r="AE764" s="8"/>
      <c r="AF764" s="8"/>
      <c r="AG764" s="8"/>
      <c r="AH764" s="8"/>
      <c r="AI764" s="8"/>
      <c r="AJ764" s="8"/>
      <c r="AK764" s="8"/>
      <c r="AL764" s="8"/>
      <c r="AM764" s="8"/>
      <c r="AN764" s="10">
        <v>1495844921662.5</v>
      </c>
      <c r="AO764" s="10">
        <v>2843473954417.2002</v>
      </c>
      <c r="AP764" s="8"/>
      <c r="AQ764" s="8"/>
      <c r="AR764" s="8"/>
      <c r="AS764" s="8"/>
      <c r="AT764" s="8"/>
      <c r="AU764" s="8"/>
      <c r="AV764" s="8"/>
      <c r="AW764" s="8"/>
      <c r="AX764" s="8"/>
      <c r="AY764" s="14">
        <v>44561</v>
      </c>
      <c r="AZ764" s="14">
        <v>44196</v>
      </c>
      <c r="BA764" s="8"/>
      <c r="BB764" s="8"/>
      <c r="BC764" s="8"/>
      <c r="BD764" s="8"/>
      <c r="BE764" s="8"/>
      <c r="BF764" s="8"/>
      <c r="BG764" s="8"/>
      <c r="BH764" s="8"/>
      <c r="BI764" s="8"/>
      <c r="BJ764" s="8" t="s">
        <v>24</v>
      </c>
      <c r="BK764" s="8" t="s">
        <v>24</v>
      </c>
      <c r="BL764" s="8"/>
      <c r="BM764" s="8"/>
      <c r="BN764" s="8"/>
      <c r="BO764" s="8"/>
      <c r="BP764" s="8"/>
      <c r="BQ764" s="8" t="s">
        <v>25</v>
      </c>
      <c r="BR764" s="8" t="s">
        <v>933</v>
      </c>
      <c r="BS764" s="10">
        <v>9169456110460.8008</v>
      </c>
      <c r="BT764" s="8"/>
      <c r="BU764" s="8"/>
      <c r="BV764" s="8"/>
      <c r="BW764" s="8"/>
      <c r="BX764" s="8"/>
      <c r="BY764" s="8" t="s">
        <v>27</v>
      </c>
      <c r="BZ764" s="8" t="s">
        <v>42</v>
      </c>
      <c r="CA764" s="8"/>
      <c r="CB764" s="8"/>
      <c r="CC764" s="8"/>
      <c r="CD764" s="8"/>
      <c r="CE764" s="8"/>
      <c r="CF764" s="8" t="s">
        <v>38</v>
      </c>
      <c r="CG764" s="8" t="s">
        <v>39</v>
      </c>
    </row>
    <row r="765" spans="1:85" ht="15.75" customHeight="1" x14ac:dyDescent="0.35">
      <c r="A765" s="8">
        <v>758</v>
      </c>
      <c r="B765" s="8" t="s">
        <v>1011</v>
      </c>
      <c r="C765" s="8"/>
      <c r="D765" s="8"/>
      <c r="E765" s="8"/>
      <c r="F765" s="8"/>
      <c r="G765" s="8"/>
      <c r="H765" s="8"/>
      <c r="I765" s="8"/>
      <c r="J765" s="9">
        <v>1.2400000000000001E-4</v>
      </c>
      <c r="K765" s="9">
        <v>1.2400000000000001E-4</v>
      </c>
      <c r="L765" s="9">
        <v>1.06E-4</v>
      </c>
      <c r="M765" s="9">
        <v>1.95E-4</v>
      </c>
      <c r="N765" s="8"/>
      <c r="O765" s="8"/>
      <c r="P765" s="8"/>
      <c r="Q765" s="8"/>
      <c r="R765" s="8"/>
      <c r="S765" s="8"/>
      <c r="T765" s="8"/>
      <c r="U765" s="10">
        <v>11411996</v>
      </c>
      <c r="V765" s="10">
        <v>11411996</v>
      </c>
      <c r="W765" s="10">
        <v>9832628</v>
      </c>
      <c r="X765" s="10">
        <v>18053444</v>
      </c>
      <c r="Y765" s="8"/>
      <c r="Z765" s="8"/>
      <c r="AA765" s="8"/>
      <c r="AB765" s="8"/>
      <c r="AC765" s="8"/>
      <c r="AD765" s="8"/>
      <c r="AE765" s="8"/>
      <c r="AF765" s="11">
        <v>0</v>
      </c>
      <c r="AG765" s="13">
        <v>1579368</v>
      </c>
      <c r="AH765" s="12">
        <v>-8220816</v>
      </c>
      <c r="AI765" s="13">
        <v>183004</v>
      </c>
      <c r="AJ765" s="8"/>
      <c r="AK765" s="8"/>
      <c r="AL765" s="8"/>
      <c r="AM765" s="8"/>
      <c r="AN765" s="8"/>
      <c r="AO765" s="8"/>
      <c r="AP765" s="8"/>
      <c r="AQ765" s="10">
        <v>38943436365.559998</v>
      </c>
      <c r="AR765" s="10">
        <v>38943436365.559998</v>
      </c>
      <c r="AS765" s="10">
        <v>28453167267</v>
      </c>
      <c r="AT765" s="10">
        <v>41763737518.650002</v>
      </c>
      <c r="AU765" s="8"/>
      <c r="AV765" s="8"/>
      <c r="AW765" s="8"/>
      <c r="AX765" s="8"/>
      <c r="AY765" s="8"/>
      <c r="AZ765" s="8"/>
      <c r="BA765" s="8"/>
      <c r="BB765" s="14">
        <v>42947</v>
      </c>
      <c r="BC765" s="14">
        <v>42947</v>
      </c>
      <c r="BD765" s="14">
        <v>42735</v>
      </c>
      <c r="BE765" s="14">
        <v>42369</v>
      </c>
      <c r="BF765" s="8"/>
      <c r="BG765" s="8"/>
      <c r="BH765" s="8"/>
      <c r="BI765" s="8"/>
      <c r="BJ765" s="8"/>
      <c r="BK765" s="8"/>
      <c r="BL765" s="8"/>
      <c r="BM765" s="8" t="s">
        <v>35</v>
      </c>
      <c r="BN765" s="8" t="s">
        <v>35</v>
      </c>
      <c r="BO765" s="8" t="s">
        <v>35</v>
      </c>
      <c r="BP765" s="8" t="s">
        <v>35</v>
      </c>
      <c r="BQ765" s="8" t="s">
        <v>31</v>
      </c>
      <c r="BR765" s="8" t="s">
        <v>36</v>
      </c>
      <c r="BS765" s="10">
        <v>1608960223100.3999</v>
      </c>
      <c r="BT765" s="8"/>
      <c r="BU765" s="8"/>
      <c r="BV765" s="8"/>
      <c r="BW765" s="8"/>
      <c r="BX765" s="8"/>
      <c r="BY765" s="8"/>
      <c r="BZ765" s="8"/>
      <c r="CA765" s="8"/>
      <c r="CB765" s="8" t="s">
        <v>27</v>
      </c>
      <c r="CC765" s="8" t="s">
        <v>27</v>
      </c>
      <c r="CD765" s="8" t="s">
        <v>43</v>
      </c>
      <c r="CE765" s="8" t="s">
        <v>43</v>
      </c>
      <c r="CF765" s="8" t="s">
        <v>145</v>
      </c>
      <c r="CG765" s="8" t="s">
        <v>146</v>
      </c>
    </row>
    <row r="766" spans="1:85" ht="15.75" customHeight="1" x14ac:dyDescent="0.35">
      <c r="A766" s="8">
        <v>759</v>
      </c>
      <c r="B766" s="8" t="s">
        <v>1012</v>
      </c>
      <c r="C766" s="8"/>
      <c r="D766" s="8"/>
      <c r="E766" s="8"/>
      <c r="F766" s="8"/>
      <c r="G766" s="9">
        <v>1.9999999999999999E-6</v>
      </c>
      <c r="H766" s="9">
        <v>1.9999999999999999E-6</v>
      </c>
      <c r="I766" s="9">
        <v>1.5999999999999999E-5</v>
      </c>
      <c r="J766" s="8"/>
      <c r="K766" s="9">
        <v>0</v>
      </c>
      <c r="L766" s="9">
        <v>0</v>
      </c>
      <c r="M766" s="9">
        <v>2.03E-4</v>
      </c>
      <c r="N766" s="8"/>
      <c r="O766" s="8"/>
      <c r="P766" s="8"/>
      <c r="Q766" s="8"/>
      <c r="R766" s="10">
        <v>208800</v>
      </c>
      <c r="S766" s="10">
        <v>208800</v>
      </c>
      <c r="T766" s="10">
        <v>1472600</v>
      </c>
      <c r="U766" s="8"/>
      <c r="V766" s="10">
        <v>0</v>
      </c>
      <c r="W766" s="10">
        <v>0</v>
      </c>
      <c r="X766" s="10">
        <v>18727600</v>
      </c>
      <c r="Y766" s="8"/>
      <c r="Z766" s="8"/>
      <c r="AA766" s="8"/>
      <c r="AB766" s="8"/>
      <c r="AC766" s="11">
        <v>0</v>
      </c>
      <c r="AD766" s="12">
        <v>-1263800</v>
      </c>
      <c r="AE766" s="13">
        <v>1472600</v>
      </c>
      <c r="AF766" s="8"/>
      <c r="AG766" s="11">
        <v>0</v>
      </c>
      <c r="AH766" s="12">
        <v>-18727600</v>
      </c>
      <c r="AI766" s="12">
        <v>-3542400</v>
      </c>
      <c r="AJ766" s="8"/>
      <c r="AK766" s="8"/>
      <c r="AL766" s="8"/>
      <c r="AM766" s="8"/>
      <c r="AN766" s="10">
        <v>488592011</v>
      </c>
      <c r="AO766" s="10">
        <v>488592011</v>
      </c>
      <c r="AP766" s="10">
        <v>5634863738.8000002</v>
      </c>
      <c r="AQ766" s="8"/>
      <c r="AR766" s="10">
        <v>0</v>
      </c>
      <c r="AS766" s="10">
        <v>0</v>
      </c>
      <c r="AT766" s="10">
        <v>43323289019.400002</v>
      </c>
      <c r="AU766" s="8"/>
      <c r="AV766" s="8"/>
      <c r="AW766" s="8"/>
      <c r="AX766" s="8"/>
      <c r="AY766" s="14">
        <v>43921</v>
      </c>
      <c r="AZ766" s="14">
        <v>43921</v>
      </c>
      <c r="BA766" s="14">
        <v>43830</v>
      </c>
      <c r="BB766" s="8"/>
      <c r="BC766" s="14">
        <v>42674</v>
      </c>
      <c r="BD766" s="14">
        <v>42674</v>
      </c>
      <c r="BE766" s="14">
        <v>42369</v>
      </c>
      <c r="BF766" s="8"/>
      <c r="BG766" s="8"/>
      <c r="BH766" s="8"/>
      <c r="BI766" s="8"/>
      <c r="BJ766" s="8" t="s">
        <v>35</v>
      </c>
      <c r="BK766" s="8" t="s">
        <v>35</v>
      </c>
      <c r="BL766" s="8" t="s">
        <v>35</v>
      </c>
      <c r="BM766" s="8"/>
      <c r="BN766" s="8" t="s">
        <v>35</v>
      </c>
      <c r="BO766" s="8" t="s">
        <v>35</v>
      </c>
      <c r="BP766" s="8" t="s">
        <v>35</v>
      </c>
      <c r="BQ766" s="8" t="s">
        <v>31</v>
      </c>
      <c r="BR766" s="8" t="s">
        <v>36</v>
      </c>
      <c r="BS766" s="10">
        <v>167825440363.20001</v>
      </c>
      <c r="BT766" s="8"/>
      <c r="BU766" s="8"/>
      <c r="BV766" s="8"/>
      <c r="BW766" s="8"/>
      <c r="BX766" s="8"/>
      <c r="BY766" s="8" t="s">
        <v>42</v>
      </c>
      <c r="BZ766" s="8" t="s">
        <v>27</v>
      </c>
      <c r="CA766" s="8" t="s">
        <v>27</v>
      </c>
      <c r="CB766" s="8"/>
      <c r="CC766" s="8" t="s">
        <v>42</v>
      </c>
      <c r="CD766" s="8" t="s">
        <v>42</v>
      </c>
      <c r="CE766" s="8" t="s">
        <v>42</v>
      </c>
      <c r="CF766" s="8" t="s">
        <v>80</v>
      </c>
      <c r="CG766" s="8" t="s">
        <v>39</v>
      </c>
    </row>
    <row r="767" spans="1:85" ht="15.75" customHeight="1" x14ac:dyDescent="0.35">
      <c r="A767" s="8">
        <v>760</v>
      </c>
      <c r="B767" s="8" t="s">
        <v>1013</v>
      </c>
      <c r="C767" s="8"/>
      <c r="D767" s="8"/>
      <c r="E767" s="8"/>
      <c r="F767" s="8"/>
      <c r="G767" s="8"/>
      <c r="H767" s="8"/>
      <c r="I767" s="8"/>
      <c r="J767" s="8"/>
      <c r="K767" s="9">
        <v>1.9000000000000001E-5</v>
      </c>
      <c r="L767" s="9">
        <v>1.9000000000000001E-5</v>
      </c>
      <c r="M767" s="9">
        <v>9.0000000000000002E-6</v>
      </c>
      <c r="N767" s="8"/>
      <c r="O767" s="8"/>
      <c r="P767" s="8"/>
      <c r="Q767" s="8"/>
      <c r="R767" s="8"/>
      <c r="S767" s="8"/>
      <c r="T767" s="8"/>
      <c r="U767" s="8"/>
      <c r="V767" s="10">
        <v>1733600</v>
      </c>
      <c r="W767" s="10">
        <v>1733600</v>
      </c>
      <c r="X767" s="10">
        <v>853368</v>
      </c>
      <c r="Y767" s="8"/>
      <c r="Z767" s="8"/>
      <c r="AA767" s="8"/>
      <c r="AB767" s="8"/>
      <c r="AC767" s="8"/>
      <c r="AD767" s="8"/>
      <c r="AE767" s="8"/>
      <c r="AF767" s="8"/>
      <c r="AG767" s="11">
        <v>0</v>
      </c>
      <c r="AH767" s="13">
        <v>880232</v>
      </c>
      <c r="AI767" s="12">
        <v>-156743868</v>
      </c>
      <c r="AJ767" s="8"/>
      <c r="AK767" s="8"/>
      <c r="AL767" s="8"/>
      <c r="AM767" s="8"/>
      <c r="AN767" s="8"/>
      <c r="AO767" s="8"/>
      <c r="AP767" s="8"/>
      <c r="AQ767" s="8"/>
      <c r="AR767" s="10">
        <v>4128135039.5999999</v>
      </c>
      <c r="AS767" s="10">
        <v>4128135039.5999999</v>
      </c>
      <c r="AT767" s="10">
        <v>1974129586.05</v>
      </c>
      <c r="AU767" s="8"/>
      <c r="AV767" s="8"/>
      <c r="AW767" s="8"/>
      <c r="AX767" s="8"/>
      <c r="AY767" s="8"/>
      <c r="AZ767" s="8"/>
      <c r="BA767" s="8"/>
      <c r="BB767" s="8"/>
      <c r="BC767" s="14">
        <v>42551</v>
      </c>
      <c r="BD767" s="14">
        <v>42551</v>
      </c>
      <c r="BE767" s="14">
        <v>42369</v>
      </c>
      <c r="BF767" s="8"/>
      <c r="BG767" s="8"/>
      <c r="BH767" s="8"/>
      <c r="BI767" s="8"/>
      <c r="BJ767" s="8"/>
      <c r="BK767" s="8"/>
      <c r="BL767" s="8"/>
      <c r="BM767" s="8"/>
      <c r="BN767" s="8" t="s">
        <v>35</v>
      </c>
      <c r="BO767" s="8" t="s">
        <v>35</v>
      </c>
      <c r="BP767" s="8" t="s">
        <v>35</v>
      </c>
      <c r="BQ767" s="8" t="s">
        <v>31</v>
      </c>
      <c r="BR767" s="8" t="s">
        <v>36</v>
      </c>
      <c r="BS767" s="10">
        <v>371151577039166</v>
      </c>
      <c r="BT767" s="8" t="s">
        <v>61</v>
      </c>
      <c r="BU767" s="8"/>
      <c r="BV767" s="8"/>
      <c r="BW767" s="8"/>
      <c r="BX767" s="8"/>
      <c r="BY767" s="8"/>
      <c r="BZ767" s="8"/>
      <c r="CA767" s="8"/>
      <c r="CB767" s="8"/>
      <c r="CC767" s="8" t="s">
        <v>42</v>
      </c>
      <c r="CD767" s="8" t="s">
        <v>42</v>
      </c>
      <c r="CE767" s="8" t="s">
        <v>42</v>
      </c>
      <c r="CF767" s="8" t="s">
        <v>1014</v>
      </c>
      <c r="CG767" s="8" t="s">
        <v>39</v>
      </c>
    </row>
    <row r="768" spans="1:85" ht="15.75" customHeight="1" x14ac:dyDescent="0.35">
      <c r="A768" s="8">
        <v>761</v>
      </c>
      <c r="B768" s="8" t="s">
        <v>1015</v>
      </c>
      <c r="C768" s="8"/>
      <c r="D768" s="8"/>
      <c r="E768" s="8"/>
      <c r="F768" s="8"/>
      <c r="G768" s="8"/>
      <c r="H768" s="8"/>
      <c r="I768" s="8"/>
      <c r="J768" s="8"/>
      <c r="K768" s="9">
        <v>0</v>
      </c>
      <c r="L768" s="9">
        <v>0</v>
      </c>
      <c r="M768" s="9">
        <v>1.03E-4</v>
      </c>
      <c r="N768" s="8"/>
      <c r="O768" s="8"/>
      <c r="P768" s="8"/>
      <c r="Q768" s="8"/>
      <c r="R768" s="8"/>
      <c r="S768" s="8"/>
      <c r="T768" s="8"/>
      <c r="U768" s="8"/>
      <c r="V768" s="10">
        <v>0</v>
      </c>
      <c r="W768" s="10">
        <v>0</v>
      </c>
      <c r="X768" s="10">
        <v>9506800</v>
      </c>
      <c r="Y768" s="8"/>
      <c r="Z768" s="8"/>
      <c r="AA768" s="8"/>
      <c r="AB768" s="8"/>
      <c r="AC768" s="8"/>
      <c r="AD768" s="8"/>
      <c r="AE768" s="8"/>
      <c r="AF768" s="8"/>
      <c r="AG768" s="11">
        <v>0</v>
      </c>
      <c r="AH768" s="12">
        <v>-9506800</v>
      </c>
      <c r="AI768" s="11">
        <v>0</v>
      </c>
      <c r="AJ768" s="8"/>
      <c r="AK768" s="8"/>
      <c r="AL768" s="8"/>
      <c r="AM768" s="8"/>
      <c r="AN768" s="8"/>
      <c r="AO768" s="8"/>
      <c r="AP768" s="8"/>
      <c r="AQ768" s="8"/>
      <c r="AR768" s="10">
        <v>0</v>
      </c>
      <c r="AS768" s="10">
        <v>0</v>
      </c>
      <c r="AT768" s="10">
        <v>21992451977.099998</v>
      </c>
      <c r="AU768" s="8"/>
      <c r="AV768" s="8"/>
      <c r="AW768" s="8"/>
      <c r="AX768" s="8"/>
      <c r="AY768" s="8"/>
      <c r="AZ768" s="8"/>
      <c r="BA768" s="8"/>
      <c r="BB768" s="8"/>
      <c r="BC768" s="14">
        <v>42735</v>
      </c>
      <c r="BD768" s="14">
        <v>42735</v>
      </c>
      <c r="BE768" s="14">
        <v>42369</v>
      </c>
      <c r="BF768" s="8"/>
      <c r="BG768" s="8"/>
      <c r="BH768" s="8"/>
      <c r="BI768" s="8"/>
      <c r="BJ768" s="8"/>
      <c r="BK768" s="8"/>
      <c r="BL768" s="8"/>
      <c r="BM768" s="8"/>
      <c r="BN768" s="8" t="s">
        <v>35</v>
      </c>
      <c r="BO768" s="8" t="s">
        <v>35</v>
      </c>
      <c r="BP768" s="8" t="s">
        <v>35</v>
      </c>
      <c r="BQ768" s="8" t="s">
        <v>31</v>
      </c>
      <c r="BR768" s="8" t="s">
        <v>36</v>
      </c>
      <c r="BS768" s="10">
        <v>7051327245387.5996</v>
      </c>
      <c r="BT768" s="8" t="s">
        <v>91</v>
      </c>
      <c r="BU768" s="8"/>
      <c r="BV768" s="8"/>
      <c r="BW768" s="8"/>
      <c r="BX768" s="8"/>
      <c r="BY768" s="8"/>
      <c r="BZ768" s="8"/>
      <c r="CA768" s="8"/>
      <c r="CB768" s="8"/>
      <c r="CC768" s="8" t="s">
        <v>42</v>
      </c>
      <c r="CD768" s="8" t="s">
        <v>27</v>
      </c>
      <c r="CE768" s="8" t="s">
        <v>42</v>
      </c>
      <c r="CF768" s="8" t="s">
        <v>869</v>
      </c>
      <c r="CG768" s="8" t="s">
        <v>39</v>
      </c>
    </row>
    <row r="769" spans="1:85" ht="15.75" customHeight="1" x14ac:dyDescent="0.35">
      <c r="A769" s="8">
        <v>762</v>
      </c>
      <c r="B769" s="8" t="s">
        <v>1016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>
        <v>5.5999999999999999E-5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10">
        <v>5160800</v>
      </c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11">
        <v>0</v>
      </c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10">
        <v>13829295650</v>
      </c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14">
        <v>42004</v>
      </c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 t="s">
        <v>35</v>
      </c>
      <c r="BQ769" s="8" t="s">
        <v>31</v>
      </c>
      <c r="BR769" s="8" t="s">
        <v>49</v>
      </c>
      <c r="BS769" s="10">
        <v>907624069006.80005</v>
      </c>
      <c r="BT769" s="8" t="s">
        <v>57</v>
      </c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 t="s">
        <v>27</v>
      </c>
      <c r="CF769" s="8" t="s">
        <v>65</v>
      </c>
      <c r="CG769" s="8" t="s">
        <v>65</v>
      </c>
    </row>
    <row r="770" spans="1:85" ht="15.75" customHeight="1" x14ac:dyDescent="0.35">
      <c r="A770" s="8">
        <v>763</v>
      </c>
      <c r="B770" s="8" t="s">
        <v>1017</v>
      </c>
      <c r="C770" s="8"/>
      <c r="D770" s="8"/>
      <c r="E770" s="8"/>
      <c r="F770" s="8"/>
      <c r="G770" s="8"/>
      <c r="H770" s="9">
        <v>0</v>
      </c>
      <c r="I770" s="9">
        <v>0</v>
      </c>
      <c r="J770" s="9">
        <v>1.8200000000000001E-4</v>
      </c>
      <c r="K770" s="9">
        <v>2.2100000000000001E-4</v>
      </c>
      <c r="L770" s="8"/>
      <c r="M770" s="8"/>
      <c r="N770" s="8"/>
      <c r="O770" s="8"/>
      <c r="P770" s="8"/>
      <c r="Q770" s="8"/>
      <c r="R770" s="8"/>
      <c r="S770" s="10">
        <v>0</v>
      </c>
      <c r="T770" s="10">
        <v>0</v>
      </c>
      <c r="U770" s="10">
        <v>16800800</v>
      </c>
      <c r="V770" s="10">
        <v>20393600</v>
      </c>
      <c r="W770" s="8"/>
      <c r="X770" s="8"/>
      <c r="Y770" s="8"/>
      <c r="Z770" s="8"/>
      <c r="AA770" s="8"/>
      <c r="AB770" s="8"/>
      <c r="AC770" s="8"/>
      <c r="AD770" s="11">
        <v>0</v>
      </c>
      <c r="AE770" s="12">
        <v>-16800800</v>
      </c>
      <c r="AF770" s="12">
        <v>-3592800</v>
      </c>
      <c r="AG770" s="13">
        <v>20393600</v>
      </c>
      <c r="AH770" s="8"/>
      <c r="AI770" s="8"/>
      <c r="AJ770" s="8"/>
      <c r="AK770" s="8"/>
      <c r="AL770" s="8"/>
      <c r="AM770" s="8"/>
      <c r="AN770" s="8"/>
      <c r="AO770" s="10">
        <v>0</v>
      </c>
      <c r="AP770" s="10">
        <v>0</v>
      </c>
      <c r="AQ770" s="10">
        <v>57542739990</v>
      </c>
      <c r="AR770" s="10">
        <v>65004600050</v>
      </c>
      <c r="AS770" s="8"/>
      <c r="AT770" s="8"/>
      <c r="AU770" s="8"/>
      <c r="AV770" s="8"/>
      <c r="AW770" s="8"/>
      <c r="AX770" s="8"/>
      <c r="AY770" s="8"/>
      <c r="AZ770" s="14">
        <v>43646</v>
      </c>
      <c r="BA770" s="14">
        <v>43646</v>
      </c>
      <c r="BB770" s="14">
        <v>43281</v>
      </c>
      <c r="BC770" s="14">
        <v>42916</v>
      </c>
      <c r="BD770" s="8"/>
      <c r="BE770" s="8"/>
      <c r="BF770" s="8"/>
      <c r="BG770" s="8"/>
      <c r="BH770" s="8"/>
      <c r="BI770" s="8"/>
      <c r="BJ770" s="8"/>
      <c r="BK770" s="8" t="s">
        <v>35</v>
      </c>
      <c r="BL770" s="8" t="s">
        <v>35</v>
      </c>
      <c r="BM770" s="8" t="s">
        <v>35</v>
      </c>
      <c r="BN770" s="8" t="s">
        <v>35</v>
      </c>
      <c r="BO770" s="8"/>
      <c r="BP770" s="8"/>
      <c r="BQ770" s="8" t="s">
        <v>31</v>
      </c>
      <c r="BR770" s="8" t="s">
        <v>53</v>
      </c>
      <c r="BS770" s="10">
        <v>428717216033636</v>
      </c>
      <c r="BT770" s="8" t="s">
        <v>41</v>
      </c>
      <c r="BU770" s="8"/>
      <c r="BV770" s="8"/>
      <c r="BW770" s="8"/>
      <c r="BX770" s="8"/>
      <c r="BY770" s="8"/>
      <c r="BZ770" s="8" t="s">
        <v>27</v>
      </c>
      <c r="CA770" s="8" t="s">
        <v>42</v>
      </c>
      <c r="CB770" s="8" t="s">
        <v>27</v>
      </c>
      <c r="CC770" s="8" t="s">
        <v>42</v>
      </c>
      <c r="CD770" s="8"/>
      <c r="CE770" s="8"/>
      <c r="CF770" s="8" t="s">
        <v>212</v>
      </c>
      <c r="CG770" s="8" t="s">
        <v>213</v>
      </c>
    </row>
    <row r="771" spans="1:85" ht="15.75" customHeight="1" x14ac:dyDescent="0.35">
      <c r="A771" s="8">
        <v>764</v>
      </c>
      <c r="B771" s="8" t="s">
        <v>1018</v>
      </c>
      <c r="C771" s="8"/>
      <c r="D771" s="8"/>
      <c r="E771" s="9">
        <v>2.23E-4</v>
      </c>
      <c r="F771" s="9">
        <v>2.23E-4</v>
      </c>
      <c r="G771" s="9">
        <v>2.61E-4</v>
      </c>
      <c r="H771" s="9">
        <v>3.1500000000000001E-4</v>
      </c>
      <c r="I771" s="9">
        <v>3.3799999999999998E-4</v>
      </c>
      <c r="J771" s="9">
        <v>3.8999999999999999E-4</v>
      </c>
      <c r="K771" s="9">
        <v>8.5000000000000006E-5</v>
      </c>
      <c r="L771" s="9">
        <v>5.3000000000000001E-5</v>
      </c>
      <c r="M771" s="9">
        <v>7.8999999999999996E-5</v>
      </c>
      <c r="N771" s="8"/>
      <c r="O771" s="8"/>
      <c r="P771" s="10">
        <v>20566600</v>
      </c>
      <c r="Q771" s="10">
        <v>20566600</v>
      </c>
      <c r="R771" s="10">
        <v>24091200</v>
      </c>
      <c r="S771" s="10">
        <v>29110800</v>
      </c>
      <c r="T771" s="10">
        <v>31185000</v>
      </c>
      <c r="U771" s="10">
        <v>36026000</v>
      </c>
      <c r="V771" s="10">
        <v>7864000</v>
      </c>
      <c r="W771" s="10">
        <v>4865972</v>
      </c>
      <c r="X771" s="10">
        <v>7285572</v>
      </c>
      <c r="Y771" s="8"/>
      <c r="Z771" s="8"/>
      <c r="AA771" s="11">
        <v>0</v>
      </c>
      <c r="AB771" s="12">
        <v>-3524600</v>
      </c>
      <c r="AC771" s="12">
        <v>-5019600</v>
      </c>
      <c r="AD771" s="12">
        <v>-2074200</v>
      </c>
      <c r="AE771" s="12">
        <v>-4841000</v>
      </c>
      <c r="AF771" s="13">
        <v>28162000</v>
      </c>
      <c r="AG771" s="13">
        <v>2998028</v>
      </c>
      <c r="AH771" s="12">
        <v>-2419600</v>
      </c>
      <c r="AI771" s="11">
        <v>0</v>
      </c>
      <c r="AJ771" s="8"/>
      <c r="AK771" s="8"/>
      <c r="AL771" s="10">
        <v>108488814991.45</v>
      </c>
      <c r="AM771" s="10">
        <v>108488814991.45</v>
      </c>
      <c r="AN771" s="10">
        <v>84531359670</v>
      </c>
      <c r="AO771" s="10">
        <v>92062904918.399994</v>
      </c>
      <c r="AP771" s="10">
        <v>119328551235.60001</v>
      </c>
      <c r="AQ771" s="10">
        <v>131202985518.75</v>
      </c>
      <c r="AR771" s="10">
        <v>31456000042.400002</v>
      </c>
      <c r="AS771" s="10">
        <v>14080906526.4</v>
      </c>
      <c r="AT771" s="10">
        <v>15481840540.200001</v>
      </c>
      <c r="AU771" s="8"/>
      <c r="AV771" s="8"/>
      <c r="AW771" s="14">
        <v>44865</v>
      </c>
      <c r="AX771" s="14">
        <v>44865</v>
      </c>
      <c r="AY771" s="14">
        <v>44561</v>
      </c>
      <c r="AZ771" s="14">
        <v>44196</v>
      </c>
      <c r="BA771" s="14">
        <v>43830</v>
      </c>
      <c r="BB771" s="14">
        <v>43465</v>
      </c>
      <c r="BC771" s="14">
        <v>43100</v>
      </c>
      <c r="BD771" s="14">
        <v>42735</v>
      </c>
      <c r="BE771" s="14">
        <v>42338</v>
      </c>
      <c r="BF771" s="8"/>
      <c r="BG771" s="8"/>
      <c r="BH771" s="8" t="s">
        <v>35</v>
      </c>
      <c r="BI771" s="8" t="s">
        <v>35</v>
      </c>
      <c r="BJ771" s="8" t="s">
        <v>35</v>
      </c>
      <c r="BK771" s="8" t="s">
        <v>35</v>
      </c>
      <c r="BL771" s="8" t="s">
        <v>35</v>
      </c>
      <c r="BM771" s="8" t="s">
        <v>35</v>
      </c>
      <c r="BN771" s="8" t="s">
        <v>35</v>
      </c>
      <c r="BO771" s="8" t="s">
        <v>35</v>
      </c>
      <c r="BP771" s="8" t="s">
        <v>35</v>
      </c>
      <c r="BQ771" s="8" t="s">
        <v>31</v>
      </c>
      <c r="BR771" s="8" t="s">
        <v>49</v>
      </c>
      <c r="BS771" s="10">
        <v>296478145922.40002</v>
      </c>
      <c r="BT771" s="8" t="s">
        <v>37</v>
      </c>
      <c r="BU771" s="8"/>
      <c r="BV771" s="8"/>
      <c r="BW771" s="8" t="s">
        <v>27</v>
      </c>
      <c r="BX771" s="8" t="s">
        <v>27</v>
      </c>
      <c r="BY771" s="8" t="s">
        <v>27</v>
      </c>
      <c r="BZ771" s="8" t="s">
        <v>27</v>
      </c>
      <c r="CA771" s="8" t="s">
        <v>27</v>
      </c>
      <c r="CB771" s="8" t="s">
        <v>43</v>
      </c>
      <c r="CC771" s="8" t="s">
        <v>42</v>
      </c>
      <c r="CD771" s="8" t="s">
        <v>42</v>
      </c>
      <c r="CE771" s="8" t="s">
        <v>42</v>
      </c>
      <c r="CF771" s="8" t="s">
        <v>82</v>
      </c>
      <c r="CG771" s="8" t="s">
        <v>39</v>
      </c>
    </row>
    <row r="772" spans="1:85" ht="15.75" hidden="1" customHeight="1" x14ac:dyDescent="0.35">
      <c r="A772" s="8">
        <v>765</v>
      </c>
      <c r="B772" s="8" t="s">
        <v>1019</v>
      </c>
      <c r="C772" s="8"/>
      <c r="D772" s="8"/>
      <c r="E772" s="8"/>
      <c r="F772" s="8"/>
      <c r="G772" s="8"/>
      <c r="H772" s="9">
        <v>1.7E-5</v>
      </c>
      <c r="I772" s="9">
        <v>1.7E-5</v>
      </c>
      <c r="J772" s="9">
        <v>6.9999999999999999E-6</v>
      </c>
      <c r="K772" s="9">
        <v>1.9999999999999999E-6</v>
      </c>
      <c r="L772" s="9">
        <v>1.9999999999999999E-6</v>
      </c>
      <c r="M772" s="8"/>
      <c r="N772" s="8"/>
      <c r="O772" s="8"/>
      <c r="P772" s="8"/>
      <c r="Q772" s="8"/>
      <c r="R772" s="8"/>
      <c r="S772" s="10">
        <v>1572200</v>
      </c>
      <c r="T772" s="10">
        <v>1572200</v>
      </c>
      <c r="U772" s="10">
        <v>688400</v>
      </c>
      <c r="V772" s="10">
        <v>204000</v>
      </c>
      <c r="W772" s="10">
        <v>204000</v>
      </c>
      <c r="X772" s="8"/>
      <c r="Y772" s="8"/>
      <c r="Z772" s="8"/>
      <c r="AA772" s="8"/>
      <c r="AB772" s="8"/>
      <c r="AC772" s="8"/>
      <c r="AD772" s="11">
        <v>0</v>
      </c>
      <c r="AE772" s="13">
        <v>883800</v>
      </c>
      <c r="AF772" s="13">
        <v>484400</v>
      </c>
      <c r="AG772" s="11">
        <v>0</v>
      </c>
      <c r="AH772" s="13">
        <v>204000</v>
      </c>
      <c r="AI772" s="8"/>
      <c r="AJ772" s="8"/>
      <c r="AK772" s="8"/>
      <c r="AL772" s="8"/>
      <c r="AM772" s="8"/>
      <c r="AN772" s="8"/>
      <c r="AO772" s="10">
        <v>3891195057.5999999</v>
      </c>
      <c r="AP772" s="10">
        <v>6015980362.3999996</v>
      </c>
      <c r="AQ772" s="10">
        <v>2507081937.5</v>
      </c>
      <c r="AR772" s="10">
        <v>815999997.64999998</v>
      </c>
      <c r="AS772" s="10">
        <v>590325039.89999998</v>
      </c>
      <c r="AT772" s="8"/>
      <c r="AU772" s="8"/>
      <c r="AV772" s="8"/>
      <c r="AW772" s="8"/>
      <c r="AX772" s="8"/>
      <c r="AY772" s="8"/>
      <c r="AZ772" s="14">
        <v>44012</v>
      </c>
      <c r="BA772" s="14">
        <v>43830</v>
      </c>
      <c r="BB772" s="14">
        <v>43465</v>
      </c>
      <c r="BC772" s="14">
        <v>43100</v>
      </c>
      <c r="BD772" s="14">
        <v>42735</v>
      </c>
      <c r="BE772" s="8"/>
      <c r="BF772" s="8"/>
      <c r="BG772" s="8"/>
      <c r="BH772" s="8"/>
      <c r="BI772" s="8"/>
      <c r="BJ772" s="8"/>
      <c r="BK772" s="8" t="s">
        <v>201</v>
      </c>
      <c r="BL772" s="8" t="s">
        <v>201</v>
      </c>
      <c r="BM772" s="8" t="s">
        <v>201</v>
      </c>
      <c r="BN772" s="8" t="s">
        <v>201</v>
      </c>
      <c r="BO772" s="8" t="s">
        <v>201</v>
      </c>
      <c r="BP772" s="8"/>
      <c r="BQ772" s="8" t="s">
        <v>25</v>
      </c>
      <c r="BR772" s="8" t="s">
        <v>202</v>
      </c>
      <c r="BS772" s="10">
        <v>25359978098.400002</v>
      </c>
      <c r="BT772" s="8"/>
      <c r="BU772" s="8"/>
      <c r="BV772" s="8"/>
      <c r="BW772" s="8"/>
      <c r="BX772" s="8"/>
      <c r="BY772" s="8"/>
      <c r="BZ772" s="8" t="s">
        <v>27</v>
      </c>
      <c r="CA772" s="8" t="s">
        <v>27</v>
      </c>
      <c r="CB772" s="8" t="s">
        <v>42</v>
      </c>
      <c r="CC772" s="8" t="s">
        <v>27</v>
      </c>
      <c r="CD772" s="8" t="s">
        <v>27</v>
      </c>
      <c r="CE772" s="8"/>
      <c r="CF772" s="8"/>
      <c r="CG772" s="8" t="s">
        <v>29</v>
      </c>
    </row>
    <row r="773" spans="1:85" ht="15.75" customHeight="1" x14ac:dyDescent="0.35">
      <c r="A773" s="8">
        <v>766</v>
      </c>
      <c r="B773" s="8" t="s">
        <v>1020</v>
      </c>
      <c r="C773" s="8"/>
      <c r="D773" s="8"/>
      <c r="E773" s="8"/>
      <c r="F773" s="8"/>
      <c r="G773" s="9">
        <v>0</v>
      </c>
      <c r="H773" s="9">
        <v>0</v>
      </c>
      <c r="I773" s="9">
        <v>1.9999999999999999E-6</v>
      </c>
      <c r="J773" s="9">
        <v>0</v>
      </c>
      <c r="K773" s="9">
        <v>0</v>
      </c>
      <c r="L773" s="9">
        <v>3.9999999999999998E-6</v>
      </c>
      <c r="M773" s="8"/>
      <c r="N773" s="8"/>
      <c r="O773" s="8"/>
      <c r="P773" s="8"/>
      <c r="Q773" s="8"/>
      <c r="R773" s="10">
        <v>0</v>
      </c>
      <c r="S773" s="10">
        <v>0</v>
      </c>
      <c r="T773" s="10">
        <v>138600</v>
      </c>
      <c r="U773" s="10">
        <v>0</v>
      </c>
      <c r="V773" s="10">
        <v>0</v>
      </c>
      <c r="W773" s="10">
        <v>376000</v>
      </c>
      <c r="X773" s="8"/>
      <c r="Y773" s="8"/>
      <c r="Z773" s="8"/>
      <c r="AA773" s="8"/>
      <c r="AB773" s="8"/>
      <c r="AC773" s="11">
        <v>0</v>
      </c>
      <c r="AD773" s="12">
        <v>-138600</v>
      </c>
      <c r="AE773" s="13">
        <v>138600</v>
      </c>
      <c r="AF773" s="11">
        <v>0</v>
      </c>
      <c r="AG773" s="12">
        <v>-376000</v>
      </c>
      <c r="AH773" s="13">
        <v>376000</v>
      </c>
      <c r="AI773" s="8"/>
      <c r="AJ773" s="8"/>
      <c r="AK773" s="8"/>
      <c r="AL773" s="8"/>
      <c r="AM773" s="8"/>
      <c r="AN773" s="10">
        <v>0</v>
      </c>
      <c r="AO773" s="10">
        <v>0</v>
      </c>
      <c r="AP773" s="10">
        <v>530349109.19999999</v>
      </c>
      <c r="AQ773" s="10">
        <v>0</v>
      </c>
      <c r="AR773" s="10">
        <v>0</v>
      </c>
      <c r="AS773" s="10">
        <v>1088050026</v>
      </c>
      <c r="AT773" s="8"/>
      <c r="AU773" s="8"/>
      <c r="AV773" s="8"/>
      <c r="AW773" s="8"/>
      <c r="AX773" s="8"/>
      <c r="AY773" s="14">
        <v>44104</v>
      </c>
      <c r="AZ773" s="14">
        <v>44104</v>
      </c>
      <c r="BA773" s="14">
        <v>43830</v>
      </c>
      <c r="BB773" s="14">
        <v>43008</v>
      </c>
      <c r="BC773" s="14">
        <v>43008</v>
      </c>
      <c r="BD773" s="14">
        <v>42735</v>
      </c>
      <c r="BE773" s="8"/>
      <c r="BF773" s="8"/>
      <c r="BG773" s="8"/>
      <c r="BH773" s="8"/>
      <c r="BI773" s="8"/>
      <c r="BJ773" s="8" t="s">
        <v>35</v>
      </c>
      <c r="BK773" s="8" t="s">
        <v>35</v>
      </c>
      <c r="BL773" s="8" t="s">
        <v>35</v>
      </c>
      <c r="BM773" s="8" t="s">
        <v>35</v>
      </c>
      <c r="BN773" s="8" t="s">
        <v>35</v>
      </c>
      <c r="BO773" s="8" t="s">
        <v>35</v>
      </c>
      <c r="BP773" s="8"/>
      <c r="BQ773" s="8" t="s">
        <v>31</v>
      </c>
      <c r="BR773" s="8" t="s">
        <v>36</v>
      </c>
      <c r="BS773" s="10">
        <v>20615425734595.199</v>
      </c>
      <c r="BT773" s="8" t="s">
        <v>37</v>
      </c>
      <c r="BU773" s="8"/>
      <c r="BV773" s="8"/>
      <c r="BW773" s="8"/>
      <c r="BX773" s="8"/>
      <c r="BY773" s="8" t="s">
        <v>42</v>
      </c>
      <c r="BZ773" s="8" t="s">
        <v>43</v>
      </c>
      <c r="CA773" s="8" t="s">
        <v>42</v>
      </c>
      <c r="CB773" s="8" t="s">
        <v>42</v>
      </c>
      <c r="CC773" s="8" t="s">
        <v>43</v>
      </c>
      <c r="CD773" s="8" t="s">
        <v>43</v>
      </c>
      <c r="CE773" s="8"/>
      <c r="CF773" s="8" t="s">
        <v>1021</v>
      </c>
      <c r="CG773" s="8" t="s">
        <v>39</v>
      </c>
    </row>
    <row r="774" spans="1:85" ht="15.75" customHeight="1" x14ac:dyDescent="0.35">
      <c r="A774" s="8">
        <v>767</v>
      </c>
      <c r="B774" s="8" t="s">
        <v>1022</v>
      </c>
      <c r="C774" s="8"/>
      <c r="D774" s="8"/>
      <c r="E774" s="8"/>
      <c r="F774" s="8"/>
      <c r="G774" s="8"/>
      <c r="H774" s="8"/>
      <c r="I774" s="9">
        <v>1.3100000000000001E-4</v>
      </c>
      <c r="J774" s="9">
        <v>1.3100000000000001E-4</v>
      </c>
      <c r="K774" s="9">
        <v>8.8999999999999995E-5</v>
      </c>
      <c r="L774" s="9">
        <v>7.7000000000000001E-5</v>
      </c>
      <c r="M774" s="9">
        <v>5.3000000000000001E-5</v>
      </c>
      <c r="N774" s="8"/>
      <c r="O774" s="8"/>
      <c r="P774" s="8"/>
      <c r="Q774" s="8"/>
      <c r="R774" s="8"/>
      <c r="S774" s="8"/>
      <c r="T774" s="10">
        <v>12081168</v>
      </c>
      <c r="U774" s="10">
        <v>12081168</v>
      </c>
      <c r="V774" s="10">
        <v>8215568</v>
      </c>
      <c r="W774" s="10">
        <v>7097168</v>
      </c>
      <c r="X774" s="10">
        <v>4857968</v>
      </c>
      <c r="Y774" s="8"/>
      <c r="Z774" s="8"/>
      <c r="AA774" s="8"/>
      <c r="AB774" s="8"/>
      <c r="AC774" s="8"/>
      <c r="AD774" s="8"/>
      <c r="AE774" s="11">
        <v>0</v>
      </c>
      <c r="AF774" s="13">
        <v>3865600</v>
      </c>
      <c r="AG774" s="13">
        <v>1118400</v>
      </c>
      <c r="AH774" s="13">
        <v>2239200</v>
      </c>
      <c r="AI774" s="11">
        <v>0</v>
      </c>
      <c r="AJ774" s="8"/>
      <c r="AK774" s="8"/>
      <c r="AL774" s="8"/>
      <c r="AM774" s="8"/>
      <c r="AN774" s="8"/>
      <c r="AO774" s="8"/>
      <c r="AP774" s="10">
        <v>44700321523</v>
      </c>
      <c r="AQ774" s="10">
        <v>44700321523</v>
      </c>
      <c r="AR774" s="10">
        <v>32862272062.150002</v>
      </c>
      <c r="AS774" s="10">
        <v>20537429901.599998</v>
      </c>
      <c r="AT774" s="10">
        <v>10323181943.4</v>
      </c>
      <c r="AU774" s="8"/>
      <c r="AV774" s="8"/>
      <c r="AW774" s="8"/>
      <c r="AX774" s="8"/>
      <c r="AY774" s="8"/>
      <c r="AZ774" s="8"/>
      <c r="BA774" s="14">
        <v>43434</v>
      </c>
      <c r="BB774" s="14">
        <v>43434</v>
      </c>
      <c r="BC774" s="14">
        <v>43100</v>
      </c>
      <c r="BD774" s="14">
        <v>42735</v>
      </c>
      <c r="BE774" s="14">
        <v>42338</v>
      </c>
      <c r="BF774" s="8"/>
      <c r="BG774" s="8"/>
      <c r="BH774" s="8"/>
      <c r="BI774" s="8"/>
      <c r="BJ774" s="8"/>
      <c r="BK774" s="8"/>
      <c r="BL774" s="8" t="s">
        <v>35</v>
      </c>
      <c r="BM774" s="8" t="s">
        <v>35</v>
      </c>
      <c r="BN774" s="8" t="s">
        <v>35</v>
      </c>
      <c r="BO774" s="8" t="s">
        <v>35</v>
      </c>
      <c r="BP774" s="8" t="s">
        <v>35</v>
      </c>
      <c r="BQ774" s="8" t="s">
        <v>31</v>
      </c>
      <c r="BR774" s="8" t="s">
        <v>36</v>
      </c>
      <c r="BS774" s="10">
        <v>1839790341248.3999</v>
      </c>
      <c r="BT774" s="8" t="s">
        <v>61</v>
      </c>
      <c r="BU774" s="8"/>
      <c r="BV774" s="8"/>
      <c r="BW774" s="8"/>
      <c r="BX774" s="8"/>
      <c r="BY774" s="8"/>
      <c r="BZ774" s="8"/>
      <c r="CA774" s="8" t="s">
        <v>27</v>
      </c>
      <c r="CB774" s="8" t="s">
        <v>42</v>
      </c>
      <c r="CC774" s="8" t="s">
        <v>42</v>
      </c>
      <c r="CD774" s="8" t="s">
        <v>42</v>
      </c>
      <c r="CE774" s="8" t="s">
        <v>43</v>
      </c>
      <c r="CF774" s="8" t="s">
        <v>232</v>
      </c>
      <c r="CG774" s="8" t="s">
        <v>232</v>
      </c>
    </row>
    <row r="775" spans="1:85" ht="15.75" customHeight="1" x14ac:dyDescent="0.35">
      <c r="A775" s="8">
        <v>768</v>
      </c>
      <c r="B775" s="8" t="s">
        <v>1023</v>
      </c>
      <c r="C775" s="8"/>
      <c r="D775" s="8"/>
      <c r="E775" s="8"/>
      <c r="F775" s="8"/>
      <c r="G775" s="8"/>
      <c r="H775" s="8"/>
      <c r="I775" s="8"/>
      <c r="J775" s="8"/>
      <c r="K775" s="9">
        <v>0</v>
      </c>
      <c r="L775" s="9">
        <v>0</v>
      </c>
      <c r="M775" s="9">
        <v>0</v>
      </c>
      <c r="N775" s="8"/>
      <c r="O775" s="8"/>
      <c r="P775" s="8"/>
      <c r="Q775" s="8"/>
      <c r="R775" s="8"/>
      <c r="S775" s="8"/>
      <c r="T775" s="8"/>
      <c r="U775" s="8"/>
      <c r="V775" s="10">
        <v>0</v>
      </c>
      <c r="W775" s="10">
        <v>0</v>
      </c>
      <c r="X775" s="10">
        <v>0</v>
      </c>
      <c r="Y775" s="8"/>
      <c r="Z775" s="8"/>
      <c r="AA775" s="8"/>
      <c r="AB775" s="8"/>
      <c r="AC775" s="8"/>
      <c r="AD775" s="8"/>
      <c r="AE775" s="8"/>
      <c r="AF775" s="8"/>
      <c r="AG775" s="11">
        <v>0</v>
      </c>
      <c r="AH775" s="11">
        <v>0</v>
      </c>
      <c r="AI775" s="11">
        <v>0</v>
      </c>
      <c r="AJ775" s="8"/>
      <c r="AK775" s="8"/>
      <c r="AL775" s="8"/>
      <c r="AM775" s="8"/>
      <c r="AN775" s="8"/>
      <c r="AO775" s="8"/>
      <c r="AP775" s="8"/>
      <c r="AQ775" s="8"/>
      <c r="AR775" s="10">
        <v>0</v>
      </c>
      <c r="AS775" s="10">
        <v>0</v>
      </c>
      <c r="AT775" s="10">
        <v>0</v>
      </c>
      <c r="AU775" s="8"/>
      <c r="AV775" s="8"/>
      <c r="AW775" s="8"/>
      <c r="AX775" s="8"/>
      <c r="AY775" s="8"/>
      <c r="AZ775" s="8"/>
      <c r="BA775" s="8"/>
      <c r="BB775" s="8"/>
      <c r="BC775" s="14">
        <v>42735</v>
      </c>
      <c r="BD775" s="14">
        <v>42735</v>
      </c>
      <c r="BE775" s="14">
        <v>42004</v>
      </c>
      <c r="BF775" s="8"/>
      <c r="BG775" s="8"/>
      <c r="BH775" s="8"/>
      <c r="BI775" s="8"/>
      <c r="BJ775" s="8"/>
      <c r="BK775" s="8"/>
      <c r="BL775" s="8"/>
      <c r="BM775" s="8"/>
      <c r="BN775" s="8" t="s">
        <v>35</v>
      </c>
      <c r="BO775" s="8" t="s">
        <v>35</v>
      </c>
      <c r="BP775" s="8" t="s">
        <v>35</v>
      </c>
      <c r="BQ775" s="8" t="s">
        <v>31</v>
      </c>
      <c r="BR775" s="8" t="s">
        <v>36</v>
      </c>
      <c r="BS775" s="10">
        <v>95322826013968.797</v>
      </c>
      <c r="BT775" s="8" t="s">
        <v>91</v>
      </c>
      <c r="BU775" s="8"/>
      <c r="BV775" s="8"/>
      <c r="BW775" s="8"/>
      <c r="BX775" s="8"/>
      <c r="BY775" s="8"/>
      <c r="BZ775" s="8"/>
      <c r="CA775" s="8"/>
      <c r="CB775" s="8"/>
      <c r="CC775" s="8" t="s">
        <v>43</v>
      </c>
      <c r="CD775" s="8" t="s">
        <v>42</v>
      </c>
      <c r="CE775" s="8" t="s">
        <v>42</v>
      </c>
      <c r="CF775" s="8" t="s">
        <v>346</v>
      </c>
      <c r="CG775" s="8" t="s">
        <v>347</v>
      </c>
    </row>
    <row r="776" spans="1:85" ht="15.75" customHeight="1" x14ac:dyDescent="0.35">
      <c r="A776" s="8">
        <v>769</v>
      </c>
      <c r="B776" s="8" t="s">
        <v>1024</v>
      </c>
      <c r="C776" s="8"/>
      <c r="D776" s="8"/>
      <c r="E776" s="8"/>
      <c r="F776" s="8"/>
      <c r="G776" s="8"/>
      <c r="H776" s="8"/>
      <c r="I776" s="8"/>
      <c r="J776" s="9">
        <v>3.9999999999999998E-6</v>
      </c>
      <c r="K776" s="9">
        <v>3.9999999999999998E-6</v>
      </c>
      <c r="L776" s="8"/>
      <c r="M776" s="8"/>
      <c r="N776" s="8"/>
      <c r="O776" s="8"/>
      <c r="P776" s="8"/>
      <c r="Q776" s="8"/>
      <c r="R776" s="8"/>
      <c r="S776" s="8"/>
      <c r="T776" s="8"/>
      <c r="U776" s="10">
        <v>400000</v>
      </c>
      <c r="V776" s="10">
        <v>400000</v>
      </c>
      <c r="W776" s="8"/>
      <c r="X776" s="8"/>
      <c r="Y776" s="8"/>
      <c r="Z776" s="8"/>
      <c r="AA776" s="8"/>
      <c r="AB776" s="8"/>
      <c r="AC776" s="8"/>
      <c r="AD776" s="8"/>
      <c r="AE776" s="8"/>
      <c r="AF776" s="11">
        <v>0</v>
      </c>
      <c r="AG776" s="13">
        <v>400000</v>
      </c>
      <c r="AH776" s="8"/>
      <c r="AI776" s="8"/>
      <c r="AJ776" s="8"/>
      <c r="AK776" s="8"/>
      <c r="AL776" s="8"/>
      <c r="AM776" s="8"/>
      <c r="AN776" s="8"/>
      <c r="AO776" s="8"/>
      <c r="AP776" s="8"/>
      <c r="AQ776" s="10">
        <v>1660000023.5999999</v>
      </c>
      <c r="AR776" s="10">
        <v>1600000024.6500001</v>
      </c>
      <c r="AS776" s="8"/>
      <c r="AT776" s="8"/>
      <c r="AU776" s="8"/>
      <c r="AV776" s="8"/>
      <c r="AW776" s="8"/>
      <c r="AX776" s="8"/>
      <c r="AY776" s="8"/>
      <c r="AZ776" s="8"/>
      <c r="BA776" s="8"/>
      <c r="BB776" s="14">
        <v>43159</v>
      </c>
      <c r="BC776" s="14">
        <v>43100</v>
      </c>
      <c r="BD776" s="8"/>
      <c r="BE776" s="8"/>
      <c r="BF776" s="8"/>
      <c r="BG776" s="8"/>
      <c r="BH776" s="8"/>
      <c r="BI776" s="8"/>
      <c r="BJ776" s="8"/>
      <c r="BK776" s="8"/>
      <c r="BL776" s="8"/>
      <c r="BM776" s="8" t="s">
        <v>35</v>
      </c>
      <c r="BN776" s="8" t="s">
        <v>35</v>
      </c>
      <c r="BO776" s="8"/>
      <c r="BP776" s="8"/>
      <c r="BQ776" s="8" t="s">
        <v>31</v>
      </c>
      <c r="BR776" s="8" t="s">
        <v>49</v>
      </c>
      <c r="BS776" s="10">
        <v>184225383679613</v>
      </c>
      <c r="BT776" s="8" t="s">
        <v>41</v>
      </c>
      <c r="BU776" s="8"/>
      <c r="BV776" s="8"/>
      <c r="BW776" s="8"/>
      <c r="BX776" s="8"/>
      <c r="BY776" s="8"/>
      <c r="BZ776" s="8"/>
      <c r="CA776" s="8"/>
      <c r="CB776" s="8" t="s">
        <v>27</v>
      </c>
      <c r="CC776" s="8" t="s">
        <v>43</v>
      </c>
      <c r="CD776" s="8"/>
      <c r="CE776" s="8"/>
      <c r="CF776" s="8" t="s">
        <v>391</v>
      </c>
      <c r="CG776" s="8" t="s">
        <v>99</v>
      </c>
    </row>
    <row r="777" spans="1:85" ht="15.75" customHeight="1" x14ac:dyDescent="0.35">
      <c r="A777" s="8">
        <v>770</v>
      </c>
      <c r="B777" s="8" t="s">
        <v>1025</v>
      </c>
      <c r="C777" s="8"/>
      <c r="D777" s="8"/>
      <c r="E777" s="8"/>
      <c r="F777" s="8"/>
      <c r="G777" s="8"/>
      <c r="H777" s="8"/>
      <c r="I777" s="8"/>
      <c r="J777" s="8"/>
      <c r="K777" s="9">
        <v>3.4999999999999997E-5</v>
      </c>
      <c r="L777" s="9">
        <v>3.4999999999999997E-5</v>
      </c>
      <c r="M777" s="9">
        <v>3.0000000000000001E-6</v>
      </c>
      <c r="N777" s="8"/>
      <c r="O777" s="8"/>
      <c r="P777" s="8"/>
      <c r="Q777" s="8"/>
      <c r="R777" s="8"/>
      <c r="S777" s="8"/>
      <c r="T777" s="8"/>
      <c r="U777" s="8"/>
      <c r="V777" s="10">
        <v>3200000</v>
      </c>
      <c r="W777" s="10">
        <v>3200000</v>
      </c>
      <c r="X777" s="10">
        <v>240000</v>
      </c>
      <c r="Y777" s="8"/>
      <c r="Z777" s="8"/>
      <c r="AA777" s="8"/>
      <c r="AB777" s="8"/>
      <c r="AC777" s="8"/>
      <c r="AD777" s="8"/>
      <c r="AE777" s="8"/>
      <c r="AF777" s="8"/>
      <c r="AG777" s="11">
        <v>0</v>
      </c>
      <c r="AH777" s="13">
        <v>2960000</v>
      </c>
      <c r="AI777" s="11">
        <v>0</v>
      </c>
      <c r="AJ777" s="8"/>
      <c r="AK777" s="8"/>
      <c r="AL777" s="8"/>
      <c r="AM777" s="8"/>
      <c r="AN777" s="8"/>
      <c r="AO777" s="8"/>
      <c r="AP777" s="8"/>
      <c r="AQ777" s="8"/>
      <c r="AR777" s="10">
        <v>9259999992</v>
      </c>
      <c r="AS777" s="10">
        <v>9259999992</v>
      </c>
      <c r="AT777" s="10">
        <v>555201351.60000002</v>
      </c>
      <c r="AU777" s="8"/>
      <c r="AV777" s="8"/>
      <c r="AW777" s="8"/>
      <c r="AX777" s="8"/>
      <c r="AY777" s="8"/>
      <c r="AZ777" s="8"/>
      <c r="BA777" s="8"/>
      <c r="BB777" s="8"/>
      <c r="BC777" s="14">
        <v>42735</v>
      </c>
      <c r="BD777" s="14">
        <v>42735</v>
      </c>
      <c r="BE777" s="14">
        <v>42369</v>
      </c>
      <c r="BF777" s="8"/>
      <c r="BG777" s="8"/>
      <c r="BH777" s="8"/>
      <c r="BI777" s="8"/>
      <c r="BJ777" s="8"/>
      <c r="BK777" s="8"/>
      <c r="BL777" s="8"/>
      <c r="BM777" s="8"/>
      <c r="BN777" s="8" t="s">
        <v>35</v>
      </c>
      <c r="BO777" s="8" t="s">
        <v>35</v>
      </c>
      <c r="BP777" s="8" t="s">
        <v>35</v>
      </c>
      <c r="BQ777" s="8" t="s">
        <v>31</v>
      </c>
      <c r="BR777" s="8" t="s">
        <v>36</v>
      </c>
      <c r="BS777" s="10">
        <v>182399706789.60001</v>
      </c>
      <c r="BT777" s="8" t="s">
        <v>61</v>
      </c>
      <c r="BU777" s="8"/>
      <c r="BV777" s="8"/>
      <c r="BW777" s="8"/>
      <c r="BX777" s="8"/>
      <c r="BY777" s="8"/>
      <c r="BZ777" s="8"/>
      <c r="CA777" s="8"/>
      <c r="CB777" s="8"/>
      <c r="CC777" s="8" t="s">
        <v>27</v>
      </c>
      <c r="CD777" s="8" t="s">
        <v>27</v>
      </c>
      <c r="CE777" s="8"/>
      <c r="CF777" s="8" t="s">
        <v>682</v>
      </c>
      <c r="CG777" s="8" t="s">
        <v>461</v>
      </c>
    </row>
    <row r="778" spans="1:85" ht="15.75" customHeight="1" x14ac:dyDescent="0.35">
      <c r="A778" s="8">
        <v>771</v>
      </c>
      <c r="B778" s="8" t="s">
        <v>1026</v>
      </c>
      <c r="C778" s="8"/>
      <c r="D778" s="8"/>
      <c r="E778" s="8"/>
      <c r="F778" s="8"/>
      <c r="G778" s="9">
        <v>0</v>
      </c>
      <c r="H778" s="9">
        <v>0</v>
      </c>
      <c r="I778" s="9">
        <v>1.2999999999999999E-5</v>
      </c>
      <c r="J778" s="9">
        <v>1.4E-5</v>
      </c>
      <c r="K778" s="9">
        <v>6.9999999999999999E-6</v>
      </c>
      <c r="L778" s="8"/>
      <c r="M778" s="8"/>
      <c r="N778" s="8"/>
      <c r="O778" s="8"/>
      <c r="P778" s="8"/>
      <c r="Q778" s="8"/>
      <c r="R778" s="10">
        <v>0</v>
      </c>
      <c r="S778" s="10">
        <v>0</v>
      </c>
      <c r="T778" s="10">
        <v>1169600</v>
      </c>
      <c r="U778" s="10">
        <v>1293800</v>
      </c>
      <c r="V778" s="10">
        <v>658400</v>
      </c>
      <c r="W778" s="8"/>
      <c r="X778" s="8"/>
      <c r="Y778" s="8"/>
      <c r="Z778" s="8"/>
      <c r="AA778" s="8"/>
      <c r="AB778" s="8"/>
      <c r="AC778" s="11">
        <v>0</v>
      </c>
      <c r="AD778" s="12">
        <v>-1169600</v>
      </c>
      <c r="AE778" s="12">
        <v>-124200</v>
      </c>
      <c r="AF778" s="13">
        <v>635400</v>
      </c>
      <c r="AG778" s="13">
        <v>658400</v>
      </c>
      <c r="AH778" s="8"/>
      <c r="AI778" s="8"/>
      <c r="AJ778" s="8"/>
      <c r="AK778" s="8"/>
      <c r="AL778" s="8"/>
      <c r="AM778" s="8"/>
      <c r="AN778" s="10">
        <v>0</v>
      </c>
      <c r="AO778" s="10">
        <v>0</v>
      </c>
      <c r="AP778" s="10">
        <v>4108220062.8800001</v>
      </c>
      <c r="AQ778" s="10">
        <v>4431264968</v>
      </c>
      <c r="AR778" s="10">
        <v>2320860037.1999998</v>
      </c>
      <c r="AS778" s="8"/>
      <c r="AT778" s="8"/>
      <c r="AU778" s="8"/>
      <c r="AV778" s="8"/>
      <c r="AW778" s="8"/>
      <c r="AX778" s="8"/>
      <c r="AY778" s="14">
        <v>43951</v>
      </c>
      <c r="AZ778" s="14">
        <v>43951</v>
      </c>
      <c r="BA778" s="14">
        <v>43769</v>
      </c>
      <c r="BB778" s="14">
        <v>43404</v>
      </c>
      <c r="BC778" s="14">
        <v>43039</v>
      </c>
      <c r="BD778" s="8"/>
      <c r="BE778" s="8"/>
      <c r="BF778" s="8"/>
      <c r="BG778" s="8"/>
      <c r="BH778" s="8"/>
      <c r="BI778" s="8"/>
      <c r="BJ778" s="8" t="s">
        <v>35</v>
      </c>
      <c r="BK778" s="8" t="s">
        <v>35</v>
      </c>
      <c r="BL778" s="8" t="s">
        <v>35</v>
      </c>
      <c r="BM778" s="8" t="s">
        <v>35</v>
      </c>
      <c r="BN778" s="8" t="s">
        <v>35</v>
      </c>
      <c r="BO778" s="8"/>
      <c r="BP778" s="8"/>
      <c r="BQ778" s="8" t="s">
        <v>31</v>
      </c>
      <c r="BR778" s="8" t="s">
        <v>36</v>
      </c>
      <c r="BS778" s="10">
        <v>276945420320870</v>
      </c>
      <c r="BT778" s="8" t="s">
        <v>41</v>
      </c>
      <c r="BU778" s="8"/>
      <c r="BV778" s="8"/>
      <c r="BW778" s="8"/>
      <c r="BX778" s="8"/>
      <c r="BY778" s="8" t="s">
        <v>42</v>
      </c>
      <c r="BZ778" s="8" t="s">
        <v>42</v>
      </c>
      <c r="CA778" s="8" t="s">
        <v>27</v>
      </c>
      <c r="CB778" s="8" t="s">
        <v>42</v>
      </c>
      <c r="CC778" s="8" t="s">
        <v>42</v>
      </c>
      <c r="CD778" s="8"/>
      <c r="CE778" s="8"/>
      <c r="CF778" s="8" t="s">
        <v>476</v>
      </c>
      <c r="CG778" s="8" t="s">
        <v>39</v>
      </c>
    </row>
    <row r="779" spans="1:85" ht="15.75" customHeight="1" x14ac:dyDescent="0.35">
      <c r="A779" s="8">
        <v>772</v>
      </c>
      <c r="B779" s="8" t="s">
        <v>1027</v>
      </c>
      <c r="C779" s="8"/>
      <c r="D779" s="8"/>
      <c r="E779" s="8"/>
      <c r="F779" s="8"/>
      <c r="G779" s="8"/>
      <c r="H779" s="8"/>
      <c r="I779" s="9">
        <v>0</v>
      </c>
      <c r="J779" s="9">
        <v>0</v>
      </c>
      <c r="K779" s="9">
        <v>1.21E-4</v>
      </c>
      <c r="L779" s="9">
        <v>1.21E-4</v>
      </c>
      <c r="M779" s="9">
        <v>1.21E-4</v>
      </c>
      <c r="N779" s="8"/>
      <c r="O779" s="8"/>
      <c r="P779" s="8"/>
      <c r="Q779" s="8"/>
      <c r="R779" s="8"/>
      <c r="S779" s="8"/>
      <c r="T779" s="10">
        <v>0</v>
      </c>
      <c r="U779" s="10">
        <v>0</v>
      </c>
      <c r="V779" s="10">
        <v>11187600</v>
      </c>
      <c r="W779" s="10">
        <v>11187600</v>
      </c>
      <c r="X779" s="10">
        <v>11187600</v>
      </c>
      <c r="Y779" s="8"/>
      <c r="Z779" s="8"/>
      <c r="AA779" s="8"/>
      <c r="AB779" s="8"/>
      <c r="AC779" s="8"/>
      <c r="AD779" s="8"/>
      <c r="AE779" s="11">
        <v>0</v>
      </c>
      <c r="AF779" s="12">
        <v>-11187600</v>
      </c>
      <c r="AG779" s="11">
        <v>0</v>
      </c>
      <c r="AH779" s="11">
        <v>0</v>
      </c>
      <c r="AI779" s="11">
        <v>0</v>
      </c>
      <c r="AJ779" s="8"/>
      <c r="AK779" s="8"/>
      <c r="AL779" s="8"/>
      <c r="AM779" s="8"/>
      <c r="AN779" s="8"/>
      <c r="AO779" s="8"/>
      <c r="AP779" s="10">
        <v>0</v>
      </c>
      <c r="AQ779" s="10">
        <v>0</v>
      </c>
      <c r="AR779" s="10">
        <v>44750399996.400002</v>
      </c>
      <c r="AS779" s="10">
        <v>32374117508.400002</v>
      </c>
      <c r="AT779" s="10">
        <v>25880712350.25</v>
      </c>
      <c r="AU779" s="8"/>
      <c r="AV779" s="8"/>
      <c r="AW779" s="8"/>
      <c r="AX779" s="8"/>
      <c r="AY779" s="8"/>
      <c r="AZ779" s="8"/>
      <c r="BA779" s="14">
        <v>43465</v>
      </c>
      <c r="BB779" s="14">
        <v>43465</v>
      </c>
      <c r="BC779" s="14">
        <v>43100</v>
      </c>
      <c r="BD779" s="14">
        <v>42735</v>
      </c>
      <c r="BE779" s="14">
        <v>42369</v>
      </c>
      <c r="BF779" s="8"/>
      <c r="BG779" s="8"/>
      <c r="BH779" s="8"/>
      <c r="BI779" s="8"/>
      <c r="BJ779" s="8"/>
      <c r="BK779" s="8"/>
      <c r="BL779" s="8" t="s">
        <v>35</v>
      </c>
      <c r="BM779" s="8" t="s">
        <v>35</v>
      </c>
      <c r="BN779" s="8" t="s">
        <v>35</v>
      </c>
      <c r="BO779" s="8" t="s">
        <v>35</v>
      </c>
      <c r="BP779" s="8" t="s">
        <v>35</v>
      </c>
      <c r="BQ779" s="8" t="s">
        <v>31</v>
      </c>
      <c r="BR779" s="8" t="s">
        <v>49</v>
      </c>
      <c r="BS779" s="10">
        <v>0</v>
      </c>
      <c r="BT779" s="8"/>
      <c r="BU779" s="8"/>
      <c r="BV779" s="8"/>
      <c r="BW779" s="8"/>
      <c r="BX779" s="8"/>
      <c r="BY779" s="8"/>
      <c r="BZ779" s="8"/>
      <c r="CA779" s="8" t="s">
        <v>27</v>
      </c>
      <c r="CB779" s="8" t="s">
        <v>43</v>
      </c>
      <c r="CC779" s="8" t="s">
        <v>27</v>
      </c>
      <c r="CD779" s="8" t="s">
        <v>27</v>
      </c>
      <c r="CE779" s="8" t="s">
        <v>27</v>
      </c>
      <c r="CF779" s="8" t="s">
        <v>50</v>
      </c>
      <c r="CG779" s="8" t="s">
        <v>51</v>
      </c>
    </row>
    <row r="780" spans="1:85" ht="15.75" customHeight="1" x14ac:dyDescent="0.35">
      <c r="A780" s="8">
        <v>773</v>
      </c>
      <c r="B780" s="8" t="s">
        <v>1028</v>
      </c>
      <c r="C780" s="8"/>
      <c r="D780" s="8"/>
      <c r="E780" s="8"/>
      <c r="F780" s="9">
        <v>0</v>
      </c>
      <c r="G780" s="9">
        <v>0</v>
      </c>
      <c r="H780" s="9">
        <v>1.8E-5</v>
      </c>
      <c r="I780" s="9">
        <v>1.2E-5</v>
      </c>
      <c r="J780" s="8"/>
      <c r="K780" s="9">
        <v>0</v>
      </c>
      <c r="L780" s="9">
        <v>0</v>
      </c>
      <c r="M780" s="8"/>
      <c r="N780" s="8"/>
      <c r="O780" s="8"/>
      <c r="P780" s="8"/>
      <c r="Q780" s="10">
        <v>0</v>
      </c>
      <c r="R780" s="10">
        <v>0</v>
      </c>
      <c r="S780" s="10">
        <v>1699600</v>
      </c>
      <c r="T780" s="10">
        <v>1118200</v>
      </c>
      <c r="U780" s="8"/>
      <c r="V780" s="10">
        <v>0</v>
      </c>
      <c r="W780" s="10">
        <v>0</v>
      </c>
      <c r="X780" s="8"/>
      <c r="Y780" s="8"/>
      <c r="Z780" s="8"/>
      <c r="AA780" s="8"/>
      <c r="AB780" s="11">
        <v>0</v>
      </c>
      <c r="AC780" s="12">
        <v>-1699600</v>
      </c>
      <c r="AD780" s="13">
        <v>581400</v>
      </c>
      <c r="AE780" s="13">
        <v>1118200</v>
      </c>
      <c r="AF780" s="8"/>
      <c r="AG780" s="11">
        <v>0</v>
      </c>
      <c r="AH780" s="11">
        <v>0</v>
      </c>
      <c r="AI780" s="8"/>
      <c r="AJ780" s="8"/>
      <c r="AK780" s="8"/>
      <c r="AL780" s="8"/>
      <c r="AM780" s="10">
        <v>0</v>
      </c>
      <c r="AN780" s="10">
        <v>0</v>
      </c>
      <c r="AO780" s="10">
        <v>5374985007.6000004</v>
      </c>
      <c r="AP780" s="10">
        <v>4278761783.1999998</v>
      </c>
      <c r="AQ780" s="8"/>
      <c r="AR780" s="10">
        <v>0</v>
      </c>
      <c r="AS780" s="10">
        <v>0</v>
      </c>
      <c r="AT780" s="8"/>
      <c r="AU780" s="8"/>
      <c r="AV780" s="8"/>
      <c r="AW780" s="8"/>
      <c r="AX780" s="14">
        <v>44530</v>
      </c>
      <c r="AY780" s="14">
        <v>44530</v>
      </c>
      <c r="AZ780" s="14">
        <v>44196</v>
      </c>
      <c r="BA780" s="14">
        <v>43830</v>
      </c>
      <c r="BB780" s="8"/>
      <c r="BC780" s="14">
        <v>42704</v>
      </c>
      <c r="BD780" s="14">
        <v>42704</v>
      </c>
      <c r="BE780" s="8"/>
      <c r="BF780" s="8"/>
      <c r="BG780" s="8"/>
      <c r="BH780" s="8"/>
      <c r="BI780" s="8" t="s">
        <v>35</v>
      </c>
      <c r="BJ780" s="8" t="s">
        <v>35</v>
      </c>
      <c r="BK780" s="8" t="s">
        <v>35</v>
      </c>
      <c r="BL780" s="8" t="s">
        <v>35</v>
      </c>
      <c r="BM780" s="8"/>
      <c r="BN780" s="8" t="s">
        <v>35</v>
      </c>
      <c r="BO780" s="8" t="s">
        <v>35</v>
      </c>
      <c r="BP780" s="8"/>
      <c r="BQ780" s="8" t="s">
        <v>31</v>
      </c>
      <c r="BR780" s="8" t="s">
        <v>49</v>
      </c>
      <c r="BS780" s="10">
        <v>229467317592217</v>
      </c>
      <c r="BT780" s="8" t="s">
        <v>316</v>
      </c>
      <c r="BU780" s="8"/>
      <c r="BV780" s="8"/>
      <c r="BW780" s="8"/>
      <c r="BX780" s="8" t="s">
        <v>42</v>
      </c>
      <c r="BY780" s="8" t="s">
        <v>27</v>
      </c>
      <c r="BZ780" s="8" t="s">
        <v>27</v>
      </c>
      <c r="CA780" s="8" t="s">
        <v>27</v>
      </c>
      <c r="CB780" s="8"/>
      <c r="CC780" s="8" t="s">
        <v>27</v>
      </c>
      <c r="CD780" s="8" t="s">
        <v>43</v>
      </c>
      <c r="CE780" s="8"/>
      <c r="CF780" s="8" t="s">
        <v>50</v>
      </c>
      <c r="CG780" s="8" t="s">
        <v>51</v>
      </c>
    </row>
    <row r="781" spans="1:85" ht="15.75" customHeight="1" x14ac:dyDescent="0.35">
      <c r="A781" s="8">
        <v>774</v>
      </c>
      <c r="B781" s="8" t="s">
        <v>1029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>
        <v>6.9999999999999994E-5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10">
        <v>6451600</v>
      </c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11">
        <v>0</v>
      </c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10">
        <v>17288227291.200001</v>
      </c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14">
        <v>42004</v>
      </c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 t="s">
        <v>35</v>
      </c>
      <c r="BQ781" s="8" t="s">
        <v>31</v>
      </c>
      <c r="BR781" s="8" t="s">
        <v>36</v>
      </c>
      <c r="BS781" s="10">
        <v>432867906344.40002</v>
      </c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 t="s">
        <v>27</v>
      </c>
      <c r="CF781" s="8" t="s">
        <v>232</v>
      </c>
      <c r="CG781" s="8" t="s">
        <v>232</v>
      </c>
    </row>
    <row r="782" spans="1:85" ht="15.75" customHeight="1" x14ac:dyDescent="0.35">
      <c r="A782" s="8">
        <v>775</v>
      </c>
      <c r="B782" s="8" t="s">
        <v>1030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>
        <v>0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10">
        <v>0</v>
      </c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11">
        <v>0</v>
      </c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10">
        <v>0</v>
      </c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14">
        <v>42004</v>
      </c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 t="s">
        <v>35</v>
      </c>
      <c r="BQ782" s="8" t="s">
        <v>31</v>
      </c>
      <c r="BR782" s="8" t="s">
        <v>49</v>
      </c>
      <c r="BS782" s="10">
        <v>690491351435099</v>
      </c>
      <c r="BT782" s="8" t="s">
        <v>41</v>
      </c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 t="s">
        <v>27</v>
      </c>
      <c r="CF782" s="8" t="s">
        <v>120</v>
      </c>
      <c r="CG782" s="8" t="s">
        <v>51</v>
      </c>
    </row>
    <row r="783" spans="1:85" ht="15.75" customHeight="1" x14ac:dyDescent="0.35">
      <c r="A783" s="8">
        <v>776</v>
      </c>
      <c r="B783" s="8" t="s">
        <v>1031</v>
      </c>
      <c r="C783" s="8"/>
      <c r="D783" s="9">
        <v>6.9999999999999994E-5</v>
      </c>
      <c r="E783" s="9">
        <v>6.9999999999999994E-5</v>
      </c>
      <c r="F783" s="8"/>
      <c r="G783" s="9">
        <v>0</v>
      </c>
      <c r="H783" s="9">
        <v>0</v>
      </c>
      <c r="I783" s="9">
        <v>2.0000000000000002E-5</v>
      </c>
      <c r="J783" s="9">
        <v>0</v>
      </c>
      <c r="K783" s="9">
        <v>3.19E-4</v>
      </c>
      <c r="L783" s="8"/>
      <c r="M783" s="8"/>
      <c r="N783" s="8"/>
      <c r="O783" s="10">
        <v>6424300</v>
      </c>
      <c r="P783" s="10">
        <v>6424300</v>
      </c>
      <c r="Q783" s="8"/>
      <c r="R783" s="10">
        <v>0</v>
      </c>
      <c r="S783" s="10">
        <v>0</v>
      </c>
      <c r="T783" s="10">
        <v>1806800</v>
      </c>
      <c r="U783" s="10">
        <v>0</v>
      </c>
      <c r="V783" s="10">
        <v>29478000</v>
      </c>
      <c r="W783" s="8"/>
      <c r="X783" s="8"/>
      <c r="Y783" s="8"/>
      <c r="Z783" s="11">
        <v>0</v>
      </c>
      <c r="AA783" s="13">
        <v>6424300</v>
      </c>
      <c r="AB783" s="8"/>
      <c r="AC783" s="11">
        <v>0</v>
      </c>
      <c r="AD783" s="12">
        <v>-1806800</v>
      </c>
      <c r="AE783" s="13">
        <v>1806800</v>
      </c>
      <c r="AF783" s="12">
        <v>-29478000</v>
      </c>
      <c r="AG783" s="13">
        <v>29478000</v>
      </c>
      <c r="AH783" s="8"/>
      <c r="AI783" s="8"/>
      <c r="AJ783" s="8"/>
      <c r="AK783" s="10">
        <v>36457902517.199997</v>
      </c>
      <c r="AL783" s="10">
        <v>36457902517.199997</v>
      </c>
      <c r="AM783" s="8"/>
      <c r="AN783" s="10">
        <v>0</v>
      </c>
      <c r="AO783" s="10">
        <v>0</v>
      </c>
      <c r="AP783" s="10">
        <v>6913670889.1999998</v>
      </c>
      <c r="AQ783" s="10">
        <v>0</v>
      </c>
      <c r="AR783" s="10">
        <v>117911999999.55</v>
      </c>
      <c r="AS783" s="8"/>
      <c r="AT783" s="8"/>
      <c r="AU783" s="8"/>
      <c r="AV783" s="14">
        <v>45230</v>
      </c>
      <c r="AW783" s="14">
        <v>45230</v>
      </c>
      <c r="AX783" s="8"/>
      <c r="AY783" s="14">
        <v>44196</v>
      </c>
      <c r="AZ783" s="14">
        <v>44196</v>
      </c>
      <c r="BA783" s="14">
        <v>43830</v>
      </c>
      <c r="BB783" s="14">
        <v>43465</v>
      </c>
      <c r="BC783" s="14">
        <v>43100</v>
      </c>
      <c r="BD783" s="8"/>
      <c r="BE783" s="8"/>
      <c r="BF783" s="8"/>
      <c r="BG783" s="8" t="s">
        <v>35</v>
      </c>
      <c r="BH783" s="8" t="s">
        <v>35</v>
      </c>
      <c r="BI783" s="8"/>
      <c r="BJ783" s="8" t="s">
        <v>35</v>
      </c>
      <c r="BK783" s="8" t="s">
        <v>35</v>
      </c>
      <c r="BL783" s="8" t="s">
        <v>35</v>
      </c>
      <c r="BM783" s="8" t="s">
        <v>35</v>
      </c>
      <c r="BN783" s="8" t="s">
        <v>35</v>
      </c>
      <c r="BO783" s="8"/>
      <c r="BP783" s="8"/>
      <c r="BQ783" s="8" t="s">
        <v>31</v>
      </c>
      <c r="BR783" s="8" t="s">
        <v>36</v>
      </c>
      <c r="BS783" s="10">
        <v>9561509937141.5996</v>
      </c>
      <c r="BT783" s="8" t="s">
        <v>57</v>
      </c>
      <c r="BU783" s="8"/>
      <c r="BV783" s="8" t="s">
        <v>27</v>
      </c>
      <c r="BW783" s="8" t="s">
        <v>27</v>
      </c>
      <c r="BX783" s="8"/>
      <c r="BY783" s="8" t="s">
        <v>42</v>
      </c>
      <c r="BZ783" s="8" t="s">
        <v>42</v>
      </c>
      <c r="CA783" s="8" t="s">
        <v>43</v>
      </c>
      <c r="CB783" s="8" t="s">
        <v>42</v>
      </c>
      <c r="CC783" s="8" t="s">
        <v>42</v>
      </c>
      <c r="CD783" s="8"/>
      <c r="CE783" s="8"/>
      <c r="CF783" s="8" t="s">
        <v>1032</v>
      </c>
      <c r="CG783" s="8" t="s">
        <v>181</v>
      </c>
    </row>
    <row r="784" spans="1:85" ht="15.75" customHeight="1" x14ac:dyDescent="0.35">
      <c r="A784" s="8">
        <v>777</v>
      </c>
      <c r="B784" s="8" t="s">
        <v>1033</v>
      </c>
      <c r="C784" s="8"/>
      <c r="D784" s="8"/>
      <c r="E784" s="8"/>
      <c r="F784" s="8"/>
      <c r="G784" s="9">
        <v>0</v>
      </c>
      <c r="H784" s="9">
        <v>0</v>
      </c>
      <c r="I784" s="9">
        <v>1.2899999999999999E-4</v>
      </c>
      <c r="J784" s="9">
        <v>1.8100000000000001E-4</v>
      </c>
      <c r="K784" s="9">
        <v>5.7799999999999995E-4</v>
      </c>
      <c r="L784" s="9">
        <v>5.1000000000000004E-4</v>
      </c>
      <c r="M784" s="9">
        <v>5.1800000000000001E-4</v>
      </c>
      <c r="N784" s="8"/>
      <c r="O784" s="8"/>
      <c r="P784" s="8"/>
      <c r="Q784" s="8"/>
      <c r="R784" s="10">
        <v>0</v>
      </c>
      <c r="S784" s="10">
        <v>0</v>
      </c>
      <c r="T784" s="10">
        <v>11884792</v>
      </c>
      <c r="U784" s="10">
        <v>16685814</v>
      </c>
      <c r="V784" s="10">
        <v>53398692</v>
      </c>
      <c r="W784" s="10">
        <v>47146972</v>
      </c>
      <c r="X784" s="10">
        <v>47871664</v>
      </c>
      <c r="Y784" s="8"/>
      <c r="Z784" s="8"/>
      <c r="AA784" s="8"/>
      <c r="AB784" s="8"/>
      <c r="AC784" s="11">
        <v>0</v>
      </c>
      <c r="AD784" s="12">
        <v>-11884792</v>
      </c>
      <c r="AE784" s="12">
        <v>-4801022</v>
      </c>
      <c r="AF784" s="12">
        <v>-36712878</v>
      </c>
      <c r="AG784" s="13">
        <v>6251720</v>
      </c>
      <c r="AH784" s="12">
        <v>-724692</v>
      </c>
      <c r="AI784" s="13">
        <v>11798688</v>
      </c>
      <c r="AJ784" s="8"/>
      <c r="AK784" s="8"/>
      <c r="AL784" s="8"/>
      <c r="AM784" s="8"/>
      <c r="AN784" s="10">
        <v>0</v>
      </c>
      <c r="AO784" s="10">
        <v>0</v>
      </c>
      <c r="AP784" s="10">
        <v>45476832160.400002</v>
      </c>
      <c r="AQ784" s="10">
        <v>60768017818.75</v>
      </c>
      <c r="AR784" s="10">
        <v>213594768082.5</v>
      </c>
      <c r="AS784" s="10">
        <v>136431550315.5</v>
      </c>
      <c r="AT784" s="10">
        <v>110743391183.85001</v>
      </c>
      <c r="AU784" s="8"/>
      <c r="AV784" s="8"/>
      <c r="AW784" s="8"/>
      <c r="AX784" s="8"/>
      <c r="AY784" s="14">
        <v>44012</v>
      </c>
      <c r="AZ784" s="14">
        <v>44012</v>
      </c>
      <c r="BA784" s="14">
        <v>43830</v>
      </c>
      <c r="BB784" s="14">
        <v>43465</v>
      </c>
      <c r="BC784" s="14">
        <v>43100</v>
      </c>
      <c r="BD784" s="14">
        <v>42735</v>
      </c>
      <c r="BE784" s="14">
        <v>42369</v>
      </c>
      <c r="BF784" s="8"/>
      <c r="BG784" s="8"/>
      <c r="BH784" s="8"/>
      <c r="BI784" s="8"/>
      <c r="BJ784" s="8" t="s">
        <v>35</v>
      </c>
      <c r="BK784" s="8" t="s">
        <v>35</v>
      </c>
      <c r="BL784" s="8" t="s">
        <v>35</v>
      </c>
      <c r="BM784" s="8" t="s">
        <v>35</v>
      </c>
      <c r="BN784" s="8" t="s">
        <v>35</v>
      </c>
      <c r="BO784" s="8" t="s">
        <v>35</v>
      </c>
      <c r="BP784" s="8" t="s">
        <v>35</v>
      </c>
      <c r="BQ784" s="8" t="s">
        <v>31</v>
      </c>
      <c r="BR784" s="8" t="s">
        <v>36</v>
      </c>
      <c r="BS784" s="10">
        <v>83726266971.600006</v>
      </c>
      <c r="BT784" s="8"/>
      <c r="BU784" s="8"/>
      <c r="BV784" s="8"/>
      <c r="BW784" s="8"/>
      <c r="BX784" s="8"/>
      <c r="BY784" s="8"/>
      <c r="BZ784" s="8" t="s">
        <v>43</v>
      </c>
      <c r="CA784" s="8" t="s">
        <v>42</v>
      </c>
      <c r="CB784" s="8" t="s">
        <v>42</v>
      </c>
      <c r="CC784" s="8" t="s">
        <v>27</v>
      </c>
      <c r="CD784" s="8" t="s">
        <v>27</v>
      </c>
      <c r="CE784" s="8" t="s">
        <v>27</v>
      </c>
      <c r="CF784" s="8" t="s">
        <v>114</v>
      </c>
      <c r="CG784" s="8" t="s">
        <v>115</v>
      </c>
    </row>
    <row r="785" spans="1:85" ht="15.75" hidden="1" customHeight="1" x14ac:dyDescent="0.35">
      <c r="A785" s="8">
        <v>778</v>
      </c>
      <c r="B785" s="8" t="s">
        <v>1034</v>
      </c>
      <c r="C785" s="8"/>
      <c r="D785" s="8"/>
      <c r="E785" s="8"/>
      <c r="F785" s="8"/>
      <c r="G785" s="8"/>
      <c r="H785" s="8"/>
      <c r="I785" s="9">
        <v>5.0000000000000004E-6</v>
      </c>
      <c r="J785" s="9">
        <v>9.9999999999999995E-7</v>
      </c>
      <c r="K785" s="8"/>
      <c r="L785" s="8"/>
      <c r="M785" s="8"/>
      <c r="N785" s="8"/>
      <c r="O785" s="8"/>
      <c r="P785" s="8"/>
      <c r="Q785" s="8"/>
      <c r="R785" s="8"/>
      <c r="S785" s="8"/>
      <c r="T785" s="10">
        <v>499800</v>
      </c>
      <c r="U785" s="10">
        <v>78800</v>
      </c>
      <c r="V785" s="8"/>
      <c r="W785" s="8"/>
      <c r="X785" s="8"/>
      <c r="Y785" s="8"/>
      <c r="Z785" s="8"/>
      <c r="AA785" s="8"/>
      <c r="AB785" s="8"/>
      <c r="AC785" s="8"/>
      <c r="AD785" s="8"/>
      <c r="AE785" s="13">
        <v>421000</v>
      </c>
      <c r="AF785" s="13">
        <v>78800</v>
      </c>
      <c r="AG785" s="8"/>
      <c r="AH785" s="8"/>
      <c r="AI785" s="8"/>
      <c r="AJ785" s="8"/>
      <c r="AK785" s="8"/>
      <c r="AL785" s="8"/>
      <c r="AM785" s="8"/>
      <c r="AN785" s="8"/>
      <c r="AO785" s="8"/>
      <c r="AP785" s="10">
        <v>1912471068</v>
      </c>
      <c r="AQ785" s="10">
        <v>286981493.75</v>
      </c>
      <c r="AR785" s="8"/>
      <c r="AS785" s="8"/>
      <c r="AT785" s="8"/>
      <c r="AU785" s="8"/>
      <c r="AV785" s="8"/>
      <c r="AW785" s="8"/>
      <c r="AX785" s="8"/>
      <c r="AY785" s="8"/>
      <c r="AZ785" s="8"/>
      <c r="BA785" s="14">
        <v>43830</v>
      </c>
      <c r="BB785" s="14">
        <v>43465</v>
      </c>
      <c r="BC785" s="8"/>
      <c r="BD785" s="8"/>
      <c r="BE785" s="8"/>
      <c r="BF785" s="8"/>
      <c r="BG785" s="8"/>
      <c r="BH785" s="8"/>
      <c r="BI785" s="8"/>
      <c r="BJ785" s="8"/>
      <c r="BK785" s="8"/>
      <c r="BL785" s="8" t="s">
        <v>201</v>
      </c>
      <c r="BM785" s="8" t="s">
        <v>201</v>
      </c>
      <c r="BN785" s="8"/>
      <c r="BO785" s="8"/>
      <c r="BP785" s="8"/>
      <c r="BQ785" s="8" t="s">
        <v>25</v>
      </c>
      <c r="BR785" s="8" t="s">
        <v>202</v>
      </c>
      <c r="BS785" s="10">
        <v>2298272148</v>
      </c>
      <c r="BT785" s="8"/>
      <c r="BU785" s="8"/>
      <c r="BV785" s="8"/>
      <c r="BW785" s="8"/>
      <c r="BX785" s="8"/>
      <c r="BY785" s="8"/>
      <c r="BZ785" s="8"/>
      <c r="CA785" s="8" t="s">
        <v>42</v>
      </c>
      <c r="CB785" s="8" t="s">
        <v>27</v>
      </c>
      <c r="CC785" s="8"/>
      <c r="CD785" s="8"/>
      <c r="CE785" s="8"/>
      <c r="CF785" s="8"/>
      <c r="CG785" s="8" t="s">
        <v>29</v>
      </c>
    </row>
    <row r="786" spans="1:85" ht="15.75" customHeight="1" x14ac:dyDescent="0.35">
      <c r="A786" s="8">
        <v>779</v>
      </c>
      <c r="B786" s="8" t="s">
        <v>1035</v>
      </c>
      <c r="C786" s="8"/>
      <c r="D786" s="8"/>
      <c r="E786" s="8"/>
      <c r="F786" s="8"/>
      <c r="G786" s="8"/>
      <c r="H786" s="8"/>
      <c r="I786" s="8"/>
      <c r="J786" s="9">
        <v>4.6999999999999997E-5</v>
      </c>
      <c r="K786" s="9">
        <v>4.6999999999999997E-5</v>
      </c>
      <c r="L786" s="9">
        <v>5.5000000000000002E-5</v>
      </c>
      <c r="M786" s="9">
        <v>1.0399999999999999E-4</v>
      </c>
      <c r="N786" s="8"/>
      <c r="O786" s="8"/>
      <c r="P786" s="8"/>
      <c r="Q786" s="8"/>
      <c r="R786" s="8"/>
      <c r="S786" s="8"/>
      <c r="T786" s="8"/>
      <c r="U786" s="10">
        <v>4313200</v>
      </c>
      <c r="V786" s="10">
        <v>4313200</v>
      </c>
      <c r="W786" s="10">
        <v>5087200</v>
      </c>
      <c r="X786" s="10">
        <v>9634800</v>
      </c>
      <c r="Y786" s="8"/>
      <c r="Z786" s="8"/>
      <c r="AA786" s="8"/>
      <c r="AB786" s="8"/>
      <c r="AC786" s="8"/>
      <c r="AD786" s="8"/>
      <c r="AE786" s="8"/>
      <c r="AF786" s="11">
        <v>0</v>
      </c>
      <c r="AG786" s="12">
        <v>-774000</v>
      </c>
      <c r="AH786" s="12">
        <v>-4547600</v>
      </c>
      <c r="AI786" s="11">
        <v>0</v>
      </c>
      <c r="AJ786" s="8"/>
      <c r="AK786" s="8"/>
      <c r="AL786" s="8"/>
      <c r="AM786" s="8"/>
      <c r="AN786" s="8"/>
      <c r="AO786" s="8"/>
      <c r="AP786" s="8"/>
      <c r="AQ786" s="10">
        <v>12616109966.57</v>
      </c>
      <c r="AR786" s="10">
        <v>12616109966.57</v>
      </c>
      <c r="AS786" s="10">
        <v>14721084979.200001</v>
      </c>
      <c r="AT786" s="10">
        <v>22288559428.950001</v>
      </c>
      <c r="AU786" s="8"/>
      <c r="AV786" s="8"/>
      <c r="AW786" s="8"/>
      <c r="AX786" s="8"/>
      <c r="AY786" s="8"/>
      <c r="AZ786" s="8"/>
      <c r="BA786" s="8"/>
      <c r="BB786" s="14">
        <v>42855</v>
      </c>
      <c r="BC786" s="14">
        <v>42855</v>
      </c>
      <c r="BD786" s="14">
        <v>42735</v>
      </c>
      <c r="BE786" s="14">
        <v>42369</v>
      </c>
      <c r="BF786" s="8"/>
      <c r="BG786" s="8"/>
      <c r="BH786" s="8"/>
      <c r="BI786" s="8"/>
      <c r="BJ786" s="8"/>
      <c r="BK786" s="8"/>
      <c r="BL786" s="8"/>
      <c r="BM786" s="8" t="s">
        <v>35</v>
      </c>
      <c r="BN786" s="8" t="s">
        <v>35</v>
      </c>
      <c r="BO786" s="8" t="s">
        <v>35</v>
      </c>
      <c r="BP786" s="8" t="s">
        <v>35</v>
      </c>
      <c r="BQ786" s="8" t="s">
        <v>1036</v>
      </c>
      <c r="BR786" s="8" t="s">
        <v>1037</v>
      </c>
      <c r="BS786" s="10">
        <v>600466647760747</v>
      </c>
      <c r="BT786" s="8" t="s">
        <v>1038</v>
      </c>
      <c r="BU786" s="8"/>
      <c r="BV786" s="8"/>
      <c r="BW786" s="8"/>
      <c r="BX786" s="8"/>
      <c r="BY786" s="8"/>
      <c r="BZ786" s="8"/>
      <c r="CA786" s="8"/>
      <c r="CB786" s="8" t="s">
        <v>27</v>
      </c>
      <c r="CC786" s="8" t="s">
        <v>27</v>
      </c>
      <c r="CD786" s="8" t="s">
        <v>42</v>
      </c>
      <c r="CE786" s="8" t="s">
        <v>43</v>
      </c>
      <c r="CF786" s="8" t="s">
        <v>80</v>
      </c>
      <c r="CG786" s="8" t="s">
        <v>39</v>
      </c>
    </row>
    <row r="787" spans="1:85" ht="15.75" customHeight="1" x14ac:dyDescent="0.35">
      <c r="A787" s="8">
        <v>780</v>
      </c>
      <c r="B787" s="8" t="s">
        <v>1039</v>
      </c>
      <c r="C787" s="8"/>
      <c r="D787" s="9">
        <v>0</v>
      </c>
      <c r="E787" s="9">
        <v>0</v>
      </c>
      <c r="F787" s="9">
        <v>3.0000000000000001E-6</v>
      </c>
      <c r="G787" s="9">
        <v>5.0000000000000004E-6</v>
      </c>
      <c r="H787" s="9">
        <v>1.9999999999999999E-6</v>
      </c>
      <c r="I787" s="8"/>
      <c r="J787" s="8"/>
      <c r="K787" s="9">
        <v>1.9999999999999999E-6</v>
      </c>
      <c r="L787" s="9">
        <v>1.9999999999999999E-6</v>
      </c>
      <c r="M787" s="9">
        <v>9.9999999999999995E-7</v>
      </c>
      <c r="N787" s="8"/>
      <c r="O787" s="10">
        <v>0</v>
      </c>
      <c r="P787" s="10">
        <v>0</v>
      </c>
      <c r="Q787" s="10">
        <v>304948</v>
      </c>
      <c r="R787" s="10">
        <v>448214</v>
      </c>
      <c r="S787" s="10">
        <v>156502</v>
      </c>
      <c r="T787" s="8"/>
      <c r="U787" s="8"/>
      <c r="V787" s="10">
        <v>222400</v>
      </c>
      <c r="W787" s="10">
        <v>222400</v>
      </c>
      <c r="X787" s="10">
        <v>116400</v>
      </c>
      <c r="Y787" s="8"/>
      <c r="Z787" s="11">
        <v>0</v>
      </c>
      <c r="AA787" s="12">
        <v>-304948</v>
      </c>
      <c r="AB787" s="12">
        <v>-143266</v>
      </c>
      <c r="AC787" s="13">
        <v>291712</v>
      </c>
      <c r="AD787" s="13">
        <v>156502</v>
      </c>
      <c r="AE787" s="8"/>
      <c r="AF787" s="8"/>
      <c r="AG787" s="11">
        <v>0</v>
      </c>
      <c r="AH787" s="13">
        <v>106000</v>
      </c>
      <c r="AI787" s="11">
        <v>0</v>
      </c>
      <c r="AJ787" s="8"/>
      <c r="AK787" s="10">
        <v>0</v>
      </c>
      <c r="AL787" s="10">
        <v>0</v>
      </c>
      <c r="AM787" s="10">
        <v>1513304478.95</v>
      </c>
      <c r="AN787" s="10">
        <v>1572696262.5</v>
      </c>
      <c r="AO787" s="10">
        <v>494937518.39999998</v>
      </c>
      <c r="AP787" s="8"/>
      <c r="AQ787" s="8"/>
      <c r="AR787" s="10">
        <v>622720002.05999994</v>
      </c>
      <c r="AS787" s="10">
        <v>622720002.05999994</v>
      </c>
      <c r="AT787" s="10">
        <v>269272605.89999998</v>
      </c>
      <c r="AU787" s="8"/>
      <c r="AV787" s="14">
        <v>45169</v>
      </c>
      <c r="AW787" s="14">
        <v>45169</v>
      </c>
      <c r="AX787" s="14">
        <v>44926</v>
      </c>
      <c r="AY787" s="14">
        <v>44561</v>
      </c>
      <c r="AZ787" s="14">
        <v>44196</v>
      </c>
      <c r="BA787" s="8"/>
      <c r="BB787" s="8"/>
      <c r="BC787" s="14">
        <v>42643</v>
      </c>
      <c r="BD787" s="14">
        <v>42643</v>
      </c>
      <c r="BE787" s="14">
        <v>42369</v>
      </c>
      <c r="BF787" s="8"/>
      <c r="BG787" s="8" t="s">
        <v>35</v>
      </c>
      <c r="BH787" s="8" t="s">
        <v>35</v>
      </c>
      <c r="BI787" s="8" t="s">
        <v>35</v>
      </c>
      <c r="BJ787" s="8" t="s">
        <v>35</v>
      </c>
      <c r="BK787" s="8" t="s">
        <v>35</v>
      </c>
      <c r="BL787" s="8"/>
      <c r="BM787" s="8"/>
      <c r="BN787" s="8" t="s">
        <v>35</v>
      </c>
      <c r="BO787" s="8" t="s">
        <v>35</v>
      </c>
      <c r="BP787" s="8" t="s">
        <v>35</v>
      </c>
      <c r="BQ787" s="8" t="s">
        <v>31</v>
      </c>
      <c r="BR787" s="8" t="s">
        <v>36</v>
      </c>
      <c r="BS787" s="10">
        <v>100479256913210</v>
      </c>
      <c r="BT787" s="8" t="s">
        <v>61</v>
      </c>
      <c r="BU787" s="8"/>
      <c r="BV787" s="8" t="s">
        <v>27</v>
      </c>
      <c r="BW787" s="8" t="s">
        <v>27</v>
      </c>
      <c r="BX787" s="8" t="s">
        <v>42</v>
      </c>
      <c r="BY787" s="8" t="s">
        <v>42</v>
      </c>
      <c r="BZ787" s="8" t="s">
        <v>43</v>
      </c>
      <c r="CA787" s="8"/>
      <c r="CB787" s="8"/>
      <c r="CC787" s="8" t="s">
        <v>27</v>
      </c>
      <c r="CD787" s="8" t="s">
        <v>27</v>
      </c>
      <c r="CE787" s="8" t="s">
        <v>27</v>
      </c>
      <c r="CF787" s="8" t="s">
        <v>171</v>
      </c>
      <c r="CG787" s="8" t="s">
        <v>39</v>
      </c>
    </row>
    <row r="788" spans="1:85" ht="15.75" hidden="1" customHeight="1" x14ac:dyDescent="0.35">
      <c r="A788" s="8">
        <v>781</v>
      </c>
      <c r="B788" s="8" t="s">
        <v>1040</v>
      </c>
      <c r="C788" s="8"/>
      <c r="D788" s="8"/>
      <c r="E788" s="8"/>
      <c r="F788" s="8"/>
      <c r="G788" s="8"/>
      <c r="H788" s="8"/>
      <c r="I788" s="9">
        <v>1.7E-5</v>
      </c>
      <c r="J788" s="9">
        <v>6.0000000000000002E-6</v>
      </c>
      <c r="K788" s="8"/>
      <c r="L788" s="8"/>
      <c r="M788" s="8"/>
      <c r="N788" s="8"/>
      <c r="O788" s="8"/>
      <c r="P788" s="8"/>
      <c r="Q788" s="8"/>
      <c r="R788" s="8"/>
      <c r="S788" s="8"/>
      <c r="T788" s="10">
        <v>1578000</v>
      </c>
      <c r="U788" s="10">
        <v>538200</v>
      </c>
      <c r="V788" s="8"/>
      <c r="W788" s="8"/>
      <c r="X788" s="8"/>
      <c r="Y788" s="8"/>
      <c r="Z788" s="8"/>
      <c r="AA788" s="8"/>
      <c r="AB788" s="8"/>
      <c r="AC788" s="8"/>
      <c r="AD788" s="8"/>
      <c r="AE788" s="13">
        <v>1039800</v>
      </c>
      <c r="AF788" s="13">
        <v>538200</v>
      </c>
      <c r="AG788" s="8"/>
      <c r="AH788" s="8"/>
      <c r="AI788" s="8"/>
      <c r="AJ788" s="8"/>
      <c r="AK788" s="8"/>
      <c r="AL788" s="8"/>
      <c r="AM788" s="8"/>
      <c r="AN788" s="8"/>
      <c r="AO788" s="8"/>
      <c r="AP788" s="10">
        <v>6038173927.1999998</v>
      </c>
      <c r="AQ788" s="10">
        <v>1960069056.25</v>
      </c>
      <c r="AR788" s="8"/>
      <c r="AS788" s="8"/>
      <c r="AT788" s="8"/>
      <c r="AU788" s="8"/>
      <c r="AV788" s="8"/>
      <c r="AW788" s="8"/>
      <c r="AX788" s="8"/>
      <c r="AY788" s="8"/>
      <c r="AZ788" s="8"/>
      <c r="BA788" s="14">
        <v>43830</v>
      </c>
      <c r="BB788" s="14">
        <v>43465</v>
      </c>
      <c r="BC788" s="8"/>
      <c r="BD788" s="8"/>
      <c r="BE788" s="8"/>
      <c r="BF788" s="8"/>
      <c r="BG788" s="8"/>
      <c r="BH788" s="8"/>
      <c r="BI788" s="8"/>
      <c r="BJ788" s="8"/>
      <c r="BK788" s="8"/>
      <c r="BL788" s="8" t="s">
        <v>201</v>
      </c>
      <c r="BM788" s="8" t="s">
        <v>201</v>
      </c>
      <c r="BN788" s="8"/>
      <c r="BO788" s="8"/>
      <c r="BP788" s="8"/>
      <c r="BQ788" s="8" t="s">
        <v>25</v>
      </c>
      <c r="BR788" s="8" t="s">
        <v>202</v>
      </c>
      <c r="BS788" s="10">
        <v>6462066187.1999998</v>
      </c>
      <c r="BT788" s="8"/>
      <c r="BU788" s="8"/>
      <c r="BV788" s="8"/>
      <c r="BW788" s="8"/>
      <c r="BX788" s="8"/>
      <c r="BY788" s="8"/>
      <c r="BZ788" s="8"/>
      <c r="CA788" s="8" t="s">
        <v>42</v>
      </c>
      <c r="CB788" s="8" t="s">
        <v>27</v>
      </c>
      <c r="CC788" s="8"/>
      <c r="CD788" s="8"/>
      <c r="CE788" s="8"/>
      <c r="CF788" s="8"/>
      <c r="CG788" s="8" t="s">
        <v>29</v>
      </c>
    </row>
    <row r="789" spans="1:85" ht="15.75" customHeight="1" x14ac:dyDescent="0.35">
      <c r="A789" s="8">
        <v>782</v>
      </c>
      <c r="B789" s="8" t="s">
        <v>1041</v>
      </c>
      <c r="C789" s="8"/>
      <c r="D789" s="8"/>
      <c r="E789" s="8"/>
      <c r="F789" s="9">
        <v>0</v>
      </c>
      <c r="G789" s="9">
        <v>0</v>
      </c>
      <c r="H789" s="9">
        <v>1.2E-5</v>
      </c>
      <c r="I789" s="8"/>
      <c r="J789" s="8"/>
      <c r="K789" s="8"/>
      <c r="L789" s="8"/>
      <c r="M789" s="8"/>
      <c r="N789" s="8"/>
      <c r="O789" s="8"/>
      <c r="P789" s="8"/>
      <c r="Q789" s="10">
        <v>0</v>
      </c>
      <c r="R789" s="10">
        <v>0</v>
      </c>
      <c r="S789" s="10">
        <v>1129952</v>
      </c>
      <c r="T789" s="8"/>
      <c r="U789" s="8"/>
      <c r="V789" s="8"/>
      <c r="W789" s="8"/>
      <c r="X789" s="8"/>
      <c r="Y789" s="8"/>
      <c r="Z789" s="8"/>
      <c r="AA789" s="8"/>
      <c r="AB789" s="11">
        <v>0</v>
      </c>
      <c r="AC789" s="12">
        <v>-1129952</v>
      </c>
      <c r="AD789" s="13">
        <v>1129952</v>
      </c>
      <c r="AE789" s="8"/>
      <c r="AF789" s="8"/>
      <c r="AG789" s="8"/>
      <c r="AH789" s="8"/>
      <c r="AI789" s="8"/>
      <c r="AJ789" s="8"/>
      <c r="AK789" s="8"/>
      <c r="AL789" s="8"/>
      <c r="AM789" s="10">
        <v>0</v>
      </c>
      <c r="AN789" s="10">
        <v>0</v>
      </c>
      <c r="AO789" s="10">
        <v>3573473155.1999998</v>
      </c>
      <c r="AP789" s="8"/>
      <c r="AQ789" s="8"/>
      <c r="AR789" s="8"/>
      <c r="AS789" s="8"/>
      <c r="AT789" s="8"/>
      <c r="AU789" s="8"/>
      <c r="AV789" s="8"/>
      <c r="AW789" s="8"/>
      <c r="AX789" s="14">
        <v>44500</v>
      </c>
      <c r="AY789" s="14">
        <v>44500</v>
      </c>
      <c r="AZ789" s="14">
        <v>44196</v>
      </c>
      <c r="BA789" s="8"/>
      <c r="BB789" s="8"/>
      <c r="BC789" s="8"/>
      <c r="BD789" s="8"/>
      <c r="BE789" s="8"/>
      <c r="BF789" s="8"/>
      <c r="BG789" s="8"/>
      <c r="BH789" s="8"/>
      <c r="BI789" s="8" t="s">
        <v>35</v>
      </c>
      <c r="BJ789" s="8" t="s">
        <v>35</v>
      </c>
      <c r="BK789" s="8" t="s">
        <v>35</v>
      </c>
      <c r="BL789" s="8"/>
      <c r="BM789" s="8"/>
      <c r="BN789" s="8"/>
      <c r="BO789" s="8"/>
      <c r="BP789" s="8"/>
      <c r="BQ789" s="8" t="s">
        <v>31</v>
      </c>
      <c r="BR789" s="8" t="s">
        <v>49</v>
      </c>
      <c r="BS789" s="10">
        <v>59504205979.199997</v>
      </c>
      <c r="BT789" s="8" t="s">
        <v>37</v>
      </c>
      <c r="BU789" s="8"/>
      <c r="BV789" s="8"/>
      <c r="BW789" s="8"/>
      <c r="BX789" s="8" t="s">
        <v>27</v>
      </c>
      <c r="BY789" s="8" t="s">
        <v>27</v>
      </c>
      <c r="BZ789" s="8" t="s">
        <v>42</v>
      </c>
      <c r="CA789" s="8"/>
      <c r="CB789" s="8"/>
      <c r="CC789" s="8"/>
      <c r="CD789" s="8"/>
      <c r="CE789" s="8"/>
      <c r="CF789" s="8" t="s">
        <v>82</v>
      </c>
      <c r="CG789" s="8" t="s">
        <v>39</v>
      </c>
    </row>
    <row r="790" spans="1:85" ht="15.75" customHeight="1" x14ac:dyDescent="0.35">
      <c r="A790" s="8">
        <v>783</v>
      </c>
      <c r="B790" s="8" t="s">
        <v>1042</v>
      </c>
      <c r="C790" s="8"/>
      <c r="D790" s="8"/>
      <c r="E790" s="8"/>
      <c r="F790" s="8"/>
      <c r="G790" s="8"/>
      <c r="H790" s="8"/>
      <c r="I790" s="9">
        <v>6.4999999999999994E-5</v>
      </c>
      <c r="J790" s="9">
        <v>6.4999999999999994E-5</v>
      </c>
      <c r="K790" s="9">
        <v>2.9E-5</v>
      </c>
      <c r="L790" s="8"/>
      <c r="M790" s="8"/>
      <c r="N790" s="8"/>
      <c r="O790" s="8"/>
      <c r="P790" s="8"/>
      <c r="Q790" s="8"/>
      <c r="R790" s="8"/>
      <c r="S790" s="8"/>
      <c r="T790" s="10">
        <v>6015600</v>
      </c>
      <c r="U790" s="10">
        <v>6015600</v>
      </c>
      <c r="V790" s="10">
        <v>2695600</v>
      </c>
      <c r="W790" s="8"/>
      <c r="X790" s="8"/>
      <c r="Y790" s="8"/>
      <c r="Z790" s="8"/>
      <c r="AA790" s="8"/>
      <c r="AB790" s="8"/>
      <c r="AC790" s="8"/>
      <c r="AD790" s="8"/>
      <c r="AE790" s="11">
        <v>0</v>
      </c>
      <c r="AF790" s="13">
        <v>3320000</v>
      </c>
      <c r="AG790" s="13">
        <v>2695600</v>
      </c>
      <c r="AH790" s="8"/>
      <c r="AI790" s="8"/>
      <c r="AJ790" s="8"/>
      <c r="AK790" s="8"/>
      <c r="AL790" s="8"/>
      <c r="AM790" s="8"/>
      <c r="AN790" s="8"/>
      <c r="AO790" s="8"/>
      <c r="AP790" s="10">
        <v>21908196325</v>
      </c>
      <c r="AQ790" s="10">
        <v>21908196325</v>
      </c>
      <c r="AR790" s="10">
        <v>10782400019.75</v>
      </c>
      <c r="AS790" s="8"/>
      <c r="AT790" s="8"/>
      <c r="AU790" s="8"/>
      <c r="AV790" s="8"/>
      <c r="AW790" s="8"/>
      <c r="AX790" s="8"/>
      <c r="AY790" s="8"/>
      <c r="AZ790" s="8"/>
      <c r="BA790" s="14">
        <v>43465</v>
      </c>
      <c r="BB790" s="14">
        <v>43465</v>
      </c>
      <c r="BC790" s="14">
        <v>43100</v>
      </c>
      <c r="BD790" s="8"/>
      <c r="BE790" s="8"/>
      <c r="BF790" s="8"/>
      <c r="BG790" s="8"/>
      <c r="BH790" s="8"/>
      <c r="BI790" s="8"/>
      <c r="BJ790" s="8"/>
      <c r="BK790" s="8"/>
      <c r="BL790" s="8" t="s">
        <v>35</v>
      </c>
      <c r="BM790" s="8" t="s">
        <v>35</v>
      </c>
      <c r="BN790" s="8" t="s">
        <v>35</v>
      </c>
      <c r="BO790" s="8"/>
      <c r="BP790" s="8"/>
      <c r="BQ790" s="8" t="s">
        <v>31</v>
      </c>
      <c r="BR790" s="8" t="s">
        <v>36</v>
      </c>
      <c r="BS790" s="10">
        <v>4592858958753.5996</v>
      </c>
      <c r="BT790" s="8"/>
      <c r="BU790" s="8"/>
      <c r="BV790" s="8"/>
      <c r="BW790" s="8"/>
      <c r="BX790" s="8"/>
      <c r="BY790" s="8"/>
      <c r="BZ790" s="8"/>
      <c r="CA790" s="8" t="s">
        <v>27</v>
      </c>
      <c r="CB790" s="8" t="s">
        <v>27</v>
      </c>
      <c r="CC790" s="8" t="s">
        <v>27</v>
      </c>
      <c r="CD790" s="8"/>
      <c r="CE790" s="8"/>
      <c r="CF790" s="8" t="s">
        <v>212</v>
      </c>
      <c r="CG790" s="8" t="s">
        <v>213</v>
      </c>
    </row>
    <row r="791" spans="1:85" ht="15.75" customHeight="1" x14ac:dyDescent="0.35">
      <c r="A791" s="8">
        <v>784</v>
      </c>
      <c r="B791" s="8" t="s">
        <v>1043</v>
      </c>
      <c r="C791" s="8"/>
      <c r="D791" s="8"/>
      <c r="E791" s="8"/>
      <c r="F791" s="8"/>
      <c r="G791" s="8"/>
      <c r="H791" s="8"/>
      <c r="I791" s="8"/>
      <c r="J791" s="8"/>
      <c r="K791" s="9">
        <v>0</v>
      </c>
      <c r="L791" s="9">
        <v>0</v>
      </c>
      <c r="M791" s="9">
        <v>4.1E-5</v>
      </c>
      <c r="N791" s="8"/>
      <c r="O791" s="8"/>
      <c r="P791" s="8"/>
      <c r="Q791" s="8"/>
      <c r="R791" s="8"/>
      <c r="S791" s="8"/>
      <c r="T791" s="8"/>
      <c r="U791" s="8"/>
      <c r="V791" s="10">
        <v>0</v>
      </c>
      <c r="W791" s="10">
        <v>0</v>
      </c>
      <c r="X791" s="10">
        <v>3809000</v>
      </c>
      <c r="Y791" s="8"/>
      <c r="Z791" s="8"/>
      <c r="AA791" s="8"/>
      <c r="AB791" s="8"/>
      <c r="AC791" s="8"/>
      <c r="AD791" s="8"/>
      <c r="AE791" s="8"/>
      <c r="AF791" s="8"/>
      <c r="AG791" s="11">
        <v>0</v>
      </c>
      <c r="AH791" s="12">
        <v>-3809000</v>
      </c>
      <c r="AI791" s="11">
        <v>0</v>
      </c>
      <c r="AJ791" s="8"/>
      <c r="AK791" s="8"/>
      <c r="AL791" s="8"/>
      <c r="AM791" s="8"/>
      <c r="AN791" s="8"/>
      <c r="AO791" s="8"/>
      <c r="AP791" s="8"/>
      <c r="AQ791" s="8"/>
      <c r="AR791" s="10">
        <v>0</v>
      </c>
      <c r="AS791" s="10">
        <v>0</v>
      </c>
      <c r="AT791" s="10">
        <v>7546581241.1499996</v>
      </c>
      <c r="AU791" s="8"/>
      <c r="AV791" s="8"/>
      <c r="AW791" s="8"/>
      <c r="AX791" s="8"/>
      <c r="AY791" s="8"/>
      <c r="AZ791" s="8"/>
      <c r="BA791" s="8"/>
      <c r="BB791" s="8"/>
      <c r="BC791" s="14">
        <v>42643</v>
      </c>
      <c r="BD791" s="14">
        <v>42643</v>
      </c>
      <c r="BE791" s="14">
        <v>42277</v>
      </c>
      <c r="BF791" s="8"/>
      <c r="BG791" s="8"/>
      <c r="BH791" s="8"/>
      <c r="BI791" s="8"/>
      <c r="BJ791" s="8"/>
      <c r="BK791" s="8"/>
      <c r="BL791" s="8"/>
      <c r="BM791" s="8"/>
      <c r="BN791" s="8" t="s">
        <v>35</v>
      </c>
      <c r="BO791" s="8" t="s">
        <v>35</v>
      </c>
      <c r="BP791" s="8" t="s">
        <v>35</v>
      </c>
      <c r="BQ791" s="8" t="s">
        <v>31</v>
      </c>
      <c r="BR791" s="8" t="s">
        <v>49</v>
      </c>
      <c r="BS791" s="10">
        <v>604332032662.80005</v>
      </c>
      <c r="BT791" s="8" t="s">
        <v>101</v>
      </c>
      <c r="BU791" s="8"/>
      <c r="BV791" s="8"/>
      <c r="BW791" s="8"/>
      <c r="BX791" s="8"/>
      <c r="BY791" s="8"/>
      <c r="BZ791" s="8"/>
      <c r="CA791" s="8"/>
      <c r="CB791" s="8"/>
      <c r="CC791" s="8" t="s">
        <v>43</v>
      </c>
      <c r="CD791" s="8" t="s">
        <v>43</v>
      </c>
      <c r="CE791" s="8" t="s">
        <v>43</v>
      </c>
      <c r="CF791" s="8" t="s">
        <v>82</v>
      </c>
      <c r="CG791" s="8" t="s">
        <v>39</v>
      </c>
    </row>
    <row r="792" spans="1:85" ht="15.75" customHeight="1" x14ac:dyDescent="0.35">
      <c r="A792" s="8">
        <v>785</v>
      </c>
      <c r="B792" s="8" t="s">
        <v>1044</v>
      </c>
      <c r="C792" s="8"/>
      <c r="D792" s="8"/>
      <c r="E792" s="9">
        <v>0</v>
      </c>
      <c r="F792" s="9">
        <v>0</v>
      </c>
      <c r="G792" s="9">
        <v>0</v>
      </c>
      <c r="H792" s="8"/>
      <c r="I792" s="8"/>
      <c r="J792" s="8"/>
      <c r="K792" s="8"/>
      <c r="L792" s="8"/>
      <c r="M792" s="8"/>
      <c r="N792" s="8"/>
      <c r="O792" s="8"/>
      <c r="P792" s="10">
        <v>0</v>
      </c>
      <c r="Q792" s="10">
        <v>0</v>
      </c>
      <c r="R792" s="10">
        <v>4824</v>
      </c>
      <c r="S792" s="8"/>
      <c r="T792" s="8"/>
      <c r="U792" s="8"/>
      <c r="V792" s="8"/>
      <c r="W792" s="8"/>
      <c r="X792" s="8"/>
      <c r="Y792" s="8"/>
      <c r="Z792" s="8"/>
      <c r="AA792" s="11">
        <v>0</v>
      </c>
      <c r="AB792" s="12">
        <v>-4824</v>
      </c>
      <c r="AC792" s="13">
        <v>4824</v>
      </c>
      <c r="AD792" s="8"/>
      <c r="AE792" s="8"/>
      <c r="AF792" s="8"/>
      <c r="AG792" s="8"/>
      <c r="AH792" s="8"/>
      <c r="AI792" s="8"/>
      <c r="AJ792" s="8"/>
      <c r="AK792" s="8"/>
      <c r="AL792" s="10">
        <v>0</v>
      </c>
      <c r="AM792" s="10">
        <v>0</v>
      </c>
      <c r="AN792" s="10">
        <v>16926435</v>
      </c>
      <c r="AO792" s="8"/>
      <c r="AP792" s="8"/>
      <c r="AQ792" s="8"/>
      <c r="AR792" s="8"/>
      <c r="AS792" s="8"/>
      <c r="AT792" s="8"/>
      <c r="AU792" s="8"/>
      <c r="AV792" s="8"/>
      <c r="AW792" s="14">
        <v>44742</v>
      </c>
      <c r="AX792" s="14">
        <v>44742</v>
      </c>
      <c r="AY792" s="14">
        <v>44561</v>
      </c>
      <c r="AZ792" s="8"/>
      <c r="BA792" s="8"/>
      <c r="BB792" s="8"/>
      <c r="BC792" s="8"/>
      <c r="BD792" s="8"/>
      <c r="BE792" s="8"/>
      <c r="BF792" s="8"/>
      <c r="BG792" s="8"/>
      <c r="BH792" s="8" t="s">
        <v>35</v>
      </c>
      <c r="BI792" s="8" t="s">
        <v>35</v>
      </c>
      <c r="BJ792" s="8" t="s">
        <v>35</v>
      </c>
      <c r="BK792" s="8"/>
      <c r="BL792" s="8"/>
      <c r="BM792" s="8"/>
      <c r="BN792" s="8"/>
      <c r="BO792" s="8"/>
      <c r="BP792" s="8"/>
      <c r="BQ792" s="8" t="s">
        <v>31</v>
      </c>
      <c r="BR792" s="8" t="s">
        <v>36</v>
      </c>
      <c r="BS792" s="10">
        <v>948037601488.80005</v>
      </c>
      <c r="BT792" s="8"/>
      <c r="BU792" s="8"/>
      <c r="BV792" s="8"/>
      <c r="BW792" s="8" t="s">
        <v>27</v>
      </c>
      <c r="BX792" s="8" t="s">
        <v>27</v>
      </c>
      <c r="BY792" s="8" t="s">
        <v>42</v>
      </c>
      <c r="BZ792" s="8"/>
      <c r="CA792" s="8"/>
      <c r="CB792" s="8"/>
      <c r="CC792" s="8"/>
      <c r="CD792" s="8"/>
      <c r="CE792" s="8"/>
      <c r="CF792" s="8" t="s">
        <v>1045</v>
      </c>
      <c r="CG792" s="8" t="s">
        <v>96</v>
      </c>
    </row>
  </sheetData>
  <autoFilter ref="A5:CG792" xr:uid="{00000000-0009-0000-0000-000000000000}">
    <filterColumn colId="68">
      <filters blank="1">
        <filter val="Brokerage Firms"/>
        <filter val="Investment Managers"/>
        <filter val="Investor Type"/>
      </filters>
    </filterColumn>
  </autoFilter>
  <mergeCells count="12">
    <mergeCell ref="AJ6:AT6"/>
    <mergeCell ref="AU6:BE6"/>
    <mergeCell ref="A6:A7"/>
    <mergeCell ref="B6:B7"/>
    <mergeCell ref="C6:M6"/>
    <mergeCell ref="N6:X6"/>
    <mergeCell ref="Y6:AI6"/>
    <mergeCell ref="BF6:BP6"/>
    <mergeCell ref="BR6:BR7"/>
    <mergeCell ref="BU6:CE6"/>
    <mergeCell ref="CF6:CF7"/>
    <mergeCell ref="CG6:CG7"/>
  </mergeCells>
  <pageMargins left="0.5" right="0.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showGridLines="0" workbookViewId="0"/>
  </sheetViews>
  <sheetFormatPr defaultColWidth="14.453125" defaultRowHeight="15" customHeight="1" x14ac:dyDescent="0.35"/>
  <sheetData>
    <row r="1" spans="1:3" x14ac:dyDescent="0.35">
      <c r="A1" s="20"/>
      <c r="B1" s="21"/>
      <c r="C1" s="22"/>
    </row>
    <row r="2" spans="1:3" x14ac:dyDescent="0.35">
      <c r="A2" s="23"/>
      <c r="B2" s="24"/>
      <c r="C2" s="25"/>
    </row>
    <row r="3" spans="1:3" x14ac:dyDescent="0.35">
      <c r="A3" s="23"/>
      <c r="B3" s="24"/>
      <c r="C3" s="25"/>
    </row>
    <row r="4" spans="1:3" x14ac:dyDescent="0.35">
      <c r="A4" s="23"/>
      <c r="B4" s="24"/>
      <c r="C4" s="25"/>
    </row>
    <row r="5" spans="1:3" x14ac:dyDescent="0.35">
      <c r="A5" s="23"/>
      <c r="B5" s="24"/>
      <c r="C5" s="25"/>
    </row>
    <row r="6" spans="1:3" x14ac:dyDescent="0.35">
      <c r="A6" s="23"/>
      <c r="B6" s="24"/>
      <c r="C6" s="25"/>
    </row>
    <row r="7" spans="1:3" x14ac:dyDescent="0.35">
      <c r="A7" s="23"/>
      <c r="B7" s="24"/>
      <c r="C7" s="25"/>
    </row>
    <row r="8" spans="1:3" x14ac:dyDescent="0.35">
      <c r="A8" s="23"/>
      <c r="B8" s="24"/>
      <c r="C8" s="25"/>
    </row>
    <row r="9" spans="1:3" x14ac:dyDescent="0.35">
      <c r="A9" s="23"/>
      <c r="B9" s="24"/>
      <c r="C9" s="25"/>
    </row>
    <row r="10" spans="1:3" x14ac:dyDescent="0.35">
      <c r="A10" s="23"/>
      <c r="B10" s="24"/>
      <c r="C10" s="25"/>
    </row>
    <row r="11" spans="1:3" ht="15" customHeight="1" x14ac:dyDescent="0.35">
      <c r="A11" s="23"/>
      <c r="B11" s="24"/>
      <c r="C11" s="25"/>
    </row>
    <row r="12" spans="1:3" ht="15" customHeight="1" x14ac:dyDescent="0.35">
      <c r="A12" s="23"/>
      <c r="B12" s="24"/>
      <c r="C12" s="25"/>
    </row>
    <row r="13" spans="1:3" ht="15" customHeight="1" x14ac:dyDescent="0.35">
      <c r="A13" s="23"/>
      <c r="B13" s="24"/>
      <c r="C13" s="25"/>
    </row>
    <row r="14" spans="1:3" ht="15" customHeight="1" x14ac:dyDescent="0.35">
      <c r="A14" s="23"/>
      <c r="B14" s="24"/>
      <c r="C14" s="25"/>
    </row>
    <row r="15" spans="1:3" ht="15" customHeight="1" x14ac:dyDescent="0.35">
      <c r="A15" s="23"/>
      <c r="B15" s="24"/>
      <c r="C15" s="25"/>
    </row>
    <row r="16" spans="1:3" ht="15" customHeight="1" x14ac:dyDescent="0.35">
      <c r="A16" s="23"/>
      <c r="B16" s="24"/>
      <c r="C16" s="25"/>
    </row>
    <row r="17" spans="1:3" ht="15" customHeight="1" x14ac:dyDescent="0.35">
      <c r="A17" s="23"/>
      <c r="B17" s="24"/>
      <c r="C17" s="25"/>
    </row>
    <row r="18" spans="1:3" ht="15" customHeight="1" x14ac:dyDescent="0.35">
      <c r="A18" s="26"/>
      <c r="B18" s="27"/>
      <c r="C18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Shareholders Report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modified xsi:type="dcterms:W3CDTF">2025-11-30T12:37:56Z</dcterms:modified>
</cp:coreProperties>
</file>